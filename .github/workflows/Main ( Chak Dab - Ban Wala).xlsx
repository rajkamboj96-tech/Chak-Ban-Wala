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autoCompressPictures="0" defaultThemeVersion="124226"/>
  <bookViews>
    <workbookView xWindow="0" yWindow="0" windowWidth="2040" windowHeight="1125" firstSheet="3" activeTab="5"/>
  </bookViews>
  <sheets>
    <sheet name="Hard Copy" sheetId="1" state="hidden" r:id="rId1"/>
    <sheet name="MOMI" sheetId="2" r:id="rId2"/>
    <sheet name="JOSAN" sheetId="3" r:id="rId3"/>
    <sheet name="NADHA" sheetId="4" r:id="rId4"/>
    <sheet name="DHOT" sheetId="5" r:id="rId5"/>
    <sheet name="PATHAN" sheetId="6" r:id="rId6"/>
    <sheet name="CHATRATH" sheetId="7" r:id="rId7"/>
    <sheet name="SAMA" sheetId="8" r:id="rId8"/>
    <sheet name="MIROK" sheetId="9" r:id="rId9"/>
    <sheet name="MUTTI" sheetId="10" r:id="rId10"/>
  </sheets>
  <calcPr calcId="124519" iterate="1" iterateCount="1000" iterateDelta="0.01"/>
</workbook>
</file>

<file path=xl/calcChain.xml><?xml version="1.0" encoding="utf-8"?>
<calcChain xmlns="http://schemas.openxmlformats.org/spreadsheetml/2006/main">
  <c r="H2" i="5"/>
  <c r="F6" s="1"/>
  <c r="F16" s="1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AE57" s="1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52"/>
  <c r="H53"/>
  <c r="H54"/>
  <c r="H55"/>
  <c r="H56"/>
  <c r="H57"/>
  <c r="H58"/>
  <c r="H59"/>
  <c r="H60"/>
  <c r="H61"/>
  <c r="AK31" i="10"/>
  <c r="H31"/>
  <c r="AK30"/>
  <c r="H30"/>
  <c r="AK29"/>
  <c r="H29"/>
  <c r="AK28"/>
  <c r="H28"/>
  <c r="AK27"/>
  <c r="H27"/>
  <c r="AK26"/>
  <c r="H26"/>
  <c r="AK25"/>
  <c r="H25"/>
  <c r="AK24"/>
  <c r="H24"/>
  <c r="AK23"/>
  <c r="H23"/>
  <c r="AK22"/>
  <c r="H22"/>
  <c r="A79" s="1"/>
  <c r="AK21"/>
  <c r="H21"/>
  <c r="AK20"/>
  <c r="H20"/>
  <c r="AK19"/>
  <c r="H19"/>
  <c r="AK18"/>
  <c r="H18"/>
  <c r="AK17"/>
  <c r="H17"/>
  <c r="AK16"/>
  <c r="H16"/>
  <c r="AK15"/>
  <c r="H15"/>
  <c r="AK14"/>
  <c r="H14"/>
  <c r="AK13"/>
  <c r="H13"/>
  <c r="AK12"/>
  <c r="H12"/>
  <c r="A78" s="1"/>
  <c r="AK11"/>
  <c r="H11"/>
  <c r="AK10"/>
  <c r="H10"/>
  <c r="AK9"/>
  <c r="H9"/>
  <c r="AK8"/>
  <c r="H8"/>
  <c r="AK7"/>
  <c r="H7"/>
  <c r="AK6"/>
  <c r="H6"/>
  <c r="AK5"/>
  <c r="H5"/>
  <c r="AK4"/>
  <c r="H4"/>
  <c r="AK3"/>
  <c r="H3"/>
  <c r="AK2"/>
  <c r="AI6" s="1"/>
  <c r="AI16" s="1"/>
  <c r="AI2"/>
  <c r="AI12" s="1"/>
  <c r="AG2"/>
  <c r="AG12" s="1"/>
  <c r="AE2"/>
  <c r="AE12" s="1"/>
  <c r="H2"/>
  <c r="F6" s="1"/>
  <c r="F16" s="1"/>
  <c r="E2"/>
  <c r="E12" s="1"/>
  <c r="C2"/>
  <c r="C12" s="1"/>
  <c r="A2"/>
  <c r="A12" s="1"/>
  <c r="AK31" i="9"/>
  <c r="H31"/>
  <c r="AK30"/>
  <c r="H30"/>
  <c r="AK29"/>
  <c r="H29"/>
  <c r="AK28"/>
  <c r="H28"/>
  <c r="AK27"/>
  <c r="H27"/>
  <c r="AK26"/>
  <c r="H26"/>
  <c r="AK25"/>
  <c r="H25"/>
  <c r="AK24"/>
  <c r="H24"/>
  <c r="AK23"/>
  <c r="H23"/>
  <c r="AK22"/>
  <c r="H22"/>
  <c r="A79" s="1"/>
  <c r="AK21"/>
  <c r="H21"/>
  <c r="AK20"/>
  <c r="H20"/>
  <c r="AK19"/>
  <c r="H19"/>
  <c r="AK18"/>
  <c r="H18"/>
  <c r="AK17"/>
  <c r="H17"/>
  <c r="AK16"/>
  <c r="H16"/>
  <c r="AK15"/>
  <c r="H15"/>
  <c r="AK14"/>
  <c r="H14"/>
  <c r="AK13"/>
  <c r="H13"/>
  <c r="AK12"/>
  <c r="H12"/>
  <c r="A78" s="1"/>
  <c r="AK11"/>
  <c r="H11"/>
  <c r="AK10"/>
  <c r="H10"/>
  <c r="AK9"/>
  <c r="H9"/>
  <c r="AK8"/>
  <c r="H8"/>
  <c r="AK7"/>
  <c r="H7"/>
  <c r="AK6"/>
  <c r="H6"/>
  <c r="D6"/>
  <c r="D16" s="1"/>
  <c r="AK5"/>
  <c r="H5"/>
  <c r="F5"/>
  <c r="F15" s="1"/>
  <c r="B5"/>
  <c r="B15" s="1"/>
  <c r="AK4"/>
  <c r="H4"/>
  <c r="D4"/>
  <c r="D14" s="1"/>
  <c r="AK3"/>
  <c r="AG2" s="1"/>
  <c r="AG12" s="1"/>
  <c r="H3"/>
  <c r="F3"/>
  <c r="F13" s="1"/>
  <c r="B3"/>
  <c r="B13" s="1"/>
  <c r="AK2"/>
  <c r="AI2"/>
  <c r="AI12" s="1"/>
  <c r="AE2"/>
  <c r="AE12" s="1"/>
  <c r="H2"/>
  <c r="E6" s="1"/>
  <c r="E16" s="1"/>
  <c r="F2"/>
  <c r="F12" s="1"/>
  <c r="E2"/>
  <c r="E12" s="1"/>
  <c r="D2"/>
  <c r="D12" s="1"/>
  <c r="C2"/>
  <c r="C12" s="1"/>
  <c r="B2"/>
  <c r="B12" s="1"/>
  <c r="A2"/>
  <c r="A12" s="1"/>
  <c r="AK31" i="8"/>
  <c r="H31"/>
  <c r="AK30"/>
  <c r="H30"/>
  <c r="AK29"/>
  <c r="H29"/>
  <c r="AK28"/>
  <c r="H28"/>
  <c r="AK27"/>
  <c r="H27"/>
  <c r="AK26"/>
  <c r="H26"/>
  <c r="AK25"/>
  <c r="H25"/>
  <c r="AK24"/>
  <c r="H24"/>
  <c r="AK23"/>
  <c r="H23"/>
  <c r="AK22"/>
  <c r="H22"/>
  <c r="A79" s="1"/>
  <c r="AK21"/>
  <c r="H21"/>
  <c r="AK20"/>
  <c r="H20"/>
  <c r="AK19"/>
  <c r="H19"/>
  <c r="AK18"/>
  <c r="H18"/>
  <c r="AK17"/>
  <c r="H17"/>
  <c r="AK16"/>
  <c r="H16"/>
  <c r="AK15"/>
  <c r="H15"/>
  <c r="AK14"/>
  <c r="H14"/>
  <c r="AK13"/>
  <c r="H13"/>
  <c r="AK12"/>
  <c r="H12"/>
  <c r="AK11"/>
  <c r="H11"/>
  <c r="AK10"/>
  <c r="H10"/>
  <c r="AK9"/>
  <c r="H9"/>
  <c r="AK8"/>
  <c r="H8"/>
  <c r="AK7"/>
  <c r="H7"/>
  <c r="AK6"/>
  <c r="H6"/>
  <c r="AK5"/>
  <c r="H5"/>
  <c r="AK4"/>
  <c r="H4"/>
  <c r="AK3"/>
  <c r="H3"/>
  <c r="AK2"/>
  <c r="AI6" s="1"/>
  <c r="AI16" s="1"/>
  <c r="AI2"/>
  <c r="AI12" s="1"/>
  <c r="AG2"/>
  <c r="AG12" s="1"/>
  <c r="AE2"/>
  <c r="AE12" s="1"/>
  <c r="H2"/>
  <c r="G2" s="1"/>
  <c r="C2"/>
  <c r="C12" s="1"/>
  <c r="AK31" i="7"/>
  <c r="H31"/>
  <c r="AK30"/>
  <c r="H30"/>
  <c r="AK29"/>
  <c r="H29"/>
  <c r="AK28"/>
  <c r="H28"/>
  <c r="AK27"/>
  <c r="H27"/>
  <c r="AK26"/>
  <c r="H26"/>
  <c r="AK25"/>
  <c r="H25"/>
  <c r="AK24"/>
  <c r="H24"/>
  <c r="AK23"/>
  <c r="H23"/>
  <c r="AK22"/>
  <c r="H22"/>
  <c r="A79" s="1"/>
  <c r="AK21"/>
  <c r="H21"/>
  <c r="AK20"/>
  <c r="H20"/>
  <c r="AK19"/>
  <c r="H19"/>
  <c r="AK18"/>
  <c r="H18"/>
  <c r="AK17"/>
  <c r="H17"/>
  <c r="AK16"/>
  <c r="H16"/>
  <c r="AK15"/>
  <c r="H15"/>
  <c r="AK14"/>
  <c r="H14"/>
  <c r="AK13"/>
  <c r="H13"/>
  <c r="AK12"/>
  <c r="H12"/>
  <c r="A78" s="1"/>
  <c r="AK11"/>
  <c r="H11"/>
  <c r="AK10"/>
  <c r="H10"/>
  <c r="AK9"/>
  <c r="H9"/>
  <c r="AK8"/>
  <c r="H8"/>
  <c r="AK7"/>
  <c r="H7"/>
  <c r="AK6"/>
  <c r="AI6"/>
  <c r="AI16" s="1"/>
  <c r="H6"/>
  <c r="D6"/>
  <c r="D16" s="1"/>
  <c r="AK5"/>
  <c r="AE5"/>
  <c r="AE15" s="1"/>
  <c r="H5"/>
  <c r="F5"/>
  <c r="F15" s="1"/>
  <c r="B5"/>
  <c r="B15" s="1"/>
  <c r="AK4"/>
  <c r="AI4"/>
  <c r="AI14" s="1"/>
  <c r="H4"/>
  <c r="D4"/>
  <c r="D14" s="1"/>
  <c r="AK3"/>
  <c r="AE3"/>
  <c r="AE13" s="1"/>
  <c r="H3"/>
  <c r="F3"/>
  <c r="F13" s="1"/>
  <c r="B3"/>
  <c r="B13" s="1"/>
  <c r="AK2"/>
  <c r="AE6" s="1"/>
  <c r="AE16" s="1"/>
  <c r="AI2"/>
  <c r="AI12" s="1"/>
  <c r="AG2"/>
  <c r="AG12" s="1"/>
  <c r="AE2"/>
  <c r="AE12" s="1"/>
  <c r="H2"/>
  <c r="E6" s="1"/>
  <c r="E16" s="1"/>
  <c r="F2"/>
  <c r="F12" s="1"/>
  <c r="E2"/>
  <c r="E12" s="1"/>
  <c r="D2"/>
  <c r="D12" s="1"/>
  <c r="C2"/>
  <c r="C12" s="1"/>
  <c r="B2"/>
  <c r="B12" s="1"/>
  <c r="A2"/>
  <c r="A12" s="1"/>
  <c r="AK31" i="6"/>
  <c r="H31"/>
  <c r="AK30"/>
  <c r="H30"/>
  <c r="AK29"/>
  <c r="H29"/>
  <c r="AK28"/>
  <c r="H28"/>
  <c r="AK27"/>
  <c r="H27"/>
  <c r="AK26"/>
  <c r="H26"/>
  <c r="AK25"/>
  <c r="H25"/>
  <c r="AK24"/>
  <c r="H24"/>
  <c r="AK23"/>
  <c r="H23"/>
  <c r="AK22"/>
  <c r="H22"/>
  <c r="A79" s="1"/>
  <c r="AK21"/>
  <c r="H21"/>
  <c r="AK20"/>
  <c r="H20"/>
  <c r="AK19"/>
  <c r="H19"/>
  <c r="AK18"/>
  <c r="H18"/>
  <c r="AK17"/>
  <c r="H17"/>
  <c r="AK16"/>
  <c r="H16"/>
  <c r="AK15"/>
  <c r="H15"/>
  <c r="AK14"/>
  <c r="H14"/>
  <c r="AK13"/>
  <c r="H13"/>
  <c r="AK12"/>
  <c r="H12"/>
  <c r="A78" s="1"/>
  <c r="AK11"/>
  <c r="H11"/>
  <c r="AK10"/>
  <c r="H10"/>
  <c r="AK9"/>
  <c r="H9"/>
  <c r="AK8"/>
  <c r="H8"/>
  <c r="AK7"/>
  <c r="H7"/>
  <c r="AK6"/>
  <c r="AJ6"/>
  <c r="AJ16" s="1"/>
  <c r="H6"/>
  <c r="AK5"/>
  <c r="AH5"/>
  <c r="AH15" s="1"/>
  <c r="H5"/>
  <c r="AK4"/>
  <c r="AF4"/>
  <c r="AF14" s="1"/>
  <c r="H4"/>
  <c r="AK3"/>
  <c r="H3"/>
  <c r="AK2"/>
  <c r="AE57" s="1"/>
  <c r="AJ2"/>
  <c r="AJ12" s="1"/>
  <c r="AI2"/>
  <c r="AI12" s="1"/>
  <c r="AH2"/>
  <c r="AH12" s="1"/>
  <c r="AG2"/>
  <c r="AG12" s="1"/>
  <c r="AF2"/>
  <c r="AF12" s="1"/>
  <c r="AE2"/>
  <c r="AE12" s="1"/>
  <c r="H2"/>
  <c r="A3" s="1"/>
  <c r="A79" i="5"/>
  <c r="AI6"/>
  <c r="AI16" s="1"/>
  <c r="AG6"/>
  <c r="AG16" s="1"/>
  <c r="AE6"/>
  <c r="AE16" s="1"/>
  <c r="D6"/>
  <c r="D16" s="1"/>
  <c r="B6"/>
  <c r="B16" s="1"/>
  <c r="AJ5"/>
  <c r="AJ15" s="1"/>
  <c r="AI5"/>
  <c r="AI15" s="1"/>
  <c r="AH5"/>
  <c r="AH15" s="1"/>
  <c r="AG5"/>
  <c r="AG15" s="1"/>
  <c r="AF5"/>
  <c r="AF15" s="1"/>
  <c r="AE5"/>
  <c r="AE15" s="1"/>
  <c r="E5"/>
  <c r="E15" s="1"/>
  <c r="C5"/>
  <c r="C15" s="1"/>
  <c r="A5"/>
  <c r="A15" s="1"/>
  <c r="AJ4"/>
  <c r="AJ14" s="1"/>
  <c r="AI4"/>
  <c r="AI14" s="1"/>
  <c r="AH4"/>
  <c r="AH14" s="1"/>
  <c r="AG4"/>
  <c r="AG14" s="1"/>
  <c r="AF4"/>
  <c r="AF14" s="1"/>
  <c r="AE4"/>
  <c r="AE14" s="1"/>
  <c r="F4"/>
  <c r="F14" s="1"/>
  <c r="D4"/>
  <c r="D14" s="1"/>
  <c r="B4"/>
  <c r="B14" s="1"/>
  <c r="AJ3"/>
  <c r="AJ13" s="1"/>
  <c r="AI3"/>
  <c r="AI13" s="1"/>
  <c r="AH3"/>
  <c r="AH13" s="1"/>
  <c r="AG3"/>
  <c r="AG13" s="1"/>
  <c r="AF3"/>
  <c r="AF13" s="1"/>
  <c r="AE3"/>
  <c r="AE13" s="1"/>
  <c r="E3"/>
  <c r="E13" s="1"/>
  <c r="C3"/>
  <c r="C13" s="1"/>
  <c r="A3"/>
  <c r="A13" s="1"/>
  <c r="AJ2"/>
  <c r="AJ12" s="1"/>
  <c r="AI2"/>
  <c r="AI12" s="1"/>
  <c r="AH2"/>
  <c r="AH12" s="1"/>
  <c r="AG2"/>
  <c r="AG12" s="1"/>
  <c r="AF2"/>
  <c r="AF12" s="1"/>
  <c r="AE2"/>
  <c r="AE12" s="1"/>
  <c r="E6"/>
  <c r="E16" s="1"/>
  <c r="F2"/>
  <c r="F12" s="1"/>
  <c r="E2"/>
  <c r="E12" s="1"/>
  <c r="D2"/>
  <c r="D12" s="1"/>
  <c r="C2"/>
  <c r="C12" s="1"/>
  <c r="B2"/>
  <c r="B12" s="1"/>
  <c r="A2"/>
  <c r="A12" s="1"/>
  <c r="H61" i="4"/>
  <c r="H60"/>
  <c r="H59"/>
  <c r="H58"/>
  <c r="H57"/>
  <c r="H56"/>
  <c r="H55"/>
  <c r="H54"/>
  <c r="H53"/>
  <c r="H52"/>
  <c r="H51"/>
  <c r="H50"/>
  <c r="H49"/>
  <c r="H48"/>
  <c r="H47"/>
  <c r="H46"/>
  <c r="H45"/>
  <c r="H44"/>
  <c r="H43"/>
  <c r="H42"/>
  <c r="H41"/>
  <c r="H40"/>
  <c r="H39"/>
  <c r="H38"/>
  <c r="H37"/>
  <c r="H36"/>
  <c r="H35"/>
  <c r="H34"/>
  <c r="H33"/>
  <c r="H32"/>
  <c r="AI6" s="1"/>
  <c r="AI16" s="1"/>
  <c r="H31"/>
  <c r="H30"/>
  <c r="H29"/>
  <c r="H28"/>
  <c r="H27"/>
  <c r="H26"/>
  <c r="H25"/>
  <c r="H24"/>
  <c r="H23"/>
  <c r="H22"/>
  <c r="A79" s="1"/>
  <c r="H21"/>
  <c r="H20"/>
  <c r="H19"/>
  <c r="H18"/>
  <c r="H17"/>
  <c r="H16"/>
  <c r="H15"/>
  <c r="H14"/>
  <c r="H13"/>
  <c r="H12"/>
  <c r="H11"/>
  <c r="H10"/>
  <c r="H9"/>
  <c r="H8"/>
  <c r="H7"/>
  <c r="AJ6"/>
  <c r="AJ16" s="1"/>
  <c r="AF6"/>
  <c r="AF16" s="1"/>
  <c r="H6"/>
  <c r="AI5"/>
  <c r="AI15" s="1"/>
  <c r="AE5"/>
  <c r="AE15" s="1"/>
  <c r="H5"/>
  <c r="AJ4"/>
  <c r="AJ14" s="1"/>
  <c r="AF4"/>
  <c r="AF14" s="1"/>
  <c r="H4"/>
  <c r="AI3"/>
  <c r="AI13" s="1"/>
  <c r="AE3"/>
  <c r="AE13" s="1"/>
  <c r="H3"/>
  <c r="AJ2"/>
  <c r="AJ12" s="1"/>
  <c r="AF2"/>
  <c r="AF12" s="1"/>
  <c r="H2"/>
  <c r="A62" i="3"/>
  <c r="H61"/>
  <c r="A61"/>
  <c r="H60"/>
  <c r="A60"/>
  <c r="H59"/>
  <c r="A59"/>
  <c r="H58"/>
  <c r="A58"/>
  <c r="H57"/>
  <c r="A57"/>
  <c r="H56"/>
  <c r="A56"/>
  <c r="H55"/>
  <c r="A55"/>
  <c r="H54"/>
  <c r="A54"/>
  <c r="H53"/>
  <c r="A53"/>
  <c r="E24" s="1"/>
  <c r="E32" s="1"/>
  <c r="H52"/>
  <c r="H51"/>
  <c r="H50"/>
  <c r="H49"/>
  <c r="H48"/>
  <c r="H47"/>
  <c r="H46"/>
  <c r="H45"/>
  <c r="H44"/>
  <c r="H43"/>
  <c r="H42"/>
  <c r="H41"/>
  <c r="H40"/>
  <c r="H39"/>
  <c r="H38"/>
  <c r="H37"/>
  <c r="H36"/>
  <c r="H35"/>
  <c r="H34"/>
  <c r="H33"/>
  <c r="AJ6" s="1"/>
  <c r="AJ16" s="1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A78" s="1"/>
  <c r="H12"/>
  <c r="H11"/>
  <c r="H10"/>
  <c r="H9"/>
  <c r="H8"/>
  <c r="H7"/>
  <c r="AG6"/>
  <c r="AG16" s="1"/>
  <c r="H6"/>
  <c r="E2" s="1"/>
  <c r="E12" s="1"/>
  <c r="AJ5"/>
  <c r="AJ15" s="1"/>
  <c r="AF5"/>
  <c r="AF15" s="1"/>
  <c r="H5"/>
  <c r="AG4"/>
  <c r="AG14" s="1"/>
  <c r="H4"/>
  <c r="AJ3"/>
  <c r="AJ13" s="1"/>
  <c r="AF3"/>
  <c r="AF13" s="1"/>
  <c r="H3"/>
  <c r="AG2"/>
  <c r="AG12" s="1"/>
  <c r="H2"/>
  <c r="E6" s="1"/>
  <c r="E16" s="1"/>
  <c r="C2"/>
  <c r="C12" s="1"/>
  <c r="H61" i="2"/>
  <c r="H60"/>
  <c r="H59"/>
  <c r="H58"/>
  <c r="H57"/>
  <c r="H56"/>
  <c r="H55"/>
  <c r="H54"/>
  <c r="H53"/>
  <c r="H52"/>
  <c r="H51"/>
  <c r="H50"/>
  <c r="H49"/>
  <c r="H48"/>
  <c r="H47"/>
  <c r="H46"/>
  <c r="H45"/>
  <c r="H44"/>
  <c r="H43"/>
  <c r="H42"/>
  <c r="H41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H9"/>
  <c r="H8"/>
  <c r="H7"/>
  <c r="H6"/>
  <c r="H5"/>
  <c r="H4"/>
  <c r="H3"/>
  <c r="H2"/>
  <c r="F6" s="1"/>
  <c r="F16" s="1"/>
  <c r="E2"/>
  <c r="E12" s="1"/>
  <c r="C2"/>
  <c r="C12" s="1"/>
  <c r="A2"/>
  <c r="A12" s="1"/>
  <c r="A78" i="1"/>
  <c r="AJ31"/>
  <c r="G31"/>
  <c r="AJ30"/>
  <c r="G30"/>
  <c r="AJ29"/>
  <c r="G29"/>
  <c r="AJ28"/>
  <c r="G28"/>
  <c r="AJ27"/>
  <c r="G27"/>
  <c r="AJ26"/>
  <c r="G26"/>
  <c r="AJ25"/>
  <c r="G25"/>
  <c r="AJ24"/>
  <c r="G24"/>
  <c r="AJ23"/>
  <c r="G23"/>
  <c r="AJ22"/>
  <c r="G22"/>
  <c r="A79" s="1"/>
  <c r="AJ21"/>
  <c r="G21"/>
  <c r="AJ20"/>
  <c r="G20"/>
  <c r="AJ19"/>
  <c r="G19"/>
  <c r="AJ18"/>
  <c r="G18"/>
  <c r="AJ17"/>
  <c r="G17"/>
  <c r="AJ16"/>
  <c r="G16"/>
  <c r="AJ15"/>
  <c r="G15"/>
  <c r="AJ14"/>
  <c r="G14"/>
  <c r="AJ13"/>
  <c r="G13"/>
  <c r="AJ12"/>
  <c r="G12"/>
  <c r="AJ11"/>
  <c r="G11"/>
  <c r="AJ10"/>
  <c r="G10"/>
  <c r="AJ9"/>
  <c r="G9"/>
  <c r="AJ8"/>
  <c r="G8"/>
  <c r="AJ7"/>
  <c r="G7"/>
  <c r="AJ6"/>
  <c r="G6"/>
  <c r="F6"/>
  <c r="F16" s="1"/>
  <c r="D6"/>
  <c r="D16" s="1"/>
  <c r="B6"/>
  <c r="B16" s="1"/>
  <c r="AJ5"/>
  <c r="G5"/>
  <c r="F5"/>
  <c r="F15" s="1"/>
  <c r="D5"/>
  <c r="D15" s="1"/>
  <c r="B5"/>
  <c r="B15" s="1"/>
  <c r="AJ4"/>
  <c r="G4"/>
  <c r="F4"/>
  <c r="F14" s="1"/>
  <c r="D4"/>
  <c r="D14" s="1"/>
  <c r="B4"/>
  <c r="B14" s="1"/>
  <c r="AJ3"/>
  <c r="G3"/>
  <c r="F3"/>
  <c r="F13" s="1"/>
  <c r="D3"/>
  <c r="D13" s="1"/>
  <c r="B3"/>
  <c r="B13" s="1"/>
  <c r="AJ2"/>
  <c r="AD57" s="1"/>
  <c r="AH2"/>
  <c r="AH12" s="1"/>
  <c r="AF2"/>
  <c r="AF12" s="1"/>
  <c r="AD2"/>
  <c r="AD12" s="1"/>
  <c r="G2"/>
  <c r="E6" s="1"/>
  <c r="E16" s="1"/>
  <c r="F2"/>
  <c r="F12" s="1"/>
  <c r="E2"/>
  <c r="E12" s="1"/>
  <c r="D2"/>
  <c r="D12" s="1"/>
  <c r="C2"/>
  <c r="C12" s="1"/>
  <c r="B2"/>
  <c r="B12" s="1"/>
  <c r="A2"/>
  <c r="A12" s="1"/>
  <c r="AF2" i="10" l="1"/>
  <c r="AF12" s="1"/>
  <c r="AH2"/>
  <c r="AH12" s="1"/>
  <c r="AJ2"/>
  <c r="AJ12" s="1"/>
  <c r="AH3"/>
  <c r="AH13" s="1"/>
  <c r="AF4"/>
  <c r="AF14" s="1"/>
  <c r="AJ4"/>
  <c r="AJ14" s="1"/>
  <c r="AH5"/>
  <c r="AH15" s="1"/>
  <c r="AF6"/>
  <c r="AF16" s="1"/>
  <c r="AJ6"/>
  <c r="AJ16" s="1"/>
  <c r="G2"/>
  <c r="AF3"/>
  <c r="AF13" s="1"/>
  <c r="AJ3"/>
  <c r="AJ13" s="1"/>
  <c r="AH4"/>
  <c r="AH14" s="1"/>
  <c r="AF5"/>
  <c r="AF15" s="1"/>
  <c r="AJ5"/>
  <c r="AJ15" s="1"/>
  <c r="AH6"/>
  <c r="AH16" s="1"/>
  <c r="AE57" i="9"/>
  <c r="D3"/>
  <c r="D13" s="1"/>
  <c r="B4"/>
  <c r="B14" s="1"/>
  <c r="F4"/>
  <c r="F14" s="1"/>
  <c r="D5"/>
  <c r="D15" s="1"/>
  <c r="B6"/>
  <c r="B16" s="1"/>
  <c r="F6"/>
  <c r="F16" s="1"/>
  <c r="G2"/>
  <c r="AF2" i="8"/>
  <c r="AF12" s="1"/>
  <c r="AH2"/>
  <c r="AH12" s="1"/>
  <c r="AJ2"/>
  <c r="AJ12" s="1"/>
  <c r="AH3"/>
  <c r="AH13" s="1"/>
  <c r="AF4"/>
  <c r="AF14" s="1"/>
  <c r="AJ4"/>
  <c r="AJ14" s="1"/>
  <c r="AH5"/>
  <c r="AH15" s="1"/>
  <c r="AF6"/>
  <c r="AF16" s="1"/>
  <c r="AJ6"/>
  <c r="AJ16" s="1"/>
  <c r="AE57"/>
  <c r="AF3"/>
  <c r="AF13" s="1"/>
  <c r="AJ3"/>
  <c r="AJ13" s="1"/>
  <c r="AH4"/>
  <c r="AH14" s="1"/>
  <c r="AF5"/>
  <c r="AF15" s="1"/>
  <c r="AJ5"/>
  <c r="AJ15" s="1"/>
  <c r="AH6"/>
  <c r="AH16" s="1"/>
  <c r="D3" i="7"/>
  <c r="D13" s="1"/>
  <c r="AI3"/>
  <c r="AI13" s="1"/>
  <c r="B4"/>
  <c r="B14" s="1"/>
  <c r="F4"/>
  <c r="F14" s="1"/>
  <c r="AE4"/>
  <c r="AE14" s="1"/>
  <c r="D5"/>
  <c r="D15" s="1"/>
  <c r="AI5"/>
  <c r="AI15" s="1"/>
  <c r="B6"/>
  <c r="B16" s="1"/>
  <c r="F6"/>
  <c r="F16" s="1"/>
  <c r="G2"/>
  <c r="AH3" i="6"/>
  <c r="AH13" s="1"/>
  <c r="AJ4"/>
  <c r="AJ14" s="1"/>
  <c r="AF6"/>
  <c r="AF16" s="1"/>
  <c r="G2"/>
  <c r="G2" i="5"/>
  <c r="AF6"/>
  <c r="AF16" s="1"/>
  <c r="AH6"/>
  <c r="AH16" s="1"/>
  <c r="AJ6"/>
  <c r="AJ16" s="1"/>
  <c r="AH2" i="4"/>
  <c r="AH12" s="1"/>
  <c r="AG3"/>
  <c r="AG13" s="1"/>
  <c r="AH4"/>
  <c r="AH14" s="1"/>
  <c r="AG5"/>
  <c r="AG15" s="1"/>
  <c r="AH6"/>
  <c r="AH16" s="1"/>
  <c r="A2" i="3"/>
  <c r="A12" s="1"/>
  <c r="A5"/>
  <c r="A15" s="1"/>
  <c r="E5"/>
  <c r="E15" s="1"/>
  <c r="D6"/>
  <c r="D16" s="1"/>
  <c r="B2"/>
  <c r="B12" s="1"/>
  <c r="D2"/>
  <c r="D12" s="1"/>
  <c r="F2"/>
  <c r="F12" s="1"/>
  <c r="AE2"/>
  <c r="AE12" s="1"/>
  <c r="AI2"/>
  <c r="AI12" s="1"/>
  <c r="C3"/>
  <c r="C13" s="1"/>
  <c r="AH3"/>
  <c r="AH13" s="1"/>
  <c r="B4"/>
  <c r="B14" s="1"/>
  <c r="F4"/>
  <c r="F14" s="1"/>
  <c r="AE4"/>
  <c r="AE14" s="1"/>
  <c r="AI4"/>
  <c r="AI14" s="1"/>
  <c r="C5"/>
  <c r="C15" s="1"/>
  <c r="AH5"/>
  <c r="AH15" s="1"/>
  <c r="B6"/>
  <c r="B16" s="1"/>
  <c r="F6"/>
  <c r="F16" s="1"/>
  <c r="AE6"/>
  <c r="AE16" s="1"/>
  <c r="AI6"/>
  <c r="AI16" s="1"/>
  <c r="A79"/>
  <c r="A3"/>
  <c r="A13" s="1"/>
  <c r="E3"/>
  <c r="E13" s="1"/>
  <c r="D4"/>
  <c r="D14" s="1"/>
  <c r="G2" i="2"/>
  <c r="G2" i="3"/>
  <c r="C2" i="4"/>
  <c r="C12" s="1"/>
  <c r="E2" i="6"/>
  <c r="E12" s="1"/>
  <c r="C2"/>
  <c r="C12" s="1"/>
  <c r="F6"/>
  <c r="D6"/>
  <c r="B6"/>
  <c r="F5"/>
  <c r="D5"/>
  <c r="B5"/>
  <c r="F4"/>
  <c r="D4"/>
  <c r="B4"/>
  <c r="F3"/>
  <c r="D3"/>
  <c r="B3"/>
  <c r="A2"/>
  <c r="A12" s="1"/>
  <c r="AF3"/>
  <c r="AF13" s="1"/>
  <c r="AJ3"/>
  <c r="AJ13" s="1"/>
  <c r="AH4"/>
  <c r="AH14" s="1"/>
  <c r="AF5"/>
  <c r="AF15" s="1"/>
  <c r="AJ5"/>
  <c r="AJ15" s="1"/>
  <c r="AH6"/>
  <c r="AH16" s="1"/>
  <c r="F2"/>
  <c r="D2"/>
  <c r="D12" s="1"/>
  <c r="B2"/>
  <c r="E6"/>
  <c r="C6"/>
  <c r="A6"/>
  <c r="E5"/>
  <c r="C5"/>
  <c r="A5"/>
  <c r="E4"/>
  <c r="C4"/>
  <c r="A4"/>
  <c r="E3"/>
  <c r="C3"/>
  <c r="F16"/>
  <c r="A78" i="5"/>
  <c r="F6" i="4"/>
  <c r="F16" s="1"/>
  <c r="G2"/>
  <c r="A2"/>
  <c r="A12" s="1"/>
  <c r="E2"/>
  <c r="E12" s="1"/>
  <c r="A78"/>
  <c r="F20" i="3"/>
  <c r="F28" s="1"/>
  <c r="A21"/>
  <c r="A29" s="1"/>
  <c r="F22"/>
  <c r="F30" s="1"/>
  <c r="B20"/>
  <c r="B28" s="1"/>
  <c r="E21"/>
  <c r="E29" s="1"/>
  <c r="B22"/>
  <c r="B30" s="1"/>
  <c r="A23"/>
  <c r="A31" s="1"/>
  <c r="E23"/>
  <c r="E31" s="1"/>
  <c r="B24"/>
  <c r="B32" s="1"/>
  <c r="F24"/>
  <c r="F32" s="1"/>
  <c r="D20"/>
  <c r="D28" s="1"/>
  <c r="C21"/>
  <c r="C29" s="1"/>
  <c r="D22"/>
  <c r="D30" s="1"/>
  <c r="C23"/>
  <c r="C31" s="1"/>
  <c r="D24"/>
  <c r="D32" s="1"/>
  <c r="G20"/>
  <c r="AH6" i="2"/>
  <c r="AH16" s="1"/>
  <c r="AH2"/>
  <c r="AH12" s="1"/>
  <c r="AG3"/>
  <c r="AG13" s="1"/>
  <c r="AH4"/>
  <c r="AH14" s="1"/>
  <c r="AG5"/>
  <c r="AG15" s="1"/>
  <c r="AJ6"/>
  <c r="AJ16" s="1"/>
  <c r="A78"/>
  <c r="A79"/>
  <c r="AF2"/>
  <c r="AF12" s="1"/>
  <c r="AJ2"/>
  <c r="AJ12" s="1"/>
  <c r="AE3"/>
  <c r="AE13" s="1"/>
  <c r="AI3"/>
  <c r="AI13" s="1"/>
  <c r="AF4"/>
  <c r="AF14" s="1"/>
  <c r="AJ4"/>
  <c r="AJ14" s="1"/>
  <c r="AE5"/>
  <c r="AE15" s="1"/>
  <c r="AI5"/>
  <c r="AI15" s="1"/>
  <c r="AF6"/>
  <c r="AF16" s="1"/>
  <c r="AI6"/>
  <c r="AI16" s="1"/>
  <c r="F6" i="8"/>
  <c r="F16" s="1"/>
  <c r="D6"/>
  <c r="D16" s="1"/>
  <c r="B6"/>
  <c r="B16" s="1"/>
  <c r="F5"/>
  <c r="F15" s="1"/>
  <c r="D5"/>
  <c r="D15" s="1"/>
  <c r="B5"/>
  <c r="B15" s="1"/>
  <c r="F4"/>
  <c r="F14" s="1"/>
  <c r="D4"/>
  <c r="D14" s="1"/>
  <c r="B4"/>
  <c r="B14" s="1"/>
  <c r="F3"/>
  <c r="F13" s="1"/>
  <c r="D3"/>
  <c r="D13" s="1"/>
  <c r="B3"/>
  <c r="B13" s="1"/>
  <c r="F2"/>
  <c r="F12" s="1"/>
  <c r="D2"/>
  <c r="D12" s="1"/>
  <c r="B2"/>
  <c r="B12" s="1"/>
  <c r="AD3" i="1"/>
  <c r="AD13" s="1"/>
  <c r="AF3"/>
  <c r="AF13" s="1"/>
  <c r="AH3"/>
  <c r="AH13" s="1"/>
  <c r="AD5"/>
  <c r="AD15" s="1"/>
  <c r="AF5"/>
  <c r="AF15" s="1"/>
  <c r="AH5"/>
  <c r="AH15" s="1"/>
  <c r="AD6"/>
  <c r="AD16" s="1"/>
  <c r="B3" i="2"/>
  <c r="B13" s="1"/>
  <c r="D3"/>
  <c r="D13" s="1"/>
  <c r="F3"/>
  <c r="F13" s="1"/>
  <c r="B5"/>
  <c r="B15" s="1"/>
  <c r="D5"/>
  <c r="D15" s="1"/>
  <c r="F5"/>
  <c r="F15" s="1"/>
  <c r="AE57"/>
  <c r="AE57" i="3"/>
  <c r="B3" i="4"/>
  <c r="B13" s="1"/>
  <c r="D3"/>
  <c r="D13" s="1"/>
  <c r="F3"/>
  <c r="F13" s="1"/>
  <c r="A4"/>
  <c r="A14" s="1"/>
  <c r="C4"/>
  <c r="C14" s="1"/>
  <c r="E4"/>
  <c r="E14" s="1"/>
  <c r="B5"/>
  <c r="B15" s="1"/>
  <c r="D5"/>
  <c r="D15" s="1"/>
  <c r="F5"/>
  <c r="F15" s="1"/>
  <c r="A6"/>
  <c r="A16" s="1"/>
  <c r="C6"/>
  <c r="C16" s="1"/>
  <c r="E6"/>
  <c r="E16" s="1"/>
  <c r="AE57"/>
  <c r="A13" i="6"/>
  <c r="C13"/>
  <c r="E13"/>
  <c r="A14"/>
  <c r="C14"/>
  <c r="E14"/>
  <c r="A15"/>
  <c r="C15"/>
  <c r="E15"/>
  <c r="A16"/>
  <c r="C16"/>
  <c r="E16"/>
  <c r="A3" i="8"/>
  <c r="A13" s="1"/>
  <c r="E3"/>
  <c r="E13" s="1"/>
  <c r="A4"/>
  <c r="A14" s="1"/>
  <c r="E4"/>
  <c r="E14" s="1"/>
  <c r="A5"/>
  <c r="A15" s="1"/>
  <c r="E5"/>
  <c r="E15" s="1"/>
  <c r="A6"/>
  <c r="A16" s="1"/>
  <c r="E6"/>
  <c r="E16" s="1"/>
  <c r="AE57" i="7"/>
  <c r="AJ6"/>
  <c r="AJ16" s="1"/>
  <c r="AH6"/>
  <c r="AH16" s="1"/>
  <c r="AF6"/>
  <c r="AF16" s="1"/>
  <c r="AJ5"/>
  <c r="AJ15" s="1"/>
  <c r="AH5"/>
  <c r="AH15" s="1"/>
  <c r="AF5"/>
  <c r="AF15" s="1"/>
  <c r="AJ4"/>
  <c r="AJ14" s="1"/>
  <c r="AH4"/>
  <c r="AH14" s="1"/>
  <c r="AF4"/>
  <c r="AF14" s="1"/>
  <c r="AJ3"/>
  <c r="AJ13" s="1"/>
  <c r="AH3"/>
  <c r="AH13" s="1"/>
  <c r="AF3"/>
  <c r="AF13" s="1"/>
  <c r="AJ2"/>
  <c r="AJ12" s="1"/>
  <c r="AH2"/>
  <c r="AH12" s="1"/>
  <c r="AF2"/>
  <c r="AF12" s="1"/>
  <c r="AD4" i="1"/>
  <c r="AD14" s="1"/>
  <c r="AF4"/>
  <c r="AF14" s="1"/>
  <c r="AH4"/>
  <c r="AH14" s="1"/>
  <c r="AF6"/>
  <c r="AF16" s="1"/>
  <c r="AH6"/>
  <c r="AH16" s="1"/>
  <c r="A4" i="2"/>
  <c r="A14" s="1"/>
  <c r="C4"/>
  <c r="C14" s="1"/>
  <c r="E4"/>
  <c r="E14" s="1"/>
  <c r="A6"/>
  <c r="A16" s="1"/>
  <c r="C6"/>
  <c r="C16" s="1"/>
  <c r="E6"/>
  <c r="E16" s="1"/>
  <c r="AE2" i="1"/>
  <c r="AE12" s="1"/>
  <c r="AG2"/>
  <c r="AG12" s="1"/>
  <c r="AI2"/>
  <c r="AI12" s="1"/>
  <c r="A3"/>
  <c r="A13" s="1"/>
  <c r="C3"/>
  <c r="C13" s="1"/>
  <c r="E3"/>
  <c r="E13" s="1"/>
  <c r="AE3"/>
  <c r="AE13" s="1"/>
  <c r="AG3"/>
  <c r="AG13" s="1"/>
  <c r="AI3"/>
  <c r="AI13" s="1"/>
  <c r="A4"/>
  <c r="A14" s="1"/>
  <c r="C4"/>
  <c r="C14" s="1"/>
  <c r="E4"/>
  <c r="E14" s="1"/>
  <c r="AE4"/>
  <c r="AE14" s="1"/>
  <c r="AG4"/>
  <c r="AG14" s="1"/>
  <c r="AI4"/>
  <c r="AI14" s="1"/>
  <c r="A5"/>
  <c r="A15" s="1"/>
  <c r="C5"/>
  <c r="C15" s="1"/>
  <c r="E5"/>
  <c r="E15" s="1"/>
  <c r="AE5"/>
  <c r="AE15" s="1"/>
  <c r="AG5"/>
  <c r="AG15" s="1"/>
  <c r="AI5"/>
  <c r="AI15" s="1"/>
  <c r="A6"/>
  <c r="A16" s="1"/>
  <c r="C6"/>
  <c r="C16" s="1"/>
  <c r="AE6"/>
  <c r="AE16" s="1"/>
  <c r="AG6"/>
  <c r="AG16" s="1"/>
  <c r="AI6"/>
  <c r="AI16" s="1"/>
  <c r="B2" i="2"/>
  <c r="B12" s="1"/>
  <c r="D2"/>
  <c r="D12" s="1"/>
  <c r="F2"/>
  <c r="F12" s="1"/>
  <c r="AE2"/>
  <c r="AE12" s="1"/>
  <c r="AG2"/>
  <c r="AG12" s="1"/>
  <c r="AI2"/>
  <c r="AI12" s="1"/>
  <c r="A3"/>
  <c r="A13" s="1"/>
  <c r="C3"/>
  <c r="C13" s="1"/>
  <c r="E3"/>
  <c r="E13" s="1"/>
  <c r="AF3"/>
  <c r="AF13" s="1"/>
  <c r="AH3"/>
  <c r="AH13" s="1"/>
  <c r="AJ3"/>
  <c r="AJ13" s="1"/>
  <c r="B4"/>
  <c r="B14" s="1"/>
  <c r="D4"/>
  <c r="D14" s="1"/>
  <c r="F4"/>
  <c r="F14" s="1"/>
  <c r="AE4"/>
  <c r="AE14" s="1"/>
  <c r="AG4"/>
  <c r="AG14" s="1"/>
  <c r="AI4"/>
  <c r="AI14" s="1"/>
  <c r="A5"/>
  <c r="A15" s="1"/>
  <c r="C5"/>
  <c r="C15" s="1"/>
  <c r="E5"/>
  <c r="E15" s="1"/>
  <c r="AF5"/>
  <c r="AF15" s="1"/>
  <c r="AH5"/>
  <c r="AH15" s="1"/>
  <c r="AJ5"/>
  <c r="AJ15" s="1"/>
  <c r="B6"/>
  <c r="B16" s="1"/>
  <c r="D6"/>
  <c r="D16" s="1"/>
  <c r="AE6"/>
  <c r="AE16" s="1"/>
  <c r="AG6"/>
  <c r="AG16" s="1"/>
  <c r="AF2" i="3"/>
  <c r="AF12" s="1"/>
  <c r="AH2"/>
  <c r="AH12" s="1"/>
  <c r="AJ2"/>
  <c r="AJ12" s="1"/>
  <c r="B3"/>
  <c r="B13" s="1"/>
  <c r="D3"/>
  <c r="D13" s="1"/>
  <c r="F3"/>
  <c r="F13" s="1"/>
  <c r="AE3"/>
  <c r="AE13" s="1"/>
  <c r="AG3"/>
  <c r="AG13" s="1"/>
  <c r="AI3"/>
  <c r="AI13" s="1"/>
  <c r="A4"/>
  <c r="A14" s="1"/>
  <c r="C4"/>
  <c r="C14" s="1"/>
  <c r="E4"/>
  <c r="E14" s="1"/>
  <c r="AF4"/>
  <c r="AF14" s="1"/>
  <c r="AH4"/>
  <c r="AH14" s="1"/>
  <c r="AJ4"/>
  <c r="AJ14" s="1"/>
  <c r="B5"/>
  <c r="B15" s="1"/>
  <c r="D5"/>
  <c r="D15" s="1"/>
  <c r="F5"/>
  <c r="F15" s="1"/>
  <c r="AE5"/>
  <c r="AE15" s="1"/>
  <c r="AG5"/>
  <c r="AG15" s="1"/>
  <c r="AI5"/>
  <c r="AI15" s="1"/>
  <c r="A6"/>
  <c r="A16" s="1"/>
  <c r="C6"/>
  <c r="C16" s="1"/>
  <c r="AF6"/>
  <c r="AF16" s="1"/>
  <c r="AH6"/>
  <c r="AH16" s="1"/>
  <c r="A20"/>
  <c r="A28" s="1"/>
  <c r="C20"/>
  <c r="C28" s="1"/>
  <c r="E20"/>
  <c r="E28" s="1"/>
  <c r="B21"/>
  <c r="B29" s="1"/>
  <c r="D21"/>
  <c r="D29" s="1"/>
  <c r="F21"/>
  <c r="F29" s="1"/>
  <c r="A22"/>
  <c r="A30" s="1"/>
  <c r="C22"/>
  <c r="C30" s="1"/>
  <c r="E22"/>
  <c r="E30" s="1"/>
  <c r="B23"/>
  <c r="B31" s="1"/>
  <c r="D23"/>
  <c r="D31" s="1"/>
  <c r="F23"/>
  <c r="F31" s="1"/>
  <c r="A24"/>
  <c r="A32" s="1"/>
  <c r="C24"/>
  <c r="C32" s="1"/>
  <c r="B2" i="4"/>
  <c r="B12" s="1"/>
  <c r="D2"/>
  <c r="D12" s="1"/>
  <c r="F2"/>
  <c r="F12" s="1"/>
  <c r="AE2"/>
  <c r="AE12" s="1"/>
  <c r="AG2"/>
  <c r="AG12" s="1"/>
  <c r="AI2"/>
  <c r="AI12" s="1"/>
  <c r="A3"/>
  <c r="A13" s="1"/>
  <c r="C3"/>
  <c r="C13" s="1"/>
  <c r="E3"/>
  <c r="E13" s="1"/>
  <c r="AF3"/>
  <c r="AF13" s="1"/>
  <c r="AH3"/>
  <c r="AH13" s="1"/>
  <c r="AJ3"/>
  <c r="AJ13" s="1"/>
  <c r="B4"/>
  <c r="B14" s="1"/>
  <c r="D4"/>
  <c r="D14" s="1"/>
  <c r="F4"/>
  <c r="F14" s="1"/>
  <c r="AE4"/>
  <c r="AE14" s="1"/>
  <c r="AG4"/>
  <c r="AG14" s="1"/>
  <c r="AI4"/>
  <c r="AI14" s="1"/>
  <c r="A5"/>
  <c r="A15" s="1"/>
  <c r="C5"/>
  <c r="C15" s="1"/>
  <c r="E5"/>
  <c r="E15" s="1"/>
  <c r="AF5"/>
  <c r="AF15" s="1"/>
  <c r="AH5"/>
  <c r="AH15" s="1"/>
  <c r="AJ5"/>
  <c r="AJ15" s="1"/>
  <c r="B6"/>
  <c r="B16" s="1"/>
  <c r="D6"/>
  <c r="D16" s="1"/>
  <c r="AE6"/>
  <c r="AE16" s="1"/>
  <c r="AG6"/>
  <c r="AG16" s="1"/>
  <c r="B3" i="5"/>
  <c r="B13" s="1"/>
  <c r="D3"/>
  <c r="D13" s="1"/>
  <c r="F3"/>
  <c r="F13" s="1"/>
  <c r="A4"/>
  <c r="A14" s="1"/>
  <c r="C4"/>
  <c r="C14" s="1"/>
  <c r="E4"/>
  <c r="E14" s="1"/>
  <c r="B5"/>
  <c r="B15" s="1"/>
  <c r="D5"/>
  <c r="D15" s="1"/>
  <c r="F5"/>
  <c r="F15" s="1"/>
  <c r="A6"/>
  <c r="A16" s="1"/>
  <c r="C6"/>
  <c r="C16" s="1"/>
  <c r="B12" i="6"/>
  <c r="F12"/>
  <c r="B13"/>
  <c r="D13"/>
  <c r="F13"/>
  <c r="AE3"/>
  <c r="AE13" s="1"/>
  <c r="AG3"/>
  <c r="AG13" s="1"/>
  <c r="AI3"/>
  <c r="AI13" s="1"/>
  <c r="B14"/>
  <c r="D14"/>
  <c r="F14"/>
  <c r="AE4"/>
  <c r="AE14" s="1"/>
  <c r="AG4"/>
  <c r="AG14" s="1"/>
  <c r="AI4"/>
  <c r="AI14" s="1"/>
  <c r="B15"/>
  <c r="D15"/>
  <c r="F15"/>
  <c r="AE5"/>
  <c r="AE15" s="1"/>
  <c r="AG5"/>
  <c r="AG15" s="1"/>
  <c r="AI5"/>
  <c r="AI15" s="1"/>
  <c r="B16"/>
  <c r="D16"/>
  <c r="AE6"/>
  <c r="AE16" s="1"/>
  <c r="AG6"/>
  <c r="AG16" s="1"/>
  <c r="AI6"/>
  <c r="AI16" s="1"/>
  <c r="AG3" i="7"/>
  <c r="AG13" s="1"/>
  <c r="AG4"/>
  <c r="AG14" s="1"/>
  <c r="AG5"/>
  <c r="AG15" s="1"/>
  <c r="AG6"/>
  <c r="AG16" s="1"/>
  <c r="A2" i="8"/>
  <c r="A12" s="1"/>
  <c r="E2"/>
  <c r="E12" s="1"/>
  <c r="C3"/>
  <c r="C13" s="1"/>
  <c r="C4"/>
  <c r="C14" s="1"/>
  <c r="C5"/>
  <c r="C15" s="1"/>
  <c r="C6"/>
  <c r="C16" s="1"/>
  <c r="A78"/>
  <c r="AE3" i="9"/>
  <c r="AE13" s="1"/>
  <c r="AG3"/>
  <c r="AG13" s="1"/>
  <c r="AI3"/>
  <c r="AI13" s="1"/>
  <c r="AE4"/>
  <c r="AE14" s="1"/>
  <c r="AG4"/>
  <c r="AG14" s="1"/>
  <c r="AI4"/>
  <c r="AI14" s="1"/>
  <c r="AE5"/>
  <c r="AE15" s="1"/>
  <c r="AG5"/>
  <c r="AG15" s="1"/>
  <c r="AI5"/>
  <c r="AI15" s="1"/>
  <c r="AE6"/>
  <c r="AE16" s="1"/>
  <c r="AG6"/>
  <c r="AG16" s="1"/>
  <c r="AI6"/>
  <c r="AI16" s="1"/>
  <c r="A3" i="10"/>
  <c r="A13" s="1"/>
  <c r="C3"/>
  <c r="C13" s="1"/>
  <c r="E3"/>
  <c r="E13" s="1"/>
  <c r="A4"/>
  <c r="A14" s="1"/>
  <c r="C4"/>
  <c r="C14" s="1"/>
  <c r="E4"/>
  <c r="E14" s="1"/>
  <c r="A5"/>
  <c r="A15" s="1"/>
  <c r="C5"/>
  <c r="C15" s="1"/>
  <c r="E5"/>
  <c r="E15" s="1"/>
  <c r="A6"/>
  <c r="A16" s="1"/>
  <c r="C6"/>
  <c r="C16" s="1"/>
  <c r="E6"/>
  <c r="E16" s="1"/>
  <c r="AE57"/>
  <c r="A3" i="7"/>
  <c r="A13" s="1"/>
  <c r="C3"/>
  <c r="C13" s="1"/>
  <c r="E3"/>
  <c r="E13" s="1"/>
  <c r="A4"/>
  <c r="A14" s="1"/>
  <c r="C4"/>
  <c r="C14" s="1"/>
  <c r="E4"/>
  <c r="E14" s="1"/>
  <c r="A5"/>
  <c r="A15" s="1"/>
  <c r="C5"/>
  <c r="C15" s="1"/>
  <c r="E5"/>
  <c r="E15" s="1"/>
  <c r="A6"/>
  <c r="A16" s="1"/>
  <c r="C6"/>
  <c r="C16" s="1"/>
  <c r="AE3" i="8"/>
  <c r="AE13" s="1"/>
  <c r="AG3"/>
  <c r="AG13" s="1"/>
  <c r="AI3"/>
  <c r="AI13" s="1"/>
  <c r="AE4"/>
  <c r="AE14" s="1"/>
  <c r="AG4"/>
  <c r="AG14" s="1"/>
  <c r="AI4"/>
  <c r="AI14" s="1"/>
  <c r="AE5"/>
  <c r="AE15" s="1"/>
  <c r="AG5"/>
  <c r="AG15" s="1"/>
  <c r="AI5"/>
  <c r="AI15" s="1"/>
  <c r="AE6"/>
  <c r="AE16" s="1"/>
  <c r="AG6"/>
  <c r="AG16" s="1"/>
  <c r="AF2" i="9"/>
  <c r="AF12" s="1"/>
  <c r="AH2"/>
  <c r="AH12" s="1"/>
  <c r="AJ2"/>
  <c r="AJ12" s="1"/>
  <c r="A3"/>
  <c r="A13" s="1"/>
  <c r="C3"/>
  <c r="C13" s="1"/>
  <c r="E3"/>
  <c r="E13" s="1"/>
  <c r="AF3"/>
  <c r="AF13" s="1"/>
  <c r="AH3"/>
  <c r="AH13" s="1"/>
  <c r="AJ3"/>
  <c r="AJ13" s="1"/>
  <c r="A4"/>
  <c r="A14" s="1"/>
  <c r="C4"/>
  <c r="C14" s="1"/>
  <c r="E4"/>
  <c r="E14" s="1"/>
  <c r="AF4"/>
  <c r="AF14" s="1"/>
  <c r="AH4"/>
  <c r="AH14" s="1"/>
  <c r="AJ4"/>
  <c r="AJ14" s="1"/>
  <c r="A5"/>
  <c r="A15" s="1"/>
  <c r="C5"/>
  <c r="C15" s="1"/>
  <c r="E5"/>
  <c r="E15" s="1"/>
  <c r="AF5"/>
  <c r="AF15" s="1"/>
  <c r="AH5"/>
  <c r="AH15" s="1"/>
  <c r="AJ5"/>
  <c r="AJ15" s="1"/>
  <c r="A6"/>
  <c r="A16" s="1"/>
  <c r="C6"/>
  <c r="C16" s="1"/>
  <c r="AF6"/>
  <c r="AF16" s="1"/>
  <c r="AH6"/>
  <c r="AH16" s="1"/>
  <c r="AJ6"/>
  <c r="AJ16" s="1"/>
  <c r="B2" i="10"/>
  <c r="B12" s="1"/>
  <c r="D2"/>
  <c r="D12" s="1"/>
  <c r="F2"/>
  <c r="F12" s="1"/>
  <c r="B3"/>
  <c r="B13" s="1"/>
  <c r="D3"/>
  <c r="D13" s="1"/>
  <c r="F3"/>
  <c r="F13" s="1"/>
  <c r="AE3"/>
  <c r="AE13" s="1"/>
  <c r="AG3"/>
  <c r="AG13" s="1"/>
  <c r="AI3"/>
  <c r="AI13" s="1"/>
  <c r="B4"/>
  <c r="B14" s="1"/>
  <c r="D4"/>
  <c r="D14" s="1"/>
  <c r="F4"/>
  <c r="F14" s="1"/>
  <c r="AE4"/>
  <c r="AE14" s="1"/>
  <c r="AG4"/>
  <c r="AG14" s="1"/>
  <c r="AI4"/>
  <c r="AI14" s="1"/>
  <c r="B5"/>
  <c r="B15" s="1"/>
  <c r="D5"/>
  <c r="D15" s="1"/>
  <c r="F5"/>
  <c r="F15" s="1"/>
  <c r="AE5"/>
  <c r="AE15" s="1"/>
  <c r="AG5"/>
  <c r="AG15" s="1"/>
  <c r="AI5"/>
  <c r="AI15" s="1"/>
  <c r="B6"/>
  <c r="B16" s="1"/>
  <c r="D6"/>
  <c r="D16" s="1"/>
  <c r="AE6"/>
  <c r="AE16" s="1"/>
  <c r="AG6"/>
  <c r="AG16" s="1"/>
</calcChain>
</file>

<file path=xl/sharedStrings.xml><?xml version="1.0" encoding="utf-8"?>
<sst xmlns="http://schemas.openxmlformats.org/spreadsheetml/2006/main" count="2831" uniqueCount="1450">
  <si>
    <t>sona</t>
  </si>
  <si>
    <t>one</t>
  </si>
  <si>
    <t>eleven</t>
  </si>
  <si>
    <t>two</t>
  </si>
  <si>
    <t>three</t>
  </si>
  <si>
    <t>four</t>
  </si>
  <si>
    <t>five</t>
  </si>
  <si>
    <t>six</t>
  </si>
  <si>
    <t>twelve</t>
  </si>
  <si>
    <t>twenty 2</t>
  </si>
  <si>
    <t>seven</t>
  </si>
  <si>
    <t>eight</t>
  </si>
  <si>
    <t>nine</t>
  </si>
  <si>
    <t>HEAD</t>
  </si>
  <si>
    <t>M1</t>
  </si>
  <si>
    <t>M2</t>
  </si>
  <si>
    <t>M3</t>
  </si>
  <si>
    <t>M4</t>
  </si>
  <si>
    <t>M5</t>
  </si>
  <si>
    <t>ten</t>
  </si>
  <si>
    <t>thirteen</t>
  </si>
  <si>
    <t>twenty 3</t>
  </si>
  <si>
    <t>fourteen</t>
  </si>
  <si>
    <t>fifteen</t>
  </si>
  <si>
    <t>sixteen</t>
  </si>
  <si>
    <t>twenty 4</t>
  </si>
  <si>
    <t>seventeen</t>
  </si>
  <si>
    <t>eighteen</t>
  </si>
  <si>
    <t>niunteen</t>
  </si>
  <si>
    <t>twenty</t>
  </si>
  <si>
    <t>twenty 5</t>
  </si>
  <si>
    <t>twenty 6</t>
  </si>
  <si>
    <t>twenty 7</t>
  </si>
  <si>
    <t>twenty 8</t>
  </si>
  <si>
    <t>twnety 9</t>
  </si>
  <si>
    <t>thirty</t>
  </si>
  <si>
    <t>1 ਹੀਰਾ ਲਾਲ ਮੋਮੀ / ਨਰਾਇਣ ਦਾਸ</t>
  </si>
  <si>
    <t>32 ਬਾਗ ਚੰਦ ਅਤੇ ਮੁਨਸੀ ਰਾਮ</t>
  </si>
  <si>
    <t>ਰਾਮ ਪਿਆਰੀ</t>
  </si>
  <si>
    <t>ਕਿਰਨ ਰਾਣੀ</t>
  </si>
  <si>
    <t>11 ਜੈ ਚੰਦ,ਪਰਮਾ/ਸੋਨਾ ਰਾਮ</t>
  </si>
  <si>
    <t>ਬਿਮਲਾ ਦੇਵੀ</t>
  </si>
  <si>
    <t>21 ਲਾਲ ਚੰਦ ਮੋਮੀ / ਟੇਕ ਚੰਦ</t>
  </si>
  <si>
    <t xml:space="preserve">ਜੱਟੀ ਬਾਈ </t>
  </si>
  <si>
    <t>ਦੇਵ ਰਾਜ</t>
  </si>
  <si>
    <t xml:space="preserve">31 ਮਤਾਬ ਰਾਮ ਮੋਮੀ </t>
  </si>
  <si>
    <t xml:space="preserve">ਰਮੇਸ਼ ਕੁਮਾਰ </t>
  </si>
  <si>
    <t>ਛਿੰਦੋ ਬਾਈ</t>
  </si>
  <si>
    <t>ਨੀਲਮ ਰਾਣੀ</t>
  </si>
  <si>
    <t>41 ਸੋਮ ਚੰਦ ਭਗਵਾਨ ਦਾਸ</t>
  </si>
  <si>
    <t>ਵਿਦਿਆ ਰਾਣੀ</t>
  </si>
  <si>
    <t>51 sona</t>
  </si>
  <si>
    <t>ਹਰਕ੍ਰਿਸ਼ਨ ਲਾਲ</t>
  </si>
  <si>
    <t>ਦਰਸ਼ਨਾ ਰਾਣੀ</t>
  </si>
  <si>
    <t>2 ਸ਼ਾਮ ਲਾਲ ਮੋਮੀ / ਨਰੈਣ ਦਾਸ</t>
  </si>
  <si>
    <t>ਸੰਦੀਪ ਕੁਮਾਰ</t>
  </si>
  <si>
    <t>ਕੁਸ਼ਲਿਆਂ ਬਾਈ</t>
  </si>
  <si>
    <t>ਖਰੈਤ ਲਾਲ (ਖੈਰੀ)</t>
  </si>
  <si>
    <t>1</t>
  </si>
  <si>
    <t>ਦੀਪਕ ਕੰਬੋਜ</t>
  </si>
  <si>
    <t>ਸੁਰਿੰਦਰ ਕੁਮਾਰ</t>
  </si>
  <si>
    <t>ਸ਼ਾਰਧਾ ਰਾਣੀ</t>
  </si>
  <si>
    <t>3 ਸਤਨਾਮ ਦਾਸ ਮੋਮੀ - ਨਰੈਣ ਦਾਸ</t>
  </si>
  <si>
    <t xml:space="preserve">ਪਰਮਾ ਨੰਦ </t>
  </si>
  <si>
    <t>ਰੋਹਿਤ ਕੰਬੋਜ</t>
  </si>
  <si>
    <t>ਸ਼ਤੀਸ਼ ਕੁਮਾਰ</t>
  </si>
  <si>
    <t>4 ਕਸ਼ਮੀਰ ਲਾਲ ਮੋਮੀ / ਨਰੈਣ ਦਾਸ</t>
  </si>
  <si>
    <t xml:space="preserve">ਮਾਂਹਗਾ ਰਾਮ </t>
  </si>
  <si>
    <t>ਬੰਸੋ ਬਾਈ</t>
  </si>
  <si>
    <t>ਅਸ਼ੋਕ ਕੁਮਾਰ</t>
  </si>
  <si>
    <t xml:space="preserve">ਸ਼ਿਮਲਾ ਰਾਣੀ </t>
  </si>
  <si>
    <t>ਕਰਨ</t>
  </si>
  <si>
    <t>5 ਦਿਵਾਨ ਚੰਦ ਮੋਮੀ ਅਤੇ ਜੰਮੂ ਰਾਮ / ਚਾੰਦੀ ਰਾਮ</t>
  </si>
  <si>
    <t>6 ਸੋਮ ਪ੍ਰਕਾਸ਼ ਮੋਮੀ / ਚਾਂਦੀ ਰਾਮ</t>
  </si>
  <si>
    <t>ਲਛਮੀ ਬਾਈ</t>
  </si>
  <si>
    <t>ਵੀਨਾ ਰਾਣੀ</t>
  </si>
  <si>
    <t>13 ਸ਼ੇਰ ਚੰਦ ਮੋਮੀ ਅਤੇ ਤਿਲਕ ਰਾਜ/ ਸੋਨਾ ਰਾਮ</t>
  </si>
  <si>
    <t>ਸੱਤੋ ਬਾਈ (ਮਾਂ)</t>
  </si>
  <si>
    <t>22 ਓਮ,ਕ੍ਰਿਸਂਨ,ਪਰਮਾ/ਟੇਕ ਚੰਦ</t>
  </si>
  <si>
    <t>ਸੋਮਾ ਬਾਈ</t>
  </si>
  <si>
    <t>32 ਮਤਾਬ ਰਾਮ (ਦੂਜਾ ਪਰਿਵਾਰ)</t>
  </si>
  <si>
    <t>ਮੁਨਸੀ ਰਾਮ</t>
  </si>
  <si>
    <t>ਭਰਾਵਾਂ ਬਾਈ</t>
  </si>
  <si>
    <t xml:space="preserve">ਬਾਗ ਚੰਦ </t>
  </si>
  <si>
    <t>ਜੱਟੀ ਬਾਈ</t>
  </si>
  <si>
    <t>52 twenty 2</t>
  </si>
  <si>
    <t>7 ਓਮ,ਕ੍ਰਿਸ਼ਨ,ਰਮੇਸ/ਚਾਂਦੀ ਰਾਮ</t>
  </si>
  <si>
    <t>ਹਰੀਸ਼ ਕੁਮਾਰ (ਪ੍ਰੀਸ਼)</t>
  </si>
  <si>
    <t>ਸ਼ੇਰ ਚੰਦ</t>
  </si>
  <si>
    <t>ਓਮ ਪ੍ਰਕਾਸ਼</t>
  </si>
  <si>
    <t>ਸੀਮਾ ਰਾਣੀ</t>
  </si>
  <si>
    <t>ਨਿਤਨ ਕੁਮਾਰ</t>
  </si>
  <si>
    <t>ਸੁਮਿਤਰਾ ਰਾਣੀ</t>
  </si>
  <si>
    <t>ਵਿਪਨ ਕੁਮਾਰ</t>
  </si>
  <si>
    <t>ਰਾਜ ਰਾਣੀ</t>
  </si>
  <si>
    <t>8 ਰਾਮ ਲੁਭਾਇਆ / ਮੇਹਰਾ ਰਾਮ</t>
  </si>
  <si>
    <t>ਤਿਲਕ ਰਾਜ</t>
  </si>
  <si>
    <t>ਰਾਣੋ</t>
  </si>
  <si>
    <t>23 ਕ੍ਰਿਸ਼ਨ ਲਾਮ ਮੋਮੀ / ਟੇਕ ਚੰਦ</t>
  </si>
  <si>
    <t>ਕ੍ਰਿਸ਼ਨਾ ਬਾਈ</t>
  </si>
  <si>
    <t>ਬਾਗ ਚੰਦ</t>
  </si>
  <si>
    <t xml:space="preserve">ਸੀਲਾ ਰਾਣੀ </t>
  </si>
  <si>
    <t>ਹਰਭਗਵਾਨ ਸਰਪੰਚ</t>
  </si>
  <si>
    <t>ਰਾਮੋ ਬਾਈ</t>
  </si>
  <si>
    <t>9 ਲਛਮਣ ਰਾਮ (ਹਕੀਮ ਦੀ ਕੁਟੀਆ ਨਾਲ)</t>
  </si>
  <si>
    <t>ਰਿੰਕਜ ਕੰਬੋਜ</t>
  </si>
  <si>
    <t>ਸੰਤੋਸ਼ ਕੁਮਾਰ</t>
  </si>
  <si>
    <t>ਸਰੋਜ ਰਾਣੀ</t>
  </si>
  <si>
    <t>ਛਿੰਦਰਪਾਲ</t>
  </si>
  <si>
    <t>10 ਵਰਿਆਮ ਚੰਦ ਮੋਮੀ / ਸੋਨਾ ਰਾਮ</t>
  </si>
  <si>
    <t>24 ਪਰਮਾ ਨੰਦ ਮੋਮੀ / ਟੇਕ ਚੰਦ</t>
  </si>
  <si>
    <t>ਭਗਵਾਨ ਦੇਵੀ</t>
  </si>
  <si>
    <t>ਰਾਜ ਕੁਮਾਰ</t>
  </si>
  <si>
    <t>ਜਨਕਾ ਬਾਈ</t>
  </si>
  <si>
    <t>ਹਰਿ ਕ੍ਰਿਸ਼ਨ</t>
  </si>
  <si>
    <t>ਸਰੀਨਾ</t>
  </si>
  <si>
    <t>ਗੀਤਾ ਰਾਣੀ</t>
  </si>
  <si>
    <t>13 ਮੁਨਸ਼ੀ ਰਾਮ ਵਣ ਵਾਲਾ</t>
  </si>
  <si>
    <t>33 ਚਾਂਦੀ ਰਾਮ / ਸੋਭਾ ਰਾਮ</t>
  </si>
  <si>
    <t>ਪੁੰਨੂੰ ਰਾਮ</t>
  </si>
  <si>
    <t>ਸੀਲਾ ਬਾਈ</t>
  </si>
  <si>
    <t>43 ਖਾਨ ਚੰਦ ਗੋਮਾ ਰਾਮ</t>
  </si>
  <si>
    <t>ਭਾਨਾਂ</t>
  </si>
  <si>
    <t>53 twenty 3</t>
  </si>
  <si>
    <t>ਚੰਦਰ ਪ੍ਰਕਾਸ਼</t>
  </si>
  <si>
    <t>ਪ੍ਰਮੇਸ਼ਰੀ ਬਾਈ</t>
  </si>
  <si>
    <t>ਸੋਨਮ</t>
  </si>
  <si>
    <t>ਰਜਨੀਸ਼ ਕੁਮਾਰ</t>
  </si>
  <si>
    <t>ਮਿਲਖ ਰਾਜ</t>
  </si>
  <si>
    <t>ਜਮਨਾ ਬਾਈ</t>
  </si>
  <si>
    <t>ਗੌਰਵ ਕੁਮਾਰ</t>
  </si>
  <si>
    <t>ਪ੍ਰਿਅੰਕਾ ਰਾਣੀ</t>
  </si>
  <si>
    <t>ਰਾਜਿੰਦਰ ਕੁਮਾਰ</t>
  </si>
  <si>
    <t>ਅਮਰਜੋਤ</t>
  </si>
  <si>
    <t>ਕੇਵਲ ਕ੍ਰਿਸ਼ਨ</t>
  </si>
  <si>
    <t>14 ਲੇਖ ਰਾਜ ਮੋਮੀ / ਸੱਤੀ ਰਾਮ</t>
  </si>
  <si>
    <t>ਹੁਕਮ ਚੰਦ</t>
  </si>
  <si>
    <t>ਸੌਰਵ ਕੁਮਾਰ</t>
  </si>
  <si>
    <t>ਕਰਮ ਚੰਦ</t>
  </si>
  <si>
    <t>ਭਗਵਾਨੋ ਦੇਵੀ</t>
  </si>
  <si>
    <t>ਸੀਨਮ ਰਾਣੀ</t>
  </si>
  <si>
    <t>15 ਮਿਲਖ ਰਾਜ ਮੋਮੀ / ਸੱਤੀ ਰਾਮ</t>
  </si>
  <si>
    <t>ਪ੍ਰਸੋਤਮ ਲਾਲ</t>
  </si>
  <si>
    <t>ਬਿਮਲਾ ਰਾਣੀ</t>
  </si>
  <si>
    <t>16 ਹੰਸ ਰਾਜ ਮੋਮੀ / ਸੱਤੀ ਰਾਮ</t>
  </si>
  <si>
    <t>ਅਮਰਜੀਤ</t>
  </si>
  <si>
    <t xml:space="preserve">ਰਾਜ ਰਾਣੀ </t>
  </si>
  <si>
    <t>ਰੇਸ਼ਮਾ ਰਾਣੀ</t>
  </si>
  <si>
    <t>34 ਝਾਂਗੀ ਰਾਮ / ਸੋਭਾ ਰਾਮ</t>
  </si>
  <si>
    <t>44 ਲਾਲ ਚੰਦ ਲਛਮਣ ਰਾਮ</t>
  </si>
  <si>
    <t>ਬਾਗਾਂ ਬਾਈ</t>
  </si>
  <si>
    <t>54 twenty 4</t>
  </si>
  <si>
    <t>17 ਧਰਮ,ਰਾਮ,ਭਗਵਾਨ/ਸੱਤੀ ਰਾਮ</t>
  </si>
  <si>
    <t>ਪਵਨ ਕੁਮਾਰ</t>
  </si>
  <si>
    <t xml:space="preserve">ਜੰਮੂ ਰਾਮ </t>
  </si>
  <si>
    <t>ਗੋਬਿੰਦਾ ਰਾਮ</t>
  </si>
  <si>
    <t>ਲਵਪ੍ਰੀਤ</t>
  </si>
  <si>
    <t>ਪ੍ਰਦੀਪ ਕੁਮਾਰ</t>
  </si>
  <si>
    <t>ਮਹਿੰਦਰ ਕੁਮਾਰ</t>
  </si>
  <si>
    <t>ਕਾਂਤਾ ਰਾਣੀ</t>
  </si>
  <si>
    <t>ਜਨਕਾ ਰਾਣੀ</t>
  </si>
  <si>
    <t>ਜਗਦੀਸ਼ ਕੁਮਾਰ</t>
  </si>
  <si>
    <t xml:space="preserve">20 ਸੋਨਾ ਰਾਮ ਮੋਮੀ / ਟੇਕ ਚੰਦ </t>
  </si>
  <si>
    <t>ਪਰਮਜੀਤ</t>
  </si>
  <si>
    <t>ਕੈਲਾਸ਼ ਰਾਣੀ</t>
  </si>
  <si>
    <t>ਜਤਿੰਦਰ ਕਮਾਰ</t>
  </si>
  <si>
    <t>25 ਅਸ਼ੋਕ ਕੁਮਾਰ ਮੋਮੀ / ਦੇਸ ਰਾਜ</t>
  </si>
  <si>
    <t>ਮਾਇਆ ਬਾਈ</t>
  </si>
  <si>
    <t>ਲਾਜੋ ਰਾਣੀ</t>
  </si>
  <si>
    <t>35 ਲਛਮਣ ਰਾਮ / ਗਹਿਲਾ ਰਾਮ (ਜਤੀ)</t>
  </si>
  <si>
    <t>45 ਹਰੀ ਚੰਦ</t>
  </si>
  <si>
    <t>55 twenty 5</t>
  </si>
  <si>
    <t xml:space="preserve">ਦਿਵਾਨ ਚੰਦ </t>
  </si>
  <si>
    <t>ਰੇਸ਼ਮਾਂ ਦੇਵੀ</t>
  </si>
  <si>
    <t>ਮਮਤਾ ਰਾਣੀ</t>
  </si>
  <si>
    <t>ਸੁਨੀਤਾ ਰਾਣੀ</t>
  </si>
  <si>
    <t>ਵਰਿੰਦਰ ਕੁਮਾਰ</t>
  </si>
  <si>
    <t>ਅਸੋਕ ਕੁਮਾਰ</t>
  </si>
  <si>
    <t>ਸਿਮਰਨ</t>
  </si>
  <si>
    <t>ਲਾਲ ਚੰਦ</t>
  </si>
  <si>
    <t>ਛੱਲੋ ਬਾਈ</t>
  </si>
  <si>
    <t>ਮਮਤਾ</t>
  </si>
  <si>
    <t>ਸਾਜਨ</t>
  </si>
  <si>
    <t>ਸੌਰਵ</t>
  </si>
  <si>
    <t>ਰਵਿੰਦਰ ਕੁਮਾਰ</t>
  </si>
  <si>
    <t>ਜੰਮੂ ਰਾਮ</t>
  </si>
  <si>
    <t>ਜੱਸਾਂ ਬਾਈ</t>
  </si>
  <si>
    <t>ਮੀਰਾਂ ਰਾਣੀ</t>
  </si>
  <si>
    <t>ਜਗਦੀਸ ਕੁਮਾਰ</t>
  </si>
  <si>
    <t>ਕਮਲੇਸ਼ ਰਾਣੀ</t>
  </si>
  <si>
    <t>ਰਮਨਜੀਤ ਕੌਰ</t>
  </si>
  <si>
    <t>ਪ੍ਰਸੋਤਮ ਕੁਮਾਰ</t>
  </si>
  <si>
    <t>ਰਮੇਸ਼ ਕੁਮਾਰ</t>
  </si>
  <si>
    <t>ਰਣਜੀਤ ਕੁਮਾਰ</t>
  </si>
  <si>
    <t>ਰਾਕੇਸ਼ ਕੁਮਾਰ</t>
  </si>
  <si>
    <t>ਵੀਨਾਰਾਣੀ</t>
  </si>
  <si>
    <t>26 ਗੁਰਦਾਸ ਰਾਮ ਮੋਮੀ / ਲੱਭੂ ਰਾਮ</t>
  </si>
  <si>
    <t>ਆਸਾ ਰਾਣੀ</t>
  </si>
  <si>
    <t>ਜਿੰਦਾਂ ਬਾਈ (ਮਾ)</t>
  </si>
  <si>
    <t>36 ਫੱਤਾ ਰਾਮ / ਕਰਮ ਚੰਦ (ਪੰਚਾਇਤੀ ਗੁਰਦੁਆਰੇ ਨਾਲ)</t>
  </si>
  <si>
    <t>ਟੇਕ ਚੰਦ</t>
  </si>
  <si>
    <t>ਦੇਸ ਰਾਜ</t>
  </si>
  <si>
    <t>56 twenty 6</t>
  </si>
  <si>
    <t>27 ਵੱਸੁ ਰਾਮ ਅਤੇ ਪੁੰਨੂੰ ਰਾਮ</t>
  </si>
  <si>
    <t>ਰਣਜੀਤ ਕੰਬੋਜ</t>
  </si>
  <si>
    <t>ਨੀਰਜ ਰਾਣੀ</t>
  </si>
  <si>
    <t>ਫਕੀਰ ਚੰਦ</t>
  </si>
  <si>
    <t>ਕ੍ਰਿਸ਼ਨਾ ਰਾਣੀ</t>
  </si>
  <si>
    <t>ਹੀਰਾ ਲਾਲ</t>
  </si>
  <si>
    <t>ਅੰਜੂ ਬਾਲਾ</t>
  </si>
  <si>
    <t>28 ਹੰਸ ਰਾਜ ਮੋਮੀ / ਬਘੇਲਾ ਰਾਮ</t>
  </si>
  <si>
    <t>ਸਮਰਾਟ ਕੰਬੋਜ</t>
  </si>
  <si>
    <t>ਸੁਨੀਲ ਕੁਮਾਰ</t>
  </si>
  <si>
    <t>29 ਦੇਸ ਰਾਜ ਮੋਮੀ / ਬਘੇਲਾ ਰਾਮ</t>
  </si>
  <si>
    <t>ਸਤਨਾਮ ਚੰਦ</t>
  </si>
  <si>
    <t>ਰਵਿੰਦਰ ਕੌਰ</t>
  </si>
  <si>
    <t>ਸਮਾਇਲ ਕੰਬੋਜ</t>
  </si>
  <si>
    <t>30 ਲੇਖ ਰਾਜ / ਬਘੇਲਾ ਰਾਮ</t>
  </si>
  <si>
    <t>ਪੰਜਾ ਰਾਮ</t>
  </si>
  <si>
    <t>ਨਿਰਮਲਾ ਰਾਣੀ</t>
  </si>
  <si>
    <t>ਸਾਜਨ ਕੰਬੋਜ</t>
  </si>
  <si>
    <t>ਰਮੇਸ਼ ਰਾਣੀ</t>
  </si>
  <si>
    <t>ਗਗਨਦੀਪ</t>
  </si>
  <si>
    <t>ਆਸ਼ਾ ਰਾਣੀ</t>
  </si>
  <si>
    <t xml:space="preserve">37 ਗੁਰਦਾਸ ਰਾਮ / ਕਰਮ ਚੰਦ </t>
  </si>
  <si>
    <t xml:space="preserve">ਲਛਮੀ ਬਾਈ </t>
  </si>
  <si>
    <t>ਕਾਜਲ ਕੰਬੋਜ</t>
  </si>
  <si>
    <t>57 twenty 7</t>
  </si>
  <si>
    <t>8 ਕ੍ਰਿਸ਼ਨ ਲਾਮ ਮੋਮੀ / ਚਾਂਦੀ ਰਾਮ</t>
  </si>
  <si>
    <t>ਧਰਮ ਚੰਦ</t>
  </si>
  <si>
    <t>ਸੁਰੇਸ਼ ਕੁਮਾਰ</t>
  </si>
  <si>
    <t>ਵੱਸੂ ਰਾਮ ਮੋਮੀ</t>
  </si>
  <si>
    <t>ਧਰਮੋਂ ਬਾਈ</t>
  </si>
  <si>
    <t>ਰਾਮ ਨਰੈਣ (ਮੰਗਤ)</t>
  </si>
  <si>
    <t>ਕੈਲਾਸ ਰਾਣੀ</t>
  </si>
  <si>
    <t>9 ਰਮੇਸ਼ ਕੁਮਾਰ ਮੋਮੀ / ਚਾਂਦੀ ਰਾਮ</t>
  </si>
  <si>
    <t>ਰਾਮ ਚੰਦ</t>
  </si>
  <si>
    <t>ਮਥਰਾਂ ਬਾਈ</t>
  </si>
  <si>
    <t>ਵਿਜੇ ਕੁਮਾਰ</t>
  </si>
  <si>
    <t>ਕਰਨਪ੍ਰੀਤ</t>
  </si>
  <si>
    <t>19 ਭਗਵਾਨ ਚੰਦ ਮੋਮੀ / ਸੱਤੀ ਰਾਮ</t>
  </si>
  <si>
    <t>ਬੱਸੀ ਬਾਈ</t>
  </si>
  <si>
    <t>ਸੀਤਾ ਰਾਣੀ</t>
  </si>
  <si>
    <t>ਆਸ਼ਾ</t>
  </si>
  <si>
    <t>38 ਕੋਟ ਚੰਦ ਮੋਮੀ (ਅਰਜਨ ਦਰਸ਼ਨ ਦਾ ਪਿਤਾ)</t>
  </si>
  <si>
    <t>ਜਮਨਾ; ਬਾਈ</t>
  </si>
  <si>
    <t>4 ਹਰਭਜਨ ਲਾਲ</t>
  </si>
  <si>
    <t>58 twenty 8</t>
  </si>
  <si>
    <t xml:space="preserve">ਪੂਰਨ ਪ੍ਰਕਾਸ਼ </t>
  </si>
  <si>
    <t>ਅਰਜਨ ਰਾਮ</t>
  </si>
  <si>
    <t>ਯਸੋਧਾ ਰਾਣੀ</t>
  </si>
  <si>
    <t xml:space="preserve">ਵਰਿੰਦਰ ਕੁਮਾਰ </t>
  </si>
  <si>
    <t>ਨਿਰਮਲ ਰਾਣੀ</t>
  </si>
  <si>
    <t>1 ਬਾਗ ਚੰਦ</t>
  </si>
  <si>
    <t>ਸੁਮਿੱਤਰਾ ਰਾਣੀ</t>
  </si>
  <si>
    <t>ਪ੍ਰਿੰਸ</t>
  </si>
  <si>
    <t>ਦਰਸ਼ਨ ਰਾਮ</t>
  </si>
  <si>
    <t>ਸੰਤੋਸ਼ ਰਾਣੀ</t>
  </si>
  <si>
    <t>2 ਦੌਲਤ ਰਾਮ</t>
  </si>
  <si>
    <t>ਅਨੀਤਾ ਰਾਣੀ</t>
  </si>
  <si>
    <t>39 ਚੰਬਾ ਰਾਮ (ਮਾਸਟਰ ਰਾਝਾ ਰਾਮ ਦਾ ਪਿਤਾ)</t>
  </si>
  <si>
    <t>ਮਨਪ੍ਰੀਤ ਕੁਮਾਰ</t>
  </si>
  <si>
    <t>ਨਵਦੀਪ</t>
  </si>
  <si>
    <t>40 ਰਾਮ ਚੰਦ ਮੈਂਬਰ</t>
  </si>
  <si>
    <t>ਪ੍ਰੇਮ ਕੁਮਾਰ</t>
  </si>
  <si>
    <t>3 ਸੰਦੀਪ ਕੁਮਾਰ</t>
  </si>
  <si>
    <t>ਨੀਤੂ ਬਾਲਾ</t>
  </si>
  <si>
    <t>ਹੰਸ ਰਾਜ</t>
  </si>
  <si>
    <t>ਵਿਸ਼ਨੂੰ ਭਗਵਾਨ</t>
  </si>
  <si>
    <t>ਰੇਸ਼ਮਾਂ ਮੰਮੂ ਖੇਡ਼ੇ</t>
  </si>
  <si>
    <t>59 twnety 9</t>
  </si>
  <si>
    <t>ਮਨਜੀਤ ਰਾਣੀ</t>
  </si>
  <si>
    <t>ਸੁਦੇਸ਼ ਰਾਣੀ</t>
  </si>
  <si>
    <t xml:space="preserve">ਹਰੀਮ ਕੰਬੋਜ </t>
  </si>
  <si>
    <t>ਮਾਂਘਾ ਰਾਮ</t>
  </si>
  <si>
    <t>ਕਰਨ ਕੰਬੋਜ</t>
  </si>
  <si>
    <t>ਫਰਹਿ ਚੰਦ</t>
  </si>
  <si>
    <t>ਰਮਨਜੋਤ</t>
  </si>
  <si>
    <t>ਮਨੀਸ਼ ਕੁਮਾਰ</t>
  </si>
  <si>
    <t>ਸੋਮ ਪ੍ਰਕਾਸ਼</t>
  </si>
  <si>
    <t>ਪੂਨਮ ਰਾਣੀ</t>
  </si>
  <si>
    <t>ਰਮਨਦੀਪ</t>
  </si>
  <si>
    <t>ਸੋਨੀਆ</t>
  </si>
  <si>
    <t>ਵਿਸ਼ਨੂੰ</t>
  </si>
  <si>
    <t>ਵੀਰਾਂ ਬਾਈ</t>
  </si>
  <si>
    <t>ਰਾਂਝਾ ਰਾਮ</t>
  </si>
  <si>
    <t>ਜਸਵਿੰਦਰ ਕੌਰ</t>
  </si>
  <si>
    <t>ਆਸਾ ਰਾਮ</t>
  </si>
  <si>
    <t>ਰੇਸ਼ਮਾ ਬਾਈ</t>
  </si>
  <si>
    <t>ਮਹਿੰਦਰ ਪਾਲ</t>
  </si>
  <si>
    <t>ਸੁਖਵਿੰਦਰ ਕੁਮਾਰ</t>
  </si>
  <si>
    <t>ਰਾਣੀ</t>
  </si>
  <si>
    <t>ਅਾਸ਼ੋ ਬਾਈ</t>
  </si>
  <si>
    <t>ਪਿਆਰੀ ਬਾਈ</t>
  </si>
  <si>
    <t>ਵਨੀਤਾ</t>
  </si>
  <si>
    <t>ਸੁਨੀਤਾ</t>
  </si>
  <si>
    <t>ਹਰੋ ਬਾਈ</t>
  </si>
  <si>
    <t>ਹਾਕਮ ਦੇਵੀ</t>
  </si>
  <si>
    <t>60 thirty</t>
  </si>
  <si>
    <t>ਸਤੀਸ ਕੁਮਾਰ</t>
  </si>
  <si>
    <t>ਹਰਕ੍ਰਿਸ਼ਨ ਲਾਲ ਮੂਲੀ</t>
  </si>
  <si>
    <t>ਕ੍ਰਿਸ਼ਨ ਬਾਈ</t>
  </si>
  <si>
    <t>ਕਰਮਜੀਤ ਕੌਰ</t>
  </si>
  <si>
    <t xml:space="preserve">ਹੁਕਮ ਚੰਦ ਪੁੱਤਰ ਜਾਂਜੀ ਰਾਮ </t>
  </si>
  <si>
    <t>ਕਰਮੋ ਬਾਈ</t>
  </si>
  <si>
    <t>ਵੀਨਾਂ ਰਾਣੀ</t>
  </si>
  <si>
    <t>ਸ਼ਿਮਲਾ ਰਾਣੀ</t>
  </si>
  <si>
    <t>ਸੂਰਜ ਕੁਮਾਰ</t>
  </si>
  <si>
    <t>ਚਰਨ ਜੀਤ ਚੰਨੂੰ</t>
  </si>
  <si>
    <t>ਮਧੂ</t>
  </si>
  <si>
    <t>ਸ਼ਲਿੰਦਰ ਕੁਮਾਰ</t>
  </si>
  <si>
    <t>ਪ੍ਰਕਾਸ਼ ਰਾਣੀ</t>
  </si>
  <si>
    <t>ਸੋਨੂੰ</t>
  </si>
  <si>
    <t>ਕ੍ਰਿਸ਼ਨ ਕੁਮਾਰ ਜ਼ਾਜੀ ਰਾਮ</t>
  </si>
  <si>
    <t>ਊਸ਼ਾ ਰਾਣੀ</t>
  </si>
  <si>
    <t>ਵੇਦ ਪ੍ਰਕਾਸ਼ ਜਾਂਜੀ ਰਾਮ</t>
  </si>
  <si>
    <t>ਨਿਰਮਲਾ ਦੇਵੀ</t>
  </si>
  <si>
    <t>ਮਨੋਜ ਕੁਮਾਰ</t>
  </si>
  <si>
    <t>1 ਗੁਲਾਬ ਰਾਮ ਗਣੇਸਾ ਰਾਮ</t>
  </si>
  <si>
    <t>32 ਉੱਤਮ ਚੰਦ ਚੰਬਾ ਰਾਮ</t>
  </si>
  <si>
    <t>ਸ਼ੰਤੋਸ਼ ਰਾਣੀ</t>
  </si>
  <si>
    <t xml:space="preserve">ਮੀਰਾਂ ਬਾਈ </t>
  </si>
  <si>
    <t>11 ਸਾਬੂ ਰਾਮ</t>
  </si>
  <si>
    <t>ਨੱਥ ਮੱਲ</t>
  </si>
  <si>
    <t>ਬਖਤਾਂ ਬਈ</t>
  </si>
  <si>
    <t>21 ਲਾਲ ਚੰਦ</t>
  </si>
  <si>
    <t>31 ਸੋਭਾ ਰਾਮ ਨਿਬਾਹੁ ਰਾਮ</t>
  </si>
  <si>
    <t>41 ਵੇਦ ਪ੍ਰਕਾਸ ਵਿਸਾਖਾ ਰਾਮ</t>
  </si>
  <si>
    <t>51 ਭਗਵਾਨ ਦਾਸ (ਰੰਗੀਲਾ)</t>
  </si>
  <si>
    <t>ਲਖਵਿੰਦਰ ਕੁਮਾਰ</t>
  </si>
  <si>
    <t>2 ਦੇਸ ਰਾਜ</t>
  </si>
  <si>
    <t>ਖਰੈਤ ਲਾਲ</t>
  </si>
  <si>
    <t>ਰੇਸ਼ਮਾਂ ਰਾਣੀ</t>
  </si>
  <si>
    <t>ਬਲਦੇਵ ਕ੍ਰਿਸ਼ਨ</t>
  </si>
  <si>
    <t>ਹੇਮ ਰਾਜ</t>
  </si>
  <si>
    <t>ਸੰਜੀਵ ਕੁਮਾਰ</t>
  </si>
  <si>
    <t>ਰਾਮ ਨਰਾਇਣ</t>
  </si>
  <si>
    <t xml:space="preserve">3 ਲਛਮਣ ਰਾਮ </t>
  </si>
  <si>
    <t>ਪੂਰਨ ਪ੍ਰਕਾਸ਼</t>
  </si>
  <si>
    <t>ਹਾਕਮ ਚੰਦ</t>
  </si>
  <si>
    <t>ਸੋਨੂੰ ਕੰਬੋਜ</t>
  </si>
  <si>
    <t>ਸ਼ਾਮੋ ਬਾਈ</t>
  </si>
  <si>
    <t>ਯੋਗੇਸ਼ ਕੰਬੋਜ</t>
  </si>
  <si>
    <t>4 ਕਮਲਦੀਪ ਪੁੱਤਰ ਹਰੀ ਚੰਦ</t>
  </si>
  <si>
    <t>ਬੁੱਧਾਂ ਬਾਈ</t>
  </si>
  <si>
    <t>ਰਮਨ ਕੁਮਾਰ</t>
  </si>
  <si>
    <t>ਵਲੈਤ ਰਾਮ</t>
  </si>
  <si>
    <t>ਸੁਮਨ ਰਾਣੀ</t>
  </si>
  <si>
    <t>ਵੇਦ ਪ੍ਰਕਾਸ਼</t>
  </si>
  <si>
    <t>ਕ੍ਰਿਸ਼ਨਾ ਰਾਣੀ w/o ਵੇਦ ਪ੍ਰਕਾਸ਼</t>
  </si>
  <si>
    <t>ਸਰਵ ਮਿੱਤਰ</t>
  </si>
  <si>
    <t>ਗਗਨਦੀਪ w/o ਸਰਵ ਮਿੱਤਰ</t>
  </si>
  <si>
    <t xml:space="preserve">ਨਵਦੀਪ ਕੁਮਾਰ </t>
  </si>
  <si>
    <t>ਪ੍ਰਿੰਕਾ ਰਾਣੀ w/o ਨਵਦੀਪ</t>
  </si>
  <si>
    <t>5 ਅਮੀਰ ਚੰਦ ਲਛਮਣ ਰਾਮ</t>
  </si>
  <si>
    <t>ਅਮਨਦੀਪ ਕੌਰ</t>
  </si>
  <si>
    <t>6 ਰਾਮ ਚੰਦ ਲਛਮਣ ਰਾਮ</t>
  </si>
  <si>
    <t xml:space="preserve">ਟੇਕ ਚੰਦ </t>
  </si>
  <si>
    <t>ਵੱਸਾਂ ਬਾਈ</t>
  </si>
  <si>
    <t>12 ਖਰੈਤ ਲਾਲ ਬੂਟਾ ਰਾਮ</t>
  </si>
  <si>
    <t>ਜੀਤੋ ਬਾਈ</t>
  </si>
  <si>
    <t>22 ਹੁਕਮ ਚੰਦ ਫੌਜੀ ਪੁੰਨੂੰ ਰਾਮ</t>
  </si>
  <si>
    <t>42 ਸੁੰਦਰ ਰਾਮ</t>
  </si>
  <si>
    <t>52 ਦੇਸ ਰਾਜ ਜੋਸਣ</t>
  </si>
  <si>
    <t>62 ਜੇਠਾ ਰਾਮ</t>
  </si>
  <si>
    <t xml:space="preserve">7 ਸਾਬੂ ਰਾਮ </t>
  </si>
  <si>
    <t>ਭਰਥ ਰਾਜ</t>
  </si>
  <si>
    <t>ਕੁਲਵੰਤ ਕੌਰ</t>
  </si>
  <si>
    <t>ਸਿਵ ਕੰਬੋਜ</t>
  </si>
  <si>
    <t>ਆਕਾਸ਼ ਕੰਬੋਜ</t>
  </si>
  <si>
    <t xml:space="preserve">ਰਵਿੰਦਰ ਕੁਮਾਰ </t>
  </si>
  <si>
    <t>ਹਰਭਜਭਨ (ਬਿੱਟੂ)</t>
  </si>
  <si>
    <t>ਕਮਲੇਸ਼</t>
  </si>
  <si>
    <t>1 ਹਰਭਗਵਾਨ</t>
  </si>
  <si>
    <t>ਰਾਜੀਵ ਕੁਮਾਰ</t>
  </si>
  <si>
    <t>ਬਲਜੀਤ ਕੌਰ w/o ਰਾਜੀਵ</t>
  </si>
  <si>
    <t>ਸੀਮਾ w/o ਸੰਜੀਵ</t>
  </si>
  <si>
    <t>ਰਾਮ ਲੁਭਾਇਆ</t>
  </si>
  <si>
    <t>ਗੁਰਪ੍ਰੀਤ ਰਾਣੀ</t>
  </si>
  <si>
    <t>8 ਸਤਨਾਮ ਦਾਸ ਮੁਨਸੀ ਰਾਮ</t>
  </si>
  <si>
    <t>ਲੇਖ ਰਾਜ</t>
  </si>
  <si>
    <t>ਲਾਜੇ ਬਾਈ</t>
  </si>
  <si>
    <t xml:space="preserve">ਵੀਨਾ ਰਾਣੀ </t>
  </si>
  <si>
    <t>ਸਮ੍ਰਾਟ</t>
  </si>
  <si>
    <t>ਬਲਦੇਵ ਰਾਜ</t>
  </si>
  <si>
    <t xml:space="preserve">ਕੁਸ਼ਲਿਆ ਦੇਵੀ </t>
  </si>
  <si>
    <t>ਅਮਨ ਕੰਬੋਜ</t>
  </si>
  <si>
    <t>ਸ਼ਮੀਨਾ ਕੰਬੋਜ w/o ਅਮਨ</t>
  </si>
  <si>
    <t>ਸੋਮਾ ਰਾਣੀ</t>
  </si>
  <si>
    <t xml:space="preserve">ਰਮਨਦੀਪ </t>
  </si>
  <si>
    <t>9 ਰਾਮ ਲੁਭਾਇਆ ਜੋਧਾ ਰਾਮ</t>
  </si>
  <si>
    <t>ਅਵਿਨਾਸ਼ ਚੰਦਰ</t>
  </si>
  <si>
    <t>ਗੀਤਾ ਦੇਵੀ</t>
  </si>
  <si>
    <t>ਪ੍ਰਮੋਦ ਕੁਮਾਰ</t>
  </si>
  <si>
    <t>ਕਿਰਨਾ ਰਾਣੀ</t>
  </si>
  <si>
    <t>ਅਨੀਤਾ</t>
  </si>
  <si>
    <t>2 ਓਮ ਪ੍ਰਕਾਸ਼</t>
  </si>
  <si>
    <t>ਰਾਮ ਪ੍ਰਕਾਸ਼</t>
  </si>
  <si>
    <t>ਸੁਮਿੱਤਰਾ ਦੇਵੀ</t>
  </si>
  <si>
    <t>ਅਲੀਸ਼ਾ ਕੰਬੋਜ w/o ਆਕਾਸ਼</t>
  </si>
  <si>
    <t>10 ਰਮੇਸ਼ ਕੁਮਾਰ ਜੋਧਾ ਰਾਮ</t>
  </si>
  <si>
    <t>ਪਰਮਾ ਨੰਦ</t>
  </si>
  <si>
    <t xml:space="preserve">ਸੋਮਾ ਰਾਣੀ </t>
  </si>
  <si>
    <t>ਸ਼ਮਿੰਦਰ ਕੁਮਾਰ</t>
  </si>
  <si>
    <t>13 ਜੈ ਚੰਦ ਰਾਮ ਚੰਦ</t>
  </si>
  <si>
    <t xml:space="preserve">ਕ੍ਰਿਸ਼ਨਾ </t>
  </si>
  <si>
    <t>23 ਸੋਨਾਂ ਰਾਮ ਪੁੰਨੂੰ ਰਾਮ</t>
  </si>
  <si>
    <t xml:space="preserve">ਕਰਮੋ ਬਾਈ </t>
  </si>
  <si>
    <t>33 ਮੁਨਸੀ ਰਾਮ ਚੰਬਾ ਰਾਮ</t>
  </si>
  <si>
    <t>43 ਪੰਜਾ ਰਾਮ ਚਾਨਣ ਰਾਮ</t>
  </si>
  <si>
    <t>53 ਹਰ ਨਰਾਇਣ</t>
  </si>
  <si>
    <t>63 ਲਖਮੀ ਚੰਦ</t>
  </si>
  <si>
    <t xml:space="preserve">ਸਤਨਾਮ ਰਾਮ </t>
  </si>
  <si>
    <t>ਮਨਪ੍ਰੀਤ ਕੰਬੋਜ</t>
  </si>
  <si>
    <t>ਭਗਵਾਨ ਚੰਦ</t>
  </si>
  <si>
    <t>ਪੂਜਾ ਰਾਣੀ</t>
  </si>
  <si>
    <t>ਸਵੀਟੀ</t>
  </si>
  <si>
    <t>ਤੀਰਥ ਰਾਮ</t>
  </si>
  <si>
    <t>ਊਸ਼ਾ ਰਾਣਿ</t>
  </si>
  <si>
    <t>ਕੁਲਦੀਪ ਕੁਮਾਰ</t>
  </si>
  <si>
    <t>ਵੀਰਾਂ ਰਾਣੀ</t>
  </si>
  <si>
    <t>ਧਰਮ ਪਾਲ</t>
  </si>
  <si>
    <t>ਗਗਨਦੀਪ ਕੰਬੋਜ(ਲ)</t>
  </si>
  <si>
    <t>ਗੁਰਪ੍ਰੀਤ ਕੰਬੋਜ</t>
  </si>
  <si>
    <t>ਦਿਆਲ ਚੰਦ</t>
  </si>
  <si>
    <t>ਦਰਸਣਾ ਰਾਣੀ</t>
  </si>
  <si>
    <t>ਨਵਦੀਪ ਕੁਮਾਰ</t>
  </si>
  <si>
    <t>ਪੁਨੀਤ</t>
  </si>
  <si>
    <t>ਵਨੀਸਾ ਕੰਬੋਜ</t>
  </si>
  <si>
    <t>14 ਨੰਦ ਲਾਲ ਮੋਤੀ ਰਾਮ</t>
  </si>
  <si>
    <t>ਰਾਧੇ ਸ਼ਾਮ</t>
  </si>
  <si>
    <t>ਕਿਰਨ ਬਾਲਾ</t>
  </si>
  <si>
    <t>ਪਰਸ਼ੋਤਮ ਚੰਦ</t>
  </si>
  <si>
    <t>ਪਾਇਲ ਕੰਬੋਜ</t>
  </si>
  <si>
    <t>ਸਾਗਰ</t>
  </si>
  <si>
    <t>15 ਖਾਨ ਚੰਦ ਮੋਤੀ ਰਾਮ</t>
  </si>
  <si>
    <t>ਜਗਦੇਵ ਚੰਦ</t>
  </si>
  <si>
    <t>ਮੰਜੂ ਬਾਲਾ</t>
  </si>
  <si>
    <t>16 ਕਮਲਦੀਪ (ਕਾਲ਼ੀ) ਹਰੀ ਚੰਦ</t>
  </si>
  <si>
    <t>ਦਿਕਸ਼ਾ</t>
  </si>
  <si>
    <t>ਅਭਿਸ਼ੇਕ ਕੰਬੋਜ</t>
  </si>
  <si>
    <t>24 ਹਰੀ ਚੰਦ ਪੁੰਨੂੰ ਰਾਮ</t>
  </si>
  <si>
    <t>ਸੱਦਾਂ ਬਾਈ</t>
  </si>
  <si>
    <t>34 ਮਲਾਵਾ ਰਾਮ ਜੋਸਣ</t>
  </si>
  <si>
    <t>44 ਚੰਬਾ ਰਾਮ ਚਾਨਣ ਰਾਮ</t>
  </si>
  <si>
    <t>54 ਭਗਵਾਨ ਦਾਸ ਜਾਗੂ ਰਾਮ</t>
  </si>
  <si>
    <t>ਪ੍ਰਮੇਸ਼ਰੀ ਦੇਵੀ</t>
  </si>
  <si>
    <t>64 ਭਾਗੂ ਰਾਮ</t>
  </si>
  <si>
    <t>17 ਟੇਕ ਚੰਦ ਪੁੰਨੂੰ ਰਾਮ</t>
  </si>
  <si>
    <t>ਜਗਦੀਸ਼ ਕੁਮਾਰ (ਛਿੰਦਾ)</t>
  </si>
  <si>
    <t>ਗੁਲਾਬ ਰਾਮ</t>
  </si>
  <si>
    <t>ਨੇਹਾ</t>
  </si>
  <si>
    <t>ਸਵਰਨਾ ਰਾਣੀ</t>
  </si>
  <si>
    <t>ਅਨਮੋਲ</t>
  </si>
  <si>
    <t>ਅਨੁਰਾਗ</t>
  </si>
  <si>
    <t>ਸ਼ੀਲਾ ਰਾਣੀ</t>
  </si>
  <si>
    <t>ਹੇਮ ਪ੍ਰਕਾਸ਼</t>
  </si>
  <si>
    <t>ਅਮਨਦੀਪ</t>
  </si>
  <si>
    <t>18 ਗੁਰਦਾਸ ਰਾਮ ਪੁੰਨੂੰ ਰਾਮ</t>
  </si>
  <si>
    <t>ਸੀਮਾਂ ਰਾਣੀ</t>
  </si>
  <si>
    <t>ਸਰਬਜੀਤ ਕੌਰ</t>
  </si>
  <si>
    <t>ਅਭਿਸੇਕ</t>
  </si>
  <si>
    <t>ਡੁੱਗੂ</t>
  </si>
  <si>
    <t>ਟੇਕ ਚੰਦ ਸਵ:</t>
  </si>
  <si>
    <t xml:space="preserve">ਵਿਪਨ ਕੁਮਾਰ </t>
  </si>
  <si>
    <t>ਵਿਸ਼ਨੂ ਦੇਵ</t>
  </si>
  <si>
    <t>19 ਬਲਵਿੰਦਰ ਸਿੰਘ (ਝਾਜਾਂ ਵਾਲਾ) ਵਣ ਵਾਲਾ</t>
  </si>
  <si>
    <t>ਕ੍ਰਿਸ਼ਨਾਂ ਰਾਣੀ</t>
  </si>
  <si>
    <t>ਆਸੂ ਰਾਣੀ</t>
  </si>
  <si>
    <t>ਖਾਨ ਚੰਦ</t>
  </si>
  <si>
    <t>ਸੱਤੋ ਬਾਈ</t>
  </si>
  <si>
    <t>ਅਜੇ ਕੰਬੋਜ</t>
  </si>
  <si>
    <t>ਛਿੰਦਰ ਪਾਲ</t>
  </si>
  <si>
    <t xml:space="preserve">ਪ੍ਰਕਾਸ਼ </t>
  </si>
  <si>
    <t>ਕਾਂਤਾ</t>
  </si>
  <si>
    <t>25 ਅਮਰ ਸਿੰਘ ਮਾਣ ਸਿੰਘ</t>
  </si>
  <si>
    <t>ਲਛਮੀ ਬਾੲ.</t>
  </si>
  <si>
    <t>ਸੰਤੋਸ ਰਾਣੀ</t>
  </si>
  <si>
    <t>35 ਸੁਦਾਗਰ ਰਾਮ ਜੋਸਣ</t>
  </si>
  <si>
    <t>45 ਬਾਗ ਚੰਦ ਚਾਨਣ ਰਾਮ</t>
  </si>
  <si>
    <t>55 ਹਰਭਜਨ ਪ੍ਰਕਾਸ</t>
  </si>
  <si>
    <t>65 ਸਤਨਾਮ ਅਤੇ ਸੋਮ / ਲਛਮਣ ਰਾਮ</t>
  </si>
  <si>
    <t>ਹਰਵਿੰਦਰ ਕੌਰ</t>
  </si>
  <si>
    <t>ਜੈਮਲ</t>
  </si>
  <si>
    <t>1 ਕਸ਼ਮੀਰ ਲਾਲ</t>
  </si>
  <si>
    <t>ਸੁਰਜੀਤ ਰਾਣੀ</t>
  </si>
  <si>
    <t>1 ਮੱਖਣ ਰਾਮ</t>
  </si>
  <si>
    <t>ਰਣਜੀਤ ਰਾਣੀ</t>
  </si>
  <si>
    <t>ਰੇਨੂ ਬਾਲਾ</t>
  </si>
  <si>
    <t>ਜੈ ਦੇਵੀ</t>
  </si>
  <si>
    <t>ਦਰਸ਼ਨ ਚੰਦ</t>
  </si>
  <si>
    <t>ਪ੍ਰਵੀਨ ਰਾਣੀ</t>
  </si>
  <si>
    <t>ਮਨਜੀਤ ਕੁਮਾਰ</t>
  </si>
  <si>
    <t>ਸੰਜੂ</t>
  </si>
  <si>
    <t>ਹਰਪ੍ਰੀਤ</t>
  </si>
  <si>
    <t>ਲਵਲੀਨ</t>
  </si>
  <si>
    <t>ਨੀਰਜ ਚੌਧਰੀ</t>
  </si>
  <si>
    <t>ਦਵਿੰਦਰ ਕੁਮਾਰ</t>
  </si>
  <si>
    <t>2 ਕਾਂਸੀ ਰਾਮ</t>
  </si>
  <si>
    <t>2 ਸੁਰਿੰਦਰ ਕੁਮਾਰ</t>
  </si>
  <si>
    <t>ਜਨਕ ਰਾਣੀ</t>
  </si>
  <si>
    <t>ਸੁਮਿੱਤ</t>
  </si>
  <si>
    <t>ਪ੍ਰੀਯਾ D/O ਅਸ਼ੋਕ</t>
  </si>
  <si>
    <t>26 ਪ੍ਰੇਮ ਚੰਦ ਕਾਲੂ ਰਾਮ</t>
  </si>
  <si>
    <t>ਸਿਮਤਰਾ ਰਾਣੀ</t>
  </si>
  <si>
    <t>ਦਿਕਸ਼ਾ ਰਾਣੀ</t>
  </si>
  <si>
    <t>36 ਹਰੀ ਚੰਦ ਜੋਸਣ ਸਰਪੰਚ</t>
  </si>
  <si>
    <t>46 ਫੱਤਾ ਰਾਮ ਜੋਸਣ</t>
  </si>
  <si>
    <t>ਪਰਸਾ ਰਾਮ</t>
  </si>
  <si>
    <t>4 ਸਰਮਾ ਨੰਦ</t>
  </si>
  <si>
    <t>56 ਲਛਮਣ ਰਾਮ ਪਾਠੀ</t>
  </si>
  <si>
    <t>66 ਝੰਡਾ ਰਾਮ ਅਤੇ ਜੈ ਚੰਦ</t>
  </si>
  <si>
    <t>ਝੰਡਾ ਰਾਮ</t>
  </si>
  <si>
    <t>ਦੇਵਾਂ ਬਾਈ</t>
  </si>
  <si>
    <t>ਰਾਕੇਸ਼ ਕੁਮਾਰ ਕਪੂਰਥਲਾ</t>
  </si>
  <si>
    <t>27 ਭਗਵਾਨ ਚੰਦ ਕਾਲੂ ਰਾਮ</t>
  </si>
  <si>
    <t>ਸਾਮ ਕ੍ਰਿਸ਼ਨ</t>
  </si>
  <si>
    <t>ਰਮੇਸ਼ ਕੁਮਾਰ (ਮੰਗੂ)</t>
  </si>
  <si>
    <t>ਰਾਧਾ ਰਾਣੀ</t>
  </si>
  <si>
    <t>1 ਬੂਟਾ ਰਾਮ</t>
  </si>
  <si>
    <t>1 ਹੰਸ ਰਾਜ</t>
  </si>
  <si>
    <t>ਪਰਮੇਸ਼ਰੀ ਰਾਣੀ</t>
  </si>
  <si>
    <t>ਨਾਨਕ ਚੰਦ(ਜਵਾਈ)</t>
  </si>
  <si>
    <t>ਗਿਆਨ ਚੰਦ</t>
  </si>
  <si>
    <t xml:space="preserve">ਅਮਨਦੀਪ </t>
  </si>
  <si>
    <t>ਅਮਨਦੀਪ ਕੰਬੋਜ</t>
  </si>
  <si>
    <t>28 ਗੱਜਣ ਰਾਮ</t>
  </si>
  <si>
    <t>ਰਾਜੇਸ ਕੁਮਾਰ</t>
  </si>
  <si>
    <t>5 ਅਸੋਕ ਕੁਮਾਰ</t>
  </si>
  <si>
    <t>ਗੁਰਪ੍ਰੀਤ</t>
  </si>
  <si>
    <t xml:space="preserve">ਦੌਲਤ ਰਾਮ </t>
  </si>
  <si>
    <t>ਪਰਮਜੀਤ ਰਾਣੀ</t>
  </si>
  <si>
    <t>29 ਰਾਮ ਦਾਸ ਨਰੈਣ ਦਾਸ</t>
  </si>
  <si>
    <t>2 ਮਿਲਖ ਰਾਜ</t>
  </si>
  <si>
    <t>ਵਿਦਿਆ ਬਾਈ</t>
  </si>
  <si>
    <t xml:space="preserve">ਖਰੈਤ ਲਾਲ </t>
  </si>
  <si>
    <t>ਕ੍ਰਿਸ਼ਨਾਂ ਬਾਈ</t>
  </si>
  <si>
    <t xml:space="preserve">ਸੰਦੀਪ ਕੁਮਾਰ </t>
  </si>
  <si>
    <t>ਅਮਨਦੀਪ ਕੁਮਾਰ</t>
  </si>
  <si>
    <t>30 ਹਾਕਮ ਚੰਦ ਨਰੈਣ ਦਾਸ</t>
  </si>
  <si>
    <t>2 ਮਾਂਘਾ ਰਾਮ</t>
  </si>
  <si>
    <t>3 ਪਰਮਾ ਨੰਦ</t>
  </si>
  <si>
    <t>ਸੁਰਿੰਦਰ ਕੁਮਾਰ(ਪਰਮਾ ਨੰਦ)</t>
  </si>
  <si>
    <t>ਅਮਨ ਦੀਪ</t>
  </si>
  <si>
    <t>ਜੈ ਚੰਦ</t>
  </si>
  <si>
    <t>ਪਿੰਦਰ ਕੌਰ</t>
  </si>
  <si>
    <t>ਪੂਨਮ ਰਾਣੀ (ਬੇਟੀ)</t>
  </si>
  <si>
    <t>ਠਰੀ ਬਾਈ</t>
  </si>
  <si>
    <t>ਰੇਸ਼ਮਾਂ</t>
  </si>
  <si>
    <t>ਕੈਲਾਸ਼</t>
  </si>
  <si>
    <t>ਪ੍ਰਕਾਸ਼</t>
  </si>
  <si>
    <t>ਲੱਭੂ ਰਾਮ</t>
  </si>
  <si>
    <t>ਕੌਸ਼ਲਿਆ</t>
  </si>
  <si>
    <t xml:space="preserve">ਨੀਲਮ ਰਾਣੀ </t>
  </si>
  <si>
    <t>37 ਹਰੀ ਚੰਦ ਬੱਗੁ ਰਾਮ</t>
  </si>
  <si>
    <t>ਸੁਮਿਤਰਾ ਬਾਈ</t>
  </si>
  <si>
    <t>47 ਲਾਲ ਚੰਦ ਮਹਿਲਾ ਰਾਮ</t>
  </si>
  <si>
    <t xml:space="preserve">57 ਕੇਸਰ ਰਾਮ </t>
  </si>
  <si>
    <t>67 ਵਿਸਾਖਾ ਰਾਮ ਜੋਸਨ</t>
  </si>
  <si>
    <t>ਮੰਗਤ ਰਾਮ</t>
  </si>
  <si>
    <t>ਪਰਵੀਨ ਰਾਣੀ</t>
  </si>
  <si>
    <t>1 ਰਮੇਸ਼ ਕੁਮਾਰ</t>
  </si>
  <si>
    <t>ਬਿੰਦਰ ਕੌਰ</t>
  </si>
  <si>
    <t>ਪ੍ਰਿੰਸ ਰਾਣੀ</t>
  </si>
  <si>
    <t>ਹਰਭਗਵਾਨ</t>
  </si>
  <si>
    <t>ਪਲਕ ਰਾਣੀ</t>
  </si>
  <si>
    <t>ਰਜਿੰਦਰ ਕੁਮਾਰ</t>
  </si>
  <si>
    <t>2 ਸੋਮ ਚੰਦ</t>
  </si>
  <si>
    <t>ਸ਼ਾਮ ਚੰਦ</t>
  </si>
  <si>
    <t>ਵਿਸ਼ਾਲ ਕੁਮਾਰ</t>
  </si>
  <si>
    <t>ਮਧੁ ਬਾਲਾ</t>
  </si>
  <si>
    <t>ਕੁਸਲਿਆਂ ਬਾਈ</t>
  </si>
  <si>
    <t>ਸੀਲਾ ਰਾਣੀ</t>
  </si>
  <si>
    <t>38 ਸੱਜਣ ਰਾਮ</t>
  </si>
  <si>
    <t>48 ਗੁਰਦਾਸ ਰਾਮ ਨੱਥੂ ਰਾਮ</t>
  </si>
  <si>
    <t xml:space="preserve">ਕ੍ਰਿਸ਼ਨਾਂ ਬਾਈ </t>
  </si>
  <si>
    <t xml:space="preserve">ਪੂਨਮ ਰਾਣੀ </t>
  </si>
  <si>
    <t>58 ਦਿਵਾਨ ਚੰਦ</t>
  </si>
  <si>
    <t>ਸ਼ੀਲਾ ਰਾਣੀ (ਵੀਨਾਂ,ਵਿਕਾਸ,ਨੀਤੂ)</t>
  </si>
  <si>
    <t>68 ਘਮੰਡੀ ਰਾਮ</t>
  </si>
  <si>
    <t>ਗੋਕਲ ਚੰਦ</t>
  </si>
  <si>
    <t>ਅਵਿਨਾਸ਼</t>
  </si>
  <si>
    <t>ਸਤਨਾਮ ਦਾਸ</t>
  </si>
  <si>
    <t>ਬਿੰਦਰ ਪਾਲ</t>
  </si>
  <si>
    <t>ਭੀਮ ਸੈਨ ਚੰਦੂ ਰਾਮ</t>
  </si>
  <si>
    <t>ਨਖੀਤਾ</t>
  </si>
  <si>
    <t>ਕਸ਼ਮੀਰ ਲਾਲ</t>
  </si>
  <si>
    <t>ਨਰਿੰਦਰ ਕੁਮਾਰ</t>
  </si>
  <si>
    <t>ਕ੍ਰਿਸ਼ਨ ਕੁਮਾਰ</t>
  </si>
  <si>
    <t>ਉਰਮਿਲਾ ਰਾਣੀ</t>
  </si>
  <si>
    <t>ਪ੍ਰਿੰਕਾ ਰਾਣੀ</t>
  </si>
  <si>
    <t xml:space="preserve">ਕਸ਼ਮੀਰ ਲਾਲ </t>
  </si>
  <si>
    <t>ਸੁਖਦੇਵ ਰਾਜ</t>
  </si>
  <si>
    <t>ਸਾਮ ਲਾਲ</t>
  </si>
  <si>
    <t>ਭਜਨ ਲਾਲ</t>
  </si>
  <si>
    <t>ਰਾਜ ਕ੍ਰਿਸ਼ਨ</t>
  </si>
  <si>
    <t>ਸਚਿਨ ਕੰਬੋਜ</t>
  </si>
  <si>
    <t>ਅਨਮੋਲ ਕੰਬਜ</t>
  </si>
  <si>
    <t>ਕੰਸ ਰਾਜ</t>
  </si>
  <si>
    <t>39 ਅਮੀਰ ਚੰਦ</t>
  </si>
  <si>
    <t xml:space="preserve">ਰਾਜਪਾਲ </t>
  </si>
  <si>
    <t>ਆਤਮਾ ਰਾਮ</t>
  </si>
  <si>
    <t>40 ਚਾਂਦੀ ਰਾਮ</t>
  </si>
  <si>
    <t>ਸੋਮਾਂ ਬਾਈ</t>
  </si>
  <si>
    <t>ਬਲਜਿੰਦਰ ਕੁਮਾਰ</t>
  </si>
  <si>
    <t>ਰੀਤੂ ਬਾਲਾ</t>
  </si>
  <si>
    <t>ਗੁਰਪ੍ਰੀਤ ਕੁਮਾਰ</t>
  </si>
  <si>
    <t>ਨਾਨਕ ਚੰਦ</t>
  </si>
  <si>
    <t>ਵੀਨਾ</t>
  </si>
  <si>
    <t>ਜਨਕਾ</t>
  </si>
  <si>
    <t>ਮਾਇਆਂ ਬਾਈ</t>
  </si>
  <si>
    <t>ਜਿੰਦਾ ਬਾਈ</t>
  </si>
  <si>
    <t xml:space="preserve"> 49 ਲੱਖਾ ਰਾਮ </t>
  </si>
  <si>
    <t>59 ਮਾਣ ਸਿੰਘ ਨਿਹੰਗ</t>
  </si>
  <si>
    <t xml:space="preserve">ਸ਼ੇਰ ਸਿੰਘ </t>
  </si>
  <si>
    <t>ਅਰਜਨ ਸਿੰਘ</t>
  </si>
  <si>
    <t>69 ਨਰੈਣ ਦਾਸ</t>
  </si>
  <si>
    <t>ਵੇਦ ਪ੍ਰਕਾਸ</t>
  </si>
  <si>
    <t xml:space="preserve">ਅਨੀਤਾ ਰਾਣੀ </t>
  </si>
  <si>
    <t>ਅਜੇ ਕੁਮਾਰ</t>
  </si>
  <si>
    <t>ਪਰਮੇਸਰੀ ਬਾੲ.</t>
  </si>
  <si>
    <t>ਸੁਦੇਸ ਰਾਣੀ</t>
  </si>
  <si>
    <t>ਨਿਸ਼ਾ ਕੰਬੋਜ</t>
  </si>
  <si>
    <t>ਮਹਿੰਦਰ ਸਿੰਘ</t>
  </si>
  <si>
    <t>ਕਰਮਜੀਤ</t>
  </si>
  <si>
    <t>ਰਾਕੇਸ਼ ਚੌਧਰੀ</t>
  </si>
  <si>
    <t>ਸੋਮ ਪ੍ਰਕਾਸ</t>
  </si>
  <si>
    <t>ਸੁਭਾਸ਼ ਚੰਦਰ</t>
  </si>
  <si>
    <t>ਪਿੰਦਰ ਪਾਲ</t>
  </si>
  <si>
    <t>ਨਿਸਾ ਰਾਣੀ</t>
  </si>
  <si>
    <t>ਖੁਸ਼ਹਾਲ ਚੰਦ</t>
  </si>
  <si>
    <t>ਦਰਸ਼ਨ ਸਿੰਘ</t>
  </si>
  <si>
    <t xml:space="preserve">ਪ੍ਰਕਾਸ਼ ਰਾਣੀ </t>
  </si>
  <si>
    <t>ਸਾਜਨ ਕੁਮਾਰ</t>
  </si>
  <si>
    <t>ਸੋਨਿਕਾ ਰਾਣੀ</t>
  </si>
  <si>
    <t>ਰਾਜਨ ਕੁਮਾਰ</t>
  </si>
  <si>
    <t>ਚੰਦਾ ਰਾਣੀ</t>
  </si>
  <si>
    <t>ਨਿਰਮਨ (ਰਾਣੀ)</t>
  </si>
  <si>
    <t>50 ਓਮ ਪ੍ਰਕਾਸ਼ ਕਾਮਰੇਡ ਦਰਸ਼ਨ ਰਾਮ</t>
  </si>
  <si>
    <t>ਪ੍ਰਕਾਸ਼ ਦੇਵੀ</t>
  </si>
  <si>
    <t>70 ਗੋਬਿੰਦ ਰਾਮ</t>
  </si>
  <si>
    <t>ਭਜਨ ਕੌਰ</t>
  </si>
  <si>
    <t>ਸੰਦੀਪ ਕੁਮਾਰ (ਸਵ:)</t>
  </si>
  <si>
    <t>ਪਰਮੇਸਰੀ ਬਾਈ</t>
  </si>
  <si>
    <t>ਮੋਹਿਤ ਕੰਬੋਜ</t>
  </si>
  <si>
    <t>ਸ਼ਾਮ ਸੁੰਦਰ</t>
  </si>
  <si>
    <t>ਰਾਜ ਕਰਨ</t>
  </si>
  <si>
    <t>ਮੋਨਾ ਰਾਣੀ</t>
  </si>
  <si>
    <t>ਮਾਲਕ ਦਿੱਤਾ</t>
  </si>
  <si>
    <t>ਸਰਿਤਾ ਕੁਮਾਰੀ</t>
  </si>
  <si>
    <t>ਕਬੀਰ</t>
  </si>
  <si>
    <t>ਸੀਰਤ</t>
  </si>
  <si>
    <t>ਸ਼ੁਭਾਸ ਚੰਦਰ</t>
  </si>
  <si>
    <t>ਨੀਸ਼ੂ ਕੰਬੋਜ</t>
  </si>
  <si>
    <t>ਵੀਰਭਾਨ</t>
  </si>
  <si>
    <t xml:space="preserve">ਓਮ ਪ੍ਰਕਾਸ਼ </t>
  </si>
  <si>
    <t>ਸਵਰਨਾ ਬਾਈ</t>
  </si>
  <si>
    <t>ਵਨੀਤਾ ਰਾਣੀ</t>
  </si>
  <si>
    <t>40 ਟਾਹਲਾ ਰਾਮ ਨੱਢਾ</t>
  </si>
  <si>
    <t>1 ਹਾਕਮ ਚੰਦ ਪੁੱਤਰ ਗੋਮਾ ਰਾਮ</t>
  </si>
  <si>
    <t>11 ਸਤਨਾਮ ਚੰਦ ਲਛਮਣ ਰਾਮ</t>
  </si>
  <si>
    <t>ਹਰਪ੍ਰੀਤ ਰਾਣੀ</t>
  </si>
  <si>
    <t>31 ਕਸ਼ਮੀਰ ਲਾਲ ਅਤੇ ਪਰਮਾ ਨੰਦ</t>
  </si>
  <si>
    <t>ਮਨਪ੍ਰੀਤ ਰਾਣੀ ਕੰਬੋਜ</t>
  </si>
  <si>
    <t>ਨਰੈਣ ਬਾਈ</t>
  </si>
  <si>
    <t>ਰੀਨੂ ਬਾਲਾ</t>
  </si>
  <si>
    <t xml:space="preserve">2 ਹੁਕਮ ਚੰਦ ਫੌਜੀ </t>
  </si>
  <si>
    <t>ਪੰਕਜ ਕੁਮਾਰ</t>
  </si>
  <si>
    <t>ਬੀਰਬਲ</t>
  </si>
  <si>
    <t xml:space="preserve">ਵਿਕਾਸ ਕੰਬੋਜ </t>
  </si>
  <si>
    <t>ਕੁਸ਼ਲਿਆ ਰਾਣੀ</t>
  </si>
  <si>
    <t>ਜਰਨੈਲ ਸਿੰਘ</t>
  </si>
  <si>
    <t>ਸਾਲੂ</t>
  </si>
  <si>
    <t>ਅਲੀਸਾ ਰਾਣੀ</t>
  </si>
  <si>
    <t xml:space="preserve">5 ਹੀਰਾ ਰਾਮ ਮੋਹਰੀ ਰਾਮ </t>
  </si>
  <si>
    <t>6 ਮੁਨਸੀ ਰਾਮ ਝਾਂਗੀ ਰਾਮ</t>
  </si>
  <si>
    <t>12 ਪਰਮਾ ਨੰਦ</t>
  </si>
  <si>
    <t>22 ਮਿਲਖ ਰਾਜ ਸੁਦਾਗਰ ਰਾਮ</t>
  </si>
  <si>
    <t>ਕੁਸ਼ਲਿਆ ਸਵ:</t>
  </si>
  <si>
    <t>32 ਸੱਤੀ ਰਾਮ</t>
  </si>
  <si>
    <t>42 twelve</t>
  </si>
  <si>
    <t>7 ਤਾਰਾ ਚੰਦ ਮੁਨਸੀ ਰਾਮ</t>
  </si>
  <si>
    <t>ਗੁਰਦੇਵ ਕੌਰ</t>
  </si>
  <si>
    <t>ਰਿਤਿਕਾ ਕੰਬੋਜ</t>
  </si>
  <si>
    <t xml:space="preserve">ਸੀਨੂੰ </t>
  </si>
  <si>
    <t>ਪ੍ਰਿੰਸ ਕੰਬੋਜ</t>
  </si>
  <si>
    <t>8 ਪੂਰਨ ਪ੍ਰਕਾਸ਼ ਝਾਂਗੀ ਰਾਮ</t>
  </si>
  <si>
    <t>ਸੋਮਾਂ ਰਾਣੀ</t>
  </si>
  <si>
    <t>ਮਨਦੀਪ ਕੌਰ</t>
  </si>
  <si>
    <t>ਮਨੀਸਾ ਕੰਬੋਜ</t>
  </si>
  <si>
    <t>9 ਦੇਸ ਰਾਜ ਘਮੰਡੀ ਰਾਮ</t>
  </si>
  <si>
    <t>ਰਜਨੀ ਬਾਲਾ</t>
  </si>
  <si>
    <t>ਹਰਮਨਦੀਪ ਕੌਰ</t>
  </si>
  <si>
    <t>10 ਅਸੋਕ ਕੁਮਾਰ ਘਮੰਡੀ ਰਾਮ ਦਾ</t>
  </si>
  <si>
    <t>ਅੰਗਰੇਜ ਚੰਦ</t>
  </si>
  <si>
    <t>13 ਰਾਜ ਕੁਮਾਰ</t>
  </si>
  <si>
    <t>33 ਜੈ ਚੰਦ ਚੌਧਰੀ ਰਾਮ</t>
  </si>
  <si>
    <t>ਸੋਨੂੰ ਬਾਲਾ</t>
  </si>
  <si>
    <t>43 thirteen</t>
  </si>
  <si>
    <t>ਸੰਦੀਪ ਕਮਾਰ</t>
  </si>
  <si>
    <t>ਜਗਦੀਪ</t>
  </si>
  <si>
    <t>14 ਬਾਗ ਚੰਦ ਮੋਹਣਾ ਰਾਮ</t>
  </si>
  <si>
    <t xml:space="preserve">ਕਰਿਸ਼ਨਾ ਬਾਈ </t>
  </si>
  <si>
    <t>24 ਸਤਨਾਮ ਚੰਦ</t>
  </si>
  <si>
    <t>ਸਿਮਲਾ ਰਾਣੀ</t>
  </si>
  <si>
    <t>34 ਸਾਮ ਲਾਲ</t>
  </si>
  <si>
    <t xml:space="preserve">ਸੱਤੋ ਬਾਈ </t>
  </si>
  <si>
    <t>44 fourteen</t>
  </si>
  <si>
    <t xml:space="preserve">17 ਲੇਖ ਰਾਜ ਨੱਢਾ </t>
  </si>
  <si>
    <t>ਸੁਰਜੀਤ ਕੁਮਾਰ</t>
  </si>
  <si>
    <t>ਦਇਆ ਰਾਣੀ</t>
  </si>
  <si>
    <t>ਹਰੀਸ਼ ਕੁਮਾਰ</t>
  </si>
  <si>
    <t>ਕੁਲਵਿੰਦਰ ਕੌਰ</t>
  </si>
  <si>
    <t>18 ਮੁਨਸੀ ਰਾਮ ਨਰੈਣ ਦਾਸ</t>
  </si>
  <si>
    <t>19 ਬਾਗ ਚੰਦ ਨਰੈਣ ਦਾਸ</t>
  </si>
  <si>
    <t>20 ਲਾਲ ਚੰਦ ਨਰੈਣ ਦਾਸ</t>
  </si>
  <si>
    <t>ਅਸੋਕ ਕੁਮਾਰ ਮੋਹਣਾ</t>
  </si>
  <si>
    <t>ਭਗਵਾਨੋ ਬਾਈ</t>
  </si>
  <si>
    <t>ਕਸ਼ਮੀਰ ਦਰਜੀ (ਭਰਾ)</t>
  </si>
  <si>
    <t>ਸ਼ਾਮ ਲਾਲ (ਭਰਾ)</t>
  </si>
  <si>
    <t>25 ਲੇਖ ਰਾਜ ਨੱਢਾ ਮੰਨੀ ਰਾਮ</t>
  </si>
  <si>
    <t>35 ਵਰਿਆਮ ਚੰਦ (ਕੁੱਲੀ)</t>
  </si>
  <si>
    <t>45 fifteen</t>
  </si>
  <si>
    <t>ਰਾਜ ਕੁਮਾਰ ਲਾਲੋ</t>
  </si>
  <si>
    <t>ਨਰੇਸ਼ ਕੁਮਾਰ</t>
  </si>
  <si>
    <t xml:space="preserve">ਰਾਮ ਚੰਦ </t>
  </si>
  <si>
    <t>ਸ਼ੰਦੀਪ ਕੁਮਾਰ</t>
  </si>
  <si>
    <t>ਅੰਕੁਸ਼ ਕੁਮਾਰ</t>
  </si>
  <si>
    <t>ਰਾਮ ਚੰਦ (ਭਰਾ)</t>
  </si>
  <si>
    <t xml:space="preserve">26 ਜ਼ਾਂਜੀ ਰਾਮ </t>
  </si>
  <si>
    <t>36 ਮਾਹਲਾ ਰਾਮ ਨੱਢਾ</t>
  </si>
  <si>
    <t>46 sixteen</t>
  </si>
  <si>
    <t xml:space="preserve">27 ਪੈੜਾ ਰਾਮ </t>
  </si>
  <si>
    <t>ਪਾਰਵਤੀ</t>
  </si>
  <si>
    <t>ਪਰਮਜੀਤ ਕੁਮਾਰੀ</t>
  </si>
  <si>
    <t>28 ਓਮ ਪ੍ਰਕਾਸ਼ ਚਾਂਦੀ ਰਾਮ</t>
  </si>
  <si>
    <t>ਵਰਸਾ ਰਾਣੀ</t>
  </si>
  <si>
    <t>ਕੋਮਲ ਰਾਣੀ</t>
  </si>
  <si>
    <t>29 ਸਾਹਿਬ ਦਿੱਤਾ ਕਰਮ ਚੰਦ</t>
  </si>
  <si>
    <t>ਪੱਲਵੀ</t>
  </si>
  <si>
    <t>30 ਜੰਮੂ ਰਾਮ ਅਤੇ ਰਮੇਸ਼ ਕੁਮਾਰ</t>
  </si>
  <si>
    <t xml:space="preserve">ਅਸੋਕ ਕੁਮਾਰ </t>
  </si>
  <si>
    <t>ਕੁਸਲਿਆ ਬਾਈ</t>
  </si>
  <si>
    <t>ਗੁਰਦਾਸ ਰਾਮ</t>
  </si>
  <si>
    <t>37 ਹੰਸ ਰਾਜ ਮਾਂਘਾ ਰਾਮ</t>
  </si>
  <si>
    <t>47 seventeen</t>
  </si>
  <si>
    <t>ਰੇਸਮਾਂ ਰਾਣੀ</t>
  </si>
  <si>
    <t>ਭਗਵਾਨ ਦਾਸ</t>
  </si>
  <si>
    <t>ਦੇਸਾਂ ਬਾਈ</t>
  </si>
  <si>
    <t>ਨਿਤਾਸਾ ਕੰਬੋਜ</t>
  </si>
  <si>
    <t xml:space="preserve">ਮਾਇਆ ਬਾਈ </t>
  </si>
  <si>
    <t>ਸਾਮ ਦਾਸ</t>
  </si>
  <si>
    <t>ਗਗਨਦੀਪ ਬੇਟਾ</t>
  </si>
  <si>
    <t>ਵੀਰਪਾਲ</t>
  </si>
  <si>
    <t xml:space="preserve">ਸੁਨੀਤਾ </t>
  </si>
  <si>
    <t>ਰੀਟਾ</t>
  </si>
  <si>
    <t>38 ਸੋਭਾ ਰਾਮ ਵਸਾਵਾ ਰਾਮ</t>
  </si>
  <si>
    <t>ਮੀਰਾ ਬਾਈ</t>
  </si>
  <si>
    <t>48 eighteen</t>
  </si>
  <si>
    <t>ਰਾਜਪਾਲ</t>
  </si>
  <si>
    <t>ਕਸ਼ਮੀਰ ਚੰਦ</t>
  </si>
  <si>
    <t>ਸੇਰ ਚੰਦ</t>
  </si>
  <si>
    <t>39 ਚਾਂਦੀ ਰਾਮ ਖਜਾਨ ਚੰਦ</t>
  </si>
  <si>
    <t>ਹਰਿਕ੍ਰਿਸ਼ਨ (ਭਰਾ)</t>
  </si>
  <si>
    <t>ਸੋਮਾ ਰਾਣੀ (ਧੀ)</t>
  </si>
  <si>
    <t>49 niunteen</t>
  </si>
  <si>
    <t>ਰਾਮ ਗੋਪਾਲ</t>
  </si>
  <si>
    <t>ਰਾਜੇਸ਼ ਕੁਮਾਰ</t>
  </si>
  <si>
    <t>1 ਕ੍ਰਿਸ਼ਨ ਕੁਮਾਰ</t>
  </si>
  <si>
    <t>ਪਵਨਦੀਪ</t>
  </si>
  <si>
    <t xml:space="preserve">2 ਰਾਜ ਕੁਮਾਰ </t>
  </si>
  <si>
    <t>ਤਾਰਾਂ ਰਾਣੀ</t>
  </si>
  <si>
    <t>50 twenty</t>
  </si>
  <si>
    <t>ਪਵਨਦੀਪ ਕੁਮਾਰ</t>
  </si>
  <si>
    <t>ਪ੍ਰਿਆਂਕਾ ਰਾਣੀ</t>
  </si>
  <si>
    <t>ਓਮ ਪ੍ਰਕਾਸ਼ (ਭਰਾ)</t>
  </si>
  <si>
    <t>ਨਰੇਸ਼ ਰਾਣੀ</t>
  </si>
  <si>
    <t>1 ਕੇਵਲ ਕ੍ਰਿਸ਼ਨ ਰਾਮ ਰੱਖਾ</t>
  </si>
  <si>
    <t>31 ਮੋਤੀ ਰਾਮ</t>
  </si>
  <si>
    <t>ਜੀਵਾਂ ਬਾਈ</t>
  </si>
  <si>
    <t>ਭਰਾਵਾਂ ਬਾਈ (ਮਾਂ)</t>
  </si>
  <si>
    <t xml:space="preserve">11 ਮੁਨਸੀ ਰਾਮ </t>
  </si>
  <si>
    <t>ਘੰਮੋ ਬਾਈ</t>
  </si>
  <si>
    <t>ਗਿਆਨੋ ਬਾਈ</t>
  </si>
  <si>
    <t>21 ਬਾਗ ਚੰਦ ਚੰਬਾ ਰਾਮ</t>
  </si>
  <si>
    <t>41 eleven</t>
  </si>
  <si>
    <t>ਪਰਮਾ ਨੰਦ (ਸਵ:)</t>
  </si>
  <si>
    <t xml:space="preserve">ਹੇਮ ਰਾਜ </t>
  </si>
  <si>
    <t>ਤੇਜਿੰਦਰ ਪਾਲ</t>
  </si>
  <si>
    <t>2 ਕ੍ਰਿਸ਼ਨ ਲਾਲ ਅਤੇ ਲਛਮਣ ਰਾਮ</t>
  </si>
  <si>
    <t>ਰੇਸਮਾ ਰਾਣੀ</t>
  </si>
  <si>
    <t>ਵਰਿਆਮ ਚੰਦ (ਜੰਗੀ)</t>
  </si>
  <si>
    <t>ਗਿਆਨ ਦੇਵੀ</t>
  </si>
  <si>
    <t>ਸਿਮਰਨਜੀਤ ਕੌਰ</t>
  </si>
  <si>
    <t>3 ਹੀਰਾ ਲਾਲ</t>
  </si>
  <si>
    <t xml:space="preserve">ਸੋਨੂੰ ਰਾਮ </t>
  </si>
  <si>
    <t>ਬਲਵਿੰਦਰ ਕੁਮਾਰ</t>
  </si>
  <si>
    <t>ਪਰਵੀਨਾ ਰਾਣੀ</t>
  </si>
  <si>
    <t>4  ਕੋਟ ਚੰਦ ਢੋਟ</t>
  </si>
  <si>
    <t>ਸਵਰਨਾ</t>
  </si>
  <si>
    <t xml:space="preserve">5 ਕਾਲੂ ਰਾਮ ਢੋਟ </t>
  </si>
  <si>
    <t>6 Six</t>
  </si>
  <si>
    <t>ਸੁਮਨ</t>
  </si>
  <si>
    <t>12 ਕੇਵਲ ਕ੍ਰਿਸ਼ਨ ਪੈੜਾ ਰਾਮ</t>
  </si>
  <si>
    <t>22 ਕਰਮ ਚੰਦ ਲਖਪਤੀ</t>
  </si>
  <si>
    <t>32 ਚੰਬਾ ਰਾਮ</t>
  </si>
  <si>
    <t>ਪਰਮੇਸ਼ਰੀ ਬਾੲ.</t>
  </si>
  <si>
    <t>ਚੰਬਾ ਰਾਮ</t>
  </si>
  <si>
    <t>ਰਿਤੂ ਬਾਲਾ</t>
  </si>
  <si>
    <t>ਮਨੀਸ਼ਾ ਰਾਣੀ</t>
  </si>
  <si>
    <t>ਵਰੁਣ ਕੰਬੋਜ</t>
  </si>
  <si>
    <t>8 ਝਾਂਗੀ ਰਾਮ ਵੱਸੂ ਰਾਮ</t>
  </si>
  <si>
    <t>ਲਛਮਣ ਰਾਮ ਸਵ: (ਭਰਾ)</t>
  </si>
  <si>
    <t>ਸੁਮਨ ਬਾਲਾ</t>
  </si>
  <si>
    <t xml:space="preserve">ਰਾਜ ਕੁਮਾਰ </t>
  </si>
  <si>
    <t>ਆਸ਼ਾ ਰਾਣੀ D/O ਰਾਮ ਨੰਬਰਦਾਰ</t>
  </si>
  <si>
    <t>9 ਬਾਗ ਚੰਦ ਬੂਲਾ ਰਾਮ</t>
  </si>
  <si>
    <t>ਹਰਜੀਤ ਕੁਮਾਰ</t>
  </si>
  <si>
    <t>10 ਚਾਂਦੀ ਰਾਮ ਵੱਸੂ ਰਾਮ</t>
  </si>
  <si>
    <t xml:space="preserve">ਕੁਸਲਿਆ ਬਾਈ </t>
  </si>
  <si>
    <t>13 ਬਾਗ ਚੰਦ ਪੁੱਤਰ ਲਾਲ ਚੰਦ</t>
  </si>
  <si>
    <t>ਲਾਲ ਚੰਦ ਪੁੱਤਰ ਨਿਬਾਹੁ ਰਾਮ</t>
  </si>
  <si>
    <t>23 ਵਸਾਵਾ ਰਾਮ ਲਖਪਤੀ</t>
  </si>
  <si>
    <t>33 ਮੋਹਰੀ ਅਤੇ ਗੁਲਾਬ ਰਾਮ</t>
  </si>
  <si>
    <t>ਪ੍ਰੀਤਮ ਚੰਦ</t>
  </si>
  <si>
    <t>ਮਨਜੀਤ ਰਾਣੀ ਪਤਨੀ ਕੁਲਦੀਪ ਕੁਮਾਰ</t>
  </si>
  <si>
    <t>ਸੁਮਨ ਰਾਣੀ ਪਤਨੀ ਸੁਨੀਲ ਕੁਮਾਰ</t>
  </si>
  <si>
    <t>ਕੁਲਦੀਪ ਰਾਏ</t>
  </si>
  <si>
    <t>ਜਸਵਿੰਦਰ ਕੁਮਾਰ</t>
  </si>
  <si>
    <t>ਮੋਹਰੀ ਰਾਮ</t>
  </si>
  <si>
    <t>ਵਿਜੇਪਾਲ</t>
  </si>
  <si>
    <t>14 ਜੈ ਚੰਦ ਅਤੇ ਗਿਆਨ ਚੰਦ</t>
  </si>
  <si>
    <t>ਸਨਮਦੀਪ</t>
  </si>
  <si>
    <t>24 ਹਰਭਗਵਾਨ ਜੈ ਚੰਦ</t>
  </si>
  <si>
    <t>ਰਾਮ ਚੰਦ (ਸਾਧੂ)</t>
  </si>
  <si>
    <t>34 thirty four</t>
  </si>
  <si>
    <t xml:space="preserve">1 ਦੇਸ ਰਾਜ </t>
  </si>
  <si>
    <t>ਸਰੀਨਾ ਰਾਣੀ</t>
  </si>
  <si>
    <t xml:space="preserve">ਜੈ ਚੰਦ </t>
  </si>
  <si>
    <t>17 ਦੇਸ ਰਾਜ ਚੰਬਾ ਰਾਮ</t>
  </si>
  <si>
    <t>ਅਜੀਤ ਕੰਬੋਜ</t>
  </si>
  <si>
    <t>18 ਬਾਗ ਚੰਦ ਰਾਜੂ ਰਾਮ</t>
  </si>
  <si>
    <t>19 ਹੀਰਾ ਰਾਮ ਜਾਂਜੀ ਰਾਮ</t>
  </si>
  <si>
    <t xml:space="preserve">2 ਗੁਰਦਾਸ ਰਾਮ </t>
  </si>
  <si>
    <t xml:space="preserve">ਸੱਦਾਂ ਬਾਈ </t>
  </si>
  <si>
    <t>ਲੇਖ ਰਾਜ (ਅਭੁੰਨ)</t>
  </si>
  <si>
    <t>25 ਪੂਰਨ ਪ੍ਰਕਾਸ਼ ਚਾਂਦੀ ਰਾਮ</t>
  </si>
  <si>
    <t>ਮਧੂ ਬਾਲਾ</t>
  </si>
  <si>
    <t>35 five</t>
  </si>
  <si>
    <t>1'ਸੋਨਾ ਰਾਮ</t>
  </si>
  <si>
    <t>ਸੰਤੋਸ਼</t>
  </si>
  <si>
    <t>ਸੁਰਿੰਦਰ ਕੁਮਾਰੀ</t>
  </si>
  <si>
    <t>ਨੀਤੂ ਰਾਣੀ</t>
  </si>
  <si>
    <t>36 22</t>
  </si>
  <si>
    <t>ਸਤਪਾਲ</t>
  </si>
  <si>
    <t xml:space="preserve">2 ਪੂਰਨ ਪ੍ਰਕਾਸ </t>
  </si>
  <si>
    <t>26 ਅਰਜਨ ਰਾਮ ਚਾਂਦੀ ਰਾਮ</t>
  </si>
  <si>
    <t>ਰਜਨ ਬਾਲਾ</t>
  </si>
  <si>
    <t>ਭਜਨਾ ਦੇਵੀ</t>
  </si>
  <si>
    <t>ਨੀਤੂ ਕੰਬੋਜ</t>
  </si>
  <si>
    <t>36 six</t>
  </si>
  <si>
    <t>27 ਕੋਟ ਚੰਦ</t>
  </si>
  <si>
    <t>28 ਚੇਤਨ ਸਰੂਪ</t>
  </si>
  <si>
    <t>29 ਹੰਸ ਰਾਜ ਹੁਕਮ ਚੰਦ</t>
  </si>
  <si>
    <t>30 ਭਗਵਾਨ ਚੰਦ</t>
  </si>
  <si>
    <t>37 seven</t>
  </si>
  <si>
    <t>ਪਿਆਰਾ ਰਾਮ</t>
  </si>
  <si>
    <t>ਗੁਰੋ ਬਾਈ</t>
  </si>
  <si>
    <t>ਬੱਬਲ ਦੀਪ</t>
  </si>
  <si>
    <t>ਬੱਬਲਦੀਪ</t>
  </si>
  <si>
    <t>ਕੋਸ਼ਲਿਆ ਦੇਵੀ</t>
  </si>
  <si>
    <t>38 eight</t>
  </si>
  <si>
    <t>ਓਮ ਪ੍ਰਕਾਸ</t>
  </si>
  <si>
    <t>ਪ੍ਰਕਾਸ਼ ਕੌਰ</t>
  </si>
  <si>
    <t>ਰਾਮ ਦਿੱਤਾ</t>
  </si>
  <si>
    <t>ਸੁਨੀਤਾ ਰਾਣੀ ਅਤੇ ਦੀਪਾ ਰਾਣੀ</t>
  </si>
  <si>
    <t>ਕੋਮਲ ਕੰਬੋਜ</t>
  </si>
  <si>
    <t>ਅਨਮੋਲ ਕੰਬੋਜ</t>
  </si>
  <si>
    <t>ਬੌਬੀ</t>
  </si>
  <si>
    <t>ਸਿੰਪਲ ਰਾਣੀ</t>
  </si>
  <si>
    <t>ਹਰਸ਼ ਰਾਣੀ (ਧੀ)</t>
  </si>
  <si>
    <t>39 nine</t>
  </si>
  <si>
    <t xml:space="preserve">ਕੇਵਲ ਕ੍ਰਿਸ਼ਨ </t>
  </si>
  <si>
    <t>ਸੀਤਾ ਬਾਈ</t>
  </si>
  <si>
    <t>ਰਾਮ ਨਰਾਇਣ ਸਵ:</t>
  </si>
  <si>
    <t>40 ten</t>
  </si>
  <si>
    <t>ਪੁੰਨਿਆਂ ਦੇਵੀ</t>
  </si>
  <si>
    <t>ਵਿਕਾਸ ਕੁਮਾਰ</t>
  </si>
  <si>
    <t>ਸੁਸੀਲ ਰਾਣੀ</t>
  </si>
  <si>
    <t>ਪੂਨਮ ਰਣੀ</t>
  </si>
  <si>
    <t>ਸੰਗੀਤਾ ਰਾਣੀ</t>
  </si>
  <si>
    <t xml:space="preserve"> ਕਿਰਨਾ ਦੇਵੀ</t>
  </si>
  <si>
    <t>ਅਰਚਨਾ ਕੰਬੋਜ</t>
  </si>
  <si>
    <t>ਜਗਦੀਸ਼ ਚੰਦਰ</t>
  </si>
  <si>
    <t>ਵਿਪਨ</t>
  </si>
  <si>
    <t>ਸੁਨੀਲ</t>
  </si>
  <si>
    <t>ਰਾਕੇਸ਼</t>
  </si>
  <si>
    <t>ਚਰਨਜੀਤ ਕੌਰ</t>
  </si>
  <si>
    <t>ਖੇਮ ਚੰਦ</t>
  </si>
  <si>
    <t>1 ਜੰਮੂ ਰਾਮ</t>
  </si>
  <si>
    <t>31 one</t>
  </si>
  <si>
    <t>11 ਵੇਦ ਪ੍ਰਕਾਸ਼ ਹਰੀ ਚੰਦ</t>
  </si>
  <si>
    <t>ਊਸਾ ਰਾਣੀ</t>
  </si>
  <si>
    <t>ਬੇਅੰਤ ਕੁਮਾਰੀ</t>
  </si>
  <si>
    <t>21 sona</t>
  </si>
  <si>
    <t>ਕ੍ਰਿਸ਼ਨਾਰਾਣੀ</t>
  </si>
  <si>
    <t>2 ਟੇਕ ਚੰਦ ਝਾਂਗੀ ਰਾਮ</t>
  </si>
  <si>
    <t>32 two</t>
  </si>
  <si>
    <t>3 ਰਾਜ ਕੁਮਾਰ ਝਾਂਗੀ ਰਾਮ</t>
  </si>
  <si>
    <t>33 three</t>
  </si>
  <si>
    <t>4 ਲੱਧਾ ਰਾਮ ਪਠਾਣ</t>
  </si>
  <si>
    <t>34 four</t>
  </si>
  <si>
    <t>5 ਕਰਮ ਚੰਦ</t>
  </si>
  <si>
    <t>6 ਸੁਰਿੰਦਰ ਕੁਮਾਰ ਰਾਂਝਾ ਰਾਮ</t>
  </si>
  <si>
    <t>12 ਰਮੇਸ਼ ਕੁਮਾਰ ਹਰੀ ਚੰਦ</t>
  </si>
  <si>
    <t>ਪ੍ਰੇਰਨਾ ਕੰਬੋਜ</t>
  </si>
  <si>
    <t>7 ਭਗਵਾਨ ਦਾਸ</t>
  </si>
  <si>
    <t>ਨੀਰਜ ਕੁਮਾਰ</t>
  </si>
  <si>
    <t>ਨਿਸ਼ਾ ਰਾਣੀ</t>
  </si>
  <si>
    <t>8 ਹੁਕਮ ਚੰਦ</t>
  </si>
  <si>
    <t>ਕ੍ਰਿਸ਼ਨ ਬਲਦੇਵ</t>
  </si>
  <si>
    <t>ਸੰਗਮ ਕੰਬੋਜ</t>
  </si>
  <si>
    <t>9 ਸੋਮ ਪ੍ਰਕਾਸ਼ ਹਰੀ ਚੰਦ</t>
  </si>
  <si>
    <t>ਸ਼ੀਲਾ ਦੇਵੀ</t>
  </si>
  <si>
    <t>10 ਓਮ ਪ੍ਰਕਾਸ਼ ਹਰੀ ਚੰਦ</t>
  </si>
  <si>
    <t>ਅਜ਼ੀਜ਼ ਕੰਬੋਜ</t>
  </si>
  <si>
    <t>13 ਹਰਭਜਨ ਲਾਲ ਬੂਟਾ ਰਾਮ</t>
  </si>
  <si>
    <t>ਕਰਿਸ਼ਨਾ</t>
  </si>
  <si>
    <t>ਜਗਦੀਸ਼ ਚੰਦਰ (ਭਰਾ)</t>
  </si>
  <si>
    <t>ਰੋਮਾ ਰਾਣੀ</t>
  </si>
  <si>
    <t>14 ਹੰਸ ਰਾਜ ਬੂਟਾ ਰਾਮ</t>
  </si>
  <si>
    <t>15 ਓਮ ਪ੍ਰਕਾਸ਼ ਬੂਟਾ ਰਾਮ</t>
  </si>
  <si>
    <t>16 ਸੁਰਿੰਦਰ ਕੁਮਾਰ ਸਤਨਾਮ ਦਾਸ</t>
  </si>
  <si>
    <t xml:space="preserve">ਤਿਲੋਕ </t>
  </si>
  <si>
    <t>ਮੁਕੇਸ਼ ਕੁਮਾਰ s/o ਤਿਲਕ ਰਾਜ</t>
  </si>
  <si>
    <t>ਲਾਜੋ ਬਾਈ (ਧੀ)</t>
  </si>
  <si>
    <t>ਸਈਆਂ ਬਾਈ</t>
  </si>
  <si>
    <t>ਸੁਮਿ਼ੱਤਰਾ ਦੇਵੀ</t>
  </si>
  <si>
    <t>17 ਸੰਤੋਸ਼ ਕੁਮਾਰ ਨੰਬਰਦਾਰ</t>
  </si>
  <si>
    <t>ਨ ਰੇਸ਼ ਰਾਣੀ</t>
  </si>
  <si>
    <t>ਨਰਿੰਦਰ ਕੌਰ</t>
  </si>
  <si>
    <t>ਰਚਨਾ ਰਾਣੀ</t>
  </si>
  <si>
    <t>ਸ਼ਾਂਤਾ ਰਾਣੀ</t>
  </si>
  <si>
    <t>ਅਕਸ਼ੇ ਕੰਬੋਜ</t>
  </si>
  <si>
    <t>ਅਸੀਸ਼ਾ ਕੰਬੋਜ</t>
  </si>
  <si>
    <t>ਪਰਮਜੀਤ ਕੌਰ</t>
  </si>
  <si>
    <t>ਪ੍ਰਿਅੰਕਾ</t>
  </si>
  <si>
    <t>ਹਰੀਸ਼ ਚੰਦਰ</t>
  </si>
  <si>
    <t>ਹਰਜਿੰਦਰ ਕੌਰ</t>
  </si>
  <si>
    <t>19 ਓਮ ਪ੍ਰਕਾਸ਼ ਭਗਵਾਨ ਦਾਸ</t>
  </si>
  <si>
    <t>ਮਨ ਫੂਲ</t>
  </si>
  <si>
    <t>ਮੀਨੂੰ ਬਾਲਾ</t>
  </si>
  <si>
    <t>20 ਓਮ ਪ੍ਰਕਾਸ਼ s/o ਹਰਭਗਵਾਨ</t>
  </si>
  <si>
    <t>25 twenth</t>
  </si>
  <si>
    <t>ਅਰੁਣ ਕੰਬੋਜ</t>
  </si>
  <si>
    <t>ਸੌਰਵ ਕੰਬੋਜ</t>
  </si>
  <si>
    <t>26 twenty 6</t>
  </si>
  <si>
    <t>ਸਾਰਦਾ ਰਾਣੀ</t>
  </si>
  <si>
    <t>27 twenty 7</t>
  </si>
  <si>
    <t>28 twenty 8</t>
  </si>
  <si>
    <t>29 twnety 9</t>
  </si>
  <si>
    <t>30 thirty</t>
  </si>
  <si>
    <t>ਪੌਣੀ ਭਗਤ</t>
  </si>
  <si>
    <t>ਰਾਕੇਸ ਕੁਮਾਰ</t>
  </si>
  <si>
    <t>ਆਸਾ ਰਾਣੀ(ਧੀ)</t>
  </si>
  <si>
    <t>ਅੰਕੁਸ਼</t>
  </si>
  <si>
    <t>ਨਵਰੂਪ ਕੰਬੋਜ</t>
  </si>
  <si>
    <t>ਸ਼ਭਾਸ਼ ਚੰਦਰ</t>
  </si>
  <si>
    <t xml:space="preserve">ਪ੍ਰਵੀਨ ਕੁਮਾਰ </t>
  </si>
  <si>
    <t>ਕੁਸ਼ਲਿਆ ਦੇਵੀ</t>
  </si>
  <si>
    <t>ਰੇਨੂ ਕੰਬੋਜ</t>
  </si>
  <si>
    <t>ਕਿਸ਼ੋਰ ਕੁਮਾਰ ਸਵ:</t>
  </si>
  <si>
    <t>ਅਨਿਲ ਕੁਮਾਰ</t>
  </si>
  <si>
    <t>ਕਰਮੋਂ ਬਾਈ</t>
  </si>
  <si>
    <t>ਚੰਦਰਕਾਂਤਾ</t>
  </si>
  <si>
    <t>1 ਹਾਕਮ ਚੰਦ ਬਘੇਲਾ ਰਾਮ</t>
  </si>
  <si>
    <t>ਸ਼ਾਮ ਮਿਸਤਰੀ (ਭਰਾ)</t>
  </si>
  <si>
    <t>ਟਿੱਕਾ ਦੋਧੀ(ਭਤੀਜ)</t>
  </si>
  <si>
    <t>ਸੁਰਿੰਦਰ (ਛਿੰਦਰ) ਭਤੀਜਜ</t>
  </si>
  <si>
    <t>11 eleven</t>
  </si>
  <si>
    <t>2 ਭਗਵਾਨ ਦਾਸ ਬਘੇਲਾ ਰਾਮ</t>
  </si>
  <si>
    <t>3 ਹੁਕਮ ਚੰਦ ਰਾਮ ਚੰਦ</t>
  </si>
  <si>
    <t>4 ਹਰਭਜਨ ਲਾਲ ਰਾਮ ਚੰਦ</t>
  </si>
  <si>
    <t>5 ਹਰਕ੍ਰਿਸ਼ਨ ਲਾਲ ਰਾਮ ਚੰਦ</t>
  </si>
  <si>
    <t>6 ਚੰਬਾ ਰਾਮ ਚਤਰੱਥ</t>
  </si>
  <si>
    <t xml:space="preserve"> 12 twelve</t>
  </si>
  <si>
    <t>22 twenty 2</t>
  </si>
  <si>
    <t>7 ਓਮ ਪ੍ਰਕਾਸ ਚਤਰੱਥ</t>
  </si>
  <si>
    <t>ਕ੍ਰਿਸ਼ਨ ਲਾਲ</t>
  </si>
  <si>
    <t>ਗੁਰਮੀਤ ਰਾਣੀ</t>
  </si>
  <si>
    <t>8 ਹਰੀ ਚੰਦ ਵਿਸਾਖਾ ਰਾਮ</t>
  </si>
  <si>
    <t>9 nine</t>
  </si>
  <si>
    <t>10 ten</t>
  </si>
  <si>
    <t>13 thirteen</t>
  </si>
  <si>
    <t>23 twenty 3</t>
  </si>
  <si>
    <t>14 fourteen</t>
  </si>
  <si>
    <t>15 fifteen</t>
  </si>
  <si>
    <t>16 sixteen</t>
  </si>
  <si>
    <t>24 twenty 4</t>
  </si>
  <si>
    <t>17 seventeen</t>
  </si>
  <si>
    <t>18 eighteen</t>
  </si>
  <si>
    <t>19 niunteen</t>
  </si>
  <si>
    <t>20 twenty</t>
  </si>
  <si>
    <t>25 twenty 5</t>
  </si>
  <si>
    <t>ਅੰਕੁਸ਼ ਕੰਬੋਜ</t>
  </si>
  <si>
    <t>ਪਰੈਵੀਨ ਰਾਣੀ</t>
  </si>
  <si>
    <t>ਵਿਨੋਦ ਕੁਮਾਰ</t>
  </si>
  <si>
    <t>ਦਰਸ਼ਨ ਲਾਲ</t>
  </si>
  <si>
    <t>ਹੀਰਾ ਰਾਮ</t>
  </si>
  <si>
    <t>ਮਨਜੀਤ</t>
  </si>
  <si>
    <t xml:space="preserve">ਸ਼ਾਮ ਲਾਲ </t>
  </si>
  <si>
    <t>1 ਸਤਨਾਮ ਚੰਦ ਕਾਲੂ ਰਾਮ</t>
  </si>
  <si>
    <t>ਪਰਮੇਸ਼ਵਰੀ ਬਾਈ</t>
  </si>
  <si>
    <t>2 ਨਰੈਣ ਦਾਸ ਸਾਮਾ</t>
  </si>
  <si>
    <t>ਪ੍ਰੇਮ ਸਾਗਰ</t>
  </si>
  <si>
    <t xml:space="preserve">3 ਲੇਖ ਰਾਜ </t>
  </si>
  <si>
    <t>5 ਲੇਖ ਰਾਜ ਸਾਮਾ</t>
  </si>
  <si>
    <t>6 ਅਵਤਾਰ ਸਿੰਘ</t>
  </si>
  <si>
    <t>7 ਦਰਸ਼ਨ ਲਾਲ ਚੌਧਰੀ ਰਾਮ</t>
  </si>
  <si>
    <t>8 ਰਾਮ ਸਿੰਘ ਕੰਬੋਜ ਨਿਰਭੈ ਸਿੰਘ</t>
  </si>
  <si>
    <t>ਸਮਰਾਟ</t>
  </si>
  <si>
    <t>ਰਾਜਾਂ ਬਾਈ</t>
  </si>
  <si>
    <t>ਹਰੀਸ਼ ਚੰਦਰ (ਮੰਗੂ)</t>
  </si>
  <si>
    <t>ਸੁਧੀਰ ਕੁਮਾਰ</t>
  </si>
  <si>
    <t>ਵੀਰਪਾਲ ਕੌਰ</t>
  </si>
  <si>
    <t>ਦਲਜੀਤ ਸਿੰਘ</t>
  </si>
  <si>
    <t>ਪ੍ਰਮੇਸਰੀ ਬਾਈ</t>
  </si>
  <si>
    <t>ਮਨਜੀਤ ਸਿੰਘ</t>
  </si>
  <si>
    <t>ਸਵਰਨ ਸਿੰਘ</t>
  </si>
  <si>
    <t>ਹਰਜੀਤ ਸਿੰਘ</t>
  </si>
  <si>
    <t>ਮਨਪ੍ਰੀਤ ਸਿੰਘ</t>
  </si>
  <si>
    <t>ਸੁਮਿਤਰਾਂ ਬਾਈ</t>
  </si>
  <si>
    <t>ਜੋਬਨ ਸਿੰਘ</t>
  </si>
  <si>
    <t>ਕਰਨ ਸਿੰਘ</t>
  </si>
  <si>
    <t>ਮੀਰਾਂ ਬਾਈ</t>
  </si>
  <si>
    <t>ਸਰੁਚੀ ਕੰਬੋਜ</t>
  </si>
  <si>
    <t>ਵਿਸ਼ਨੂ ਭਗਵਾਨ</t>
  </si>
  <si>
    <t>ਜੋਤੀ ਕੰਬੋਜ</t>
  </si>
  <si>
    <t>ਸ਼ਸੀ</t>
  </si>
  <si>
    <t>34 ਬਾਗ ਚੰਦ ਚੌਕੀਦਾਰ</t>
  </si>
  <si>
    <t>ਪਵਨ ਕੰਬੋਜ</t>
  </si>
  <si>
    <t>1 ਜਾਂਜੀ ਰਾਮ</t>
  </si>
  <si>
    <t>ਅਸ਼ਨਾ ਰਾਣੀ</t>
  </si>
  <si>
    <t>2 ਬੂਟਾ ਰਾਮ ਮਾਝੀ ਰਾਮ</t>
  </si>
  <si>
    <t>4 ਸੇਰ ਚੰਦ ਰਾਜੂ ਰਾਮ</t>
  </si>
  <si>
    <t>5 ਹਰੀ ਚੰਦ ਸੂਬਾ ਰਾਮ</t>
  </si>
  <si>
    <t>6 ਰੂਪ ਲਾਲ ਸੂਬਾ ਰਾਮ</t>
  </si>
  <si>
    <t>ਅੱਕੀ ਬਾਈ</t>
  </si>
  <si>
    <t>7 ਲਛਮਣ ਰਾਮ ਸੂਬਾ ਰਾਮ</t>
  </si>
  <si>
    <t>ਰੇਸ਼ਮਾ</t>
  </si>
  <si>
    <t>8 ਲੇਖ ਰਾਜ ਸੂਬਾ ਰਾਮ</t>
  </si>
  <si>
    <t>9 ਬੂਟਾ ਰਾਮ ਸੂਬਾ ਰਾਮ</t>
  </si>
  <si>
    <t>ਸੁਸਮਾ ਰਾਣੀ</t>
  </si>
  <si>
    <t>ਅਨੁਪ੍ਰੀਆ</t>
  </si>
  <si>
    <t>ਚਾਂਦ ਰਾਣੀ</t>
  </si>
  <si>
    <t>ਸੁਖਵਿੰਦਰ ਕੰਬੋਜ</t>
  </si>
  <si>
    <t>ਸਰਮਾ ਨੰਦ</t>
  </si>
  <si>
    <t>ਵਿਸੂ ਰਾਣੀ</t>
  </si>
  <si>
    <t>ਚੌਦਾਂ ਬਾਈ</t>
  </si>
  <si>
    <t>ਧਰਮਿੰਦਰ ਕੁਮਾਰ</t>
  </si>
  <si>
    <t>1 ਦੁੱਲਾ ਰਾਮ ਘੁਮੰਡੀ ਰਾਮ</t>
  </si>
  <si>
    <t xml:space="preserve">11 ਚਾਂਦੀ ਰਾਮ ਜਈਆ ਪੁੰਨੂੰ ਰਾਮ </t>
  </si>
  <si>
    <t>ਪਰਮੇਸ਼ਰੀ</t>
  </si>
  <si>
    <t>ਸੁਰਜੀਤ ਕੌਰ</t>
  </si>
  <si>
    <t>ਵੰਸਿਕਾ ਕੰਬੋਜ</t>
  </si>
  <si>
    <t>2 ਜੈ ਚੰਦ</t>
  </si>
  <si>
    <t>ਪ੍ਰਸ਼ੋਤਮ ਕੁਮਾਰ</t>
  </si>
  <si>
    <t>ਰੇਖਾ ਰਾਣੀ</t>
  </si>
  <si>
    <t>ਸਾਕਸੀ</t>
  </si>
  <si>
    <t>3 ਮੁਨਸੀ ਰਾਮ</t>
  </si>
  <si>
    <t>4 ਕਸ਼ਮੀਰ ਲਾਲ</t>
  </si>
  <si>
    <t>5 ਮਿਲਖ  ਰਾਜ ਮਈਆ ਰਾਮ</t>
  </si>
  <si>
    <t>6 ਲੇਖ ਰਾਜ ਹੁਕਮ ਚੰਦ</t>
  </si>
  <si>
    <t>ਮਥੁਰਾ ਬਾਈ</t>
  </si>
  <si>
    <t>7 ਟੇਕ ਚੰਦ ਹੁਕਮ ਚੰਦ</t>
  </si>
  <si>
    <t>8 ਚੰਬਾ ਰਾਮ ਚੰਦੂ ਰਾਮ</t>
  </si>
  <si>
    <t>9 ਲੁਭਾਇਆ ਰਾਮ ਹੁਕਮ ਚੰਦ</t>
  </si>
  <si>
    <t>10 ਜੈ ਚੰਦ ਜਈਆ</t>
  </si>
  <si>
    <t>ਅਮਿਤ ਕੁਮਾਰ</t>
  </si>
  <si>
    <t>ਸਤੀਸ਼ ਕੁਮਾਰ</t>
  </si>
  <si>
    <t>ਨੀਟਾ ਰਾਣੀ</t>
  </si>
  <si>
    <t>ਗੋਗਾਂ ਰਾਣੀ</t>
  </si>
  <si>
    <t>ਸ਼ਕਤੀ ਕੁਮਾਰ</t>
  </si>
  <si>
    <t>ਸ਼ਵੇਤਾ ਰਾਣੀ</t>
  </si>
  <si>
    <t>ਨਰਾਇਣ ਬਾਈ</t>
  </si>
  <si>
    <t xml:space="preserve">ਆਤਮਾ ਰਾਮ </t>
  </si>
  <si>
    <t>ਪ੍ਰਿੰਕਾ ਰਾਣੀ (ਬੇਟੀ)</t>
  </si>
  <si>
    <t>ਨੋਟ - ਸਤਨਾਮ ਡਾਕੀਏ ਦਾ ਭਤੀਜਾ</t>
  </si>
  <si>
    <t xml:space="preserve"> 12 ਭਗਵਾਨ ਚੰਦ ਮਈਆ ਰਾਮ</t>
  </si>
  <si>
    <t>ਰਵਿੰਦਰ ਕੁਮਾਰ PP</t>
  </si>
  <si>
    <t>23 ਸੋਹਣਾ ਰਾਮ</t>
  </si>
  <si>
    <t>24 ਮੋਹਣਾ ਰਾਮ</t>
  </si>
  <si>
    <t>18 ਜਾਂਜੀ ਰਾਮ ਮੋਮੀ</t>
  </si>
  <si>
    <t>19 ਖਰੈਤ ਲਾਲ ਪੁੰਨੂ ਰਾਮ</t>
  </si>
  <si>
    <t>https://serving.photos.photobox.com/32195724054f9f1555303e4b356d25964648560afd033798e13161b8b2950a077de84677.jpg</t>
  </si>
  <si>
    <t>https://serving.photos.photobox.com/02269310f54d7bae9ec176bf4f2b28310d186bdc87b508c216e8a879415489d54046568f.jpg</t>
  </si>
  <si>
    <t>https://serving.photos.photobox.com/9076302271030cb6b86983b854fe7257d1be62111bd58c295ca48a942e7a75e91726175b.jpg</t>
  </si>
  <si>
    <t>https://serving.photos.photobox.com/921715947a54b4a7eca6ff55e2eaa6320c8caf9f4bd1cf53c5edcfb75d59e7dcfbdc2035.jpg</t>
  </si>
  <si>
    <t>https://serving.photos.photobox.com/5737804322954ea330b7d1a91582562492ef3b470bdfc6df178cbd480b0c1cb74ecfa4c2.jpg</t>
  </si>
  <si>
    <t>https://serving.photos.photobox.com/00554790177c3557128e92513627c2cb8ebfaa9aed92e67074794ea5378be78b4d7ba4bc.jpg</t>
  </si>
  <si>
    <t>https://serving.photos.photobox.com/24327115200c5638baec022c7907e4fc538a76f16d4bf87c0eda917edebe0523416fa08c.jpg</t>
  </si>
  <si>
    <t>https://serving.photos.photobox.com/03161720a1061766f39bbba925e0fb0798803eac19a90c822b582d7e5435c169cb0467b4.jpg</t>
  </si>
  <si>
    <t>https://serving.photos.photobox.com/98799217ed52b1bdae5c8639dd6b98e1d9cfdf9a02db75c6e6be17c1f644125a30988091.jpg</t>
  </si>
  <si>
    <t>https://serving.photos.photobox.com/72860820f0e82bc181e9f12fe33a7d046c5f07659fe90260e6c0f976252161b8b01bba6c.jpg</t>
  </si>
  <si>
    <t>https://serving.photos.photobox.com/2450806567d190f5398f95fc528a8cb687faf01a3bb01d93e875cf772d993a5283db6d52.jpg</t>
  </si>
  <si>
    <t>https://serving.photos.photobox.com/273289931620e928806b2ae4161ee3c26269334c2dcd152c467d6cf58c3e876ee20b0112.jpg</t>
  </si>
  <si>
    <t>https://serving.photos.photobox.com/52300655209179dbc8f5243d685dfcab388ec7f1443b39facff2d3dd9d6f1a0ba68d1553.jpg</t>
  </si>
  <si>
    <t>https://serving.photos.photobox.com/02602269ccdb99b0f91af357e6a1454cb532e7d0b3ac5fbedb0fe782dcc1934d2f348c6a.jpg</t>
  </si>
  <si>
    <t>https://serving.photos.photobox.com/03245627c3fb30881bfe73a0e23c1dddf052c63662dd5fd539b3038cf3b7231cb34deb93.jpg</t>
  </si>
  <si>
    <t>https://serving.photos.photobox.com/48091004e42064298b51c6b543faa7d072a99a4b4f094f5fcb3eb5a88c883c14b211e3da.jpg</t>
  </si>
  <si>
    <t>https://serving.photos.photobox.com/2500505254568f9d8855f9f604846ce1eb3137875a5ff26269f651db4688801e8986832d.jpg</t>
  </si>
  <si>
    <t>https://serving.photos.photobox.com/74407972203a6dba1d93057cc14690f4b1e1a6842962fb8d0e4287cadb1d98ebc7c13f94.jpg</t>
  </si>
  <si>
    <t>https://serving.photos.photobox.com/245396609f7829c1ef4899a0852d3b8751e365218ce74937e115802eea656e7702ae3d28.jpg</t>
  </si>
  <si>
    <t>https://serving.photos.photobox.com/98982769008b5fbd078fe9e533a9df9abd0484a7ecb7c16f5591b46892894b158140d5d7.jpg</t>
  </si>
  <si>
    <t>https://serving.photos.photobox.com/36674010d2de10e3ff191e98dd047c6ec38bd2d27cd07074d42b73704b1b2251f12bd363.jpg</t>
  </si>
  <si>
    <t>https://serving.photos.photobox.com/091979189f57e22283990d7aaf25e562f5b3021b854df0d50c04dbc0a6f56282afe88bcd.jpg</t>
  </si>
  <si>
    <t>https://serving.photos.photobox.com/5080431660928ca035a86b9f979d9c73902451e89641eb557cb28a600bfb140f476bb18a.jpg</t>
  </si>
  <si>
    <t>https://serving.photos.photobox.com/81671790d8ebe04e151839d040108680e877fadeacb712c1a5ba2da35bc3403a156e8156.jpg</t>
  </si>
  <si>
    <t>https://serving.photos.photobox.com/2037260447f997722bf58702f35b3f7e05ed2733d878ef523326b96823a10c552478410a.jpg</t>
  </si>
  <si>
    <t>https://serving.photos.photobox.com/41655874697c0fde0bbfb27fd869c7a545a930f3a8957d5d4dce7e0a85acfb02f804678a.jpg</t>
  </si>
  <si>
    <t>https://serving.photos.photobox.com/9316915004521ae91fd046896aaea6bc2e72c6f8c42abf3605e080f02ac211442afb4c8b.jpg</t>
  </si>
  <si>
    <t>https://serving.photos.photobox.com/165967849775ae3b4fff862d5b5abdee9d5e527176834317b7dc503848abbf721a53b32a.jpg</t>
  </si>
  <si>
    <t>https://serving.photos.photobox.com/56071150530d785f31762aec990359d6acbf1f4f0dd53fadbff67e02f79283e12cd98e90.jpg</t>
  </si>
  <si>
    <t>https://serving.photos.photobox.com/484255818c8ced8c0e4b012947e5c95de2cd8c67bfc66634df62e1743520b2fb72dabc82.jpg</t>
  </si>
  <si>
    <t>https://serving.photos.photobox.com/545750758a7d409cd10d8eeb44c7bf17d5e36059f94871052b6784135d55f31119c2066a.jpg</t>
  </si>
  <si>
    <t>https://serving.photos.photobox.com/58427094b3f0961af53c0f13c3892a8e65eb443e30a56b451e9e1c41cb2b4135024edad0.jpg</t>
  </si>
  <si>
    <t>https://serving.photos.photobox.com/10917711f6098304e68e3941ce8e31c35d0b7e4e164fd9ee0e6b25b40d08f8dc6cf6cb72.jpg</t>
  </si>
  <si>
    <t>https://serving.photos.photobox.com/0505721031498a92685604444a60e53f5730fa5a6b9a844d68c61cce5d4c64c97f8fa179.jpg</t>
  </si>
  <si>
    <t>42 ਚੰਬਾ ਰਾਮ</t>
  </si>
  <si>
    <t>47 eighteen</t>
  </si>
  <si>
    <t>20 ਹੁਕਮ ਚੰਦ ਜੋਸਣ</t>
  </si>
  <si>
    <t>https://serving.photos.photobox.com/448545291e720beea603761bc7c0354fde13083c7a4a00682b4f175bbd8a58b35ea99579.jpg</t>
  </si>
  <si>
    <t>https://serving.photos.photobox.com/4506668356f3fc035bed923fd52b0098676de6ac1adc88814217ac1aadbcdacdb2cdca1e.jpg</t>
  </si>
  <si>
    <t>https://serving.photos.photobox.com/7220488041ca645d1b350a42f6a03f815f05d8b669240a6dbf46a05a5f53caf2cb38f0a4.jpg</t>
  </si>
  <si>
    <t>https://serving.photos.photobox.com/057063261dc02e4cf3eb1a29bd7a9c60a8c5329973ca5a60c96b23e75470de62674a846c.jpg</t>
  </si>
  <si>
    <t>https://serving.photos.photobox.com/31206351cce1befafd61fd4daf0e7295359f9af7a84590202e00595ed02d8de0c2ab4808.jpg</t>
  </si>
  <si>
    <t>https://serving.photos.photobox.com/58674557bee86b29b1e885d44cfffb6c8c94c88891b2bcada728b9834a273330d59dd9b4.jpg</t>
  </si>
  <si>
    <t>https://serving.photos.photobox.com/03085094a22f1789ff1f92ad053b7b24e42e926d7e264b997328b523ad2a65756e55008c.jpg</t>
  </si>
  <si>
    <t>https://serving.photos.photobox.com/73116064ea4348f3457e9030691a55aff0d8a0be5e62b42dac7e73045ba94d3c3b228979.jpg</t>
  </si>
  <si>
    <t>https://serving.photos.photobox.com/76037145f071ade63b9f4d9612b5a454d8bad53c4fcee39dddce0ef8d1a1c6dba65b4c6e.jpg</t>
  </si>
  <si>
    <t>https://serving.photos.photobox.com/84223403bd2077daec07fa3a93050c025ea81f4c840ab97f906af3609a0ca10d0203cc1c.jpg</t>
  </si>
  <si>
    <t>https://serving.photos.photobox.com/517262728507e00c19aaa5243bd8a5f427af48325759145846b7085b0ac9207f020ccf4b.jpg</t>
  </si>
  <si>
    <t>https://serving.photos.photobox.com/96796497a4e528007991627b3bc838a1add2add72086dbd91c4b11c3363f919996e58fc4.jpg</t>
  </si>
  <si>
    <t>https://serving.photos.photobox.com/678010450ebe40506fb9d3a67012a5e2eb5e8ea8d9bd03de6894e7d600a4fc9360c6b932.jpg</t>
  </si>
  <si>
    <t>https://serving.photos.photobox.com/87610740d21e52fa6d9bf9a3407255e0258117ad768da0527e86e7c281d09b343f8bdaf2.jpg</t>
  </si>
  <si>
    <t>https://serving.photos.photobox.com/2829407669cce3f7ccf8bc90f4a85af7f179694605a2471052524c42492f8622d1d95f3c.jpg</t>
  </si>
  <si>
    <t>https://serving.photos.photobox.com/99169524be37c207e1858be47aa9ecb5e668da76b7a1d13001baff8d61cf9a24c5ec70ad.jpg</t>
  </si>
  <si>
    <t>https://serving.photos.photobox.com/30743851b4daaebf6633870837a1847b4318cc5d31392a95ab950a03ef642c99fde42f98.jpg</t>
  </si>
  <si>
    <t>https://serving.photos.photobox.com/28219157632a884cb9634de6f29d99de5277cb78edc1b6f662f54c0be1ace2bff0821b8d.jpg</t>
  </si>
  <si>
    <t>https://serving.photos.photobox.com/4275307448b417bf5a6112f3f1cf2fe95aa91de44b2c394d57c7612d949740043c56f3f2.jpg</t>
  </si>
  <si>
    <t>https://serving.photos.photobox.com/63192178f1e372929d68ac068465b1ea7544a8b37e4abc896ed1847e0bfd8cb9b6cb0835.jpg</t>
  </si>
  <si>
    <t>https://serving.photos.photobox.com/39058918f321baae9c35225b23f8d30687aa49acdda2f8198e349ec2777e439467ef5905.jpg</t>
  </si>
  <si>
    <t>https://serving.photos.photobox.com/53958244dad8188ef7bec27b81ca6e885932d6088f4f76e37882d6658d63f5ac808a464d.jpg</t>
  </si>
  <si>
    <t>https://serving.photos.photobox.com/81128392ae1a8fc053662f3cd693c507d2424224a3c19840002efe7911bc80be2f972ee6.jpg</t>
  </si>
  <si>
    <t>https://serving.photos.photobox.com/8140035435e525f25c56daa423f5a2f7719559be4bed55aaa459d57cb332c31b4e7c0afc.jpg</t>
  </si>
  <si>
    <t>https://serving.photos.photobox.com/99056138ea3fad0b2c8a55ee247738b66c1796bbcfd1cfa7539c4bb87b7e920842c276ad.jpg</t>
  </si>
  <si>
    <t>https://serving.photos.photobox.com/02894397a51d14d2017fc2043ded76da228ace3b8ccd715ff2264acb053484b0122a4ffd.jpg</t>
  </si>
  <si>
    <t>https://serving.photos.photobox.com/75990581cea722315945c9c976ca14dbd86d27296f54470505d2f490b8adeb1e37035705.jpg</t>
  </si>
  <si>
    <t>https://serving.photos.photobox.com/433209664c71b551681d55d4b21588ee3521742a6b089dc351034b18a59dd466e7da1208.jpg</t>
  </si>
  <si>
    <t>https://serving.photos.photobox.com/740964458a9807794938811cbde40ac3c8d8afc554849c7ae481589da9260e6645a9965d.jpg</t>
  </si>
  <si>
    <t>https://serving.photos.photobox.com/686507566841d1d4ac53040255cfe6110c8ab5eeb7ede3e9827930478b79ebaf4f7fb733.jpg</t>
  </si>
  <si>
    <t>https://serving.photos.photobox.com/642090156195588ede220ca2ea25688a57f6ef404f39e97acb2e9534c2ba3014a2e951ea.jpg</t>
  </si>
  <si>
    <t>https://serving.photos.photobox.com/21815673e23c224830f6c172d5fd034f52e25d497e2ed1d72a57082a178278e9f9037f55.jpg</t>
  </si>
  <si>
    <t>https://serving.photos.photobox.com/99615640a860c51a089b9b101bd9ff9ed86f98be4eaefa2e526fb8d674cc9a03d9ac2209.jpg</t>
  </si>
  <si>
    <t>https://serving.photos.photobox.com/205449739fd3d43294ff7cf35284a5d55392c9e21fb6a56fd5eb06703c826b7f5ec52064.jpg</t>
  </si>
  <si>
    <t>https://serving.photos.photobox.com/103305864da7b41783df3fc8c74b0178b1a01685b4a3f6b413fb3b742a19e67d2302d4f4.jpg</t>
  </si>
  <si>
    <t>https://serving.photos.photobox.com/96242257b767f3434129d68598255c31dbfa3fa43f069161a9336d68000bbdaf5c14c478.jpg</t>
  </si>
  <si>
    <t>https://serving.photos.photobox.com/85047541fdeb905080314c491c600cf4f54f2a330fabc88021d88cfe1d21395e7e02987d.jpg</t>
  </si>
  <si>
    <t>https://serving.photos.photobox.com/38285963cdb42e430c1193765274ae4cbfc4627c41461487ae6bdd7bdd1b4c5bb145b3a2.jpg</t>
  </si>
  <si>
    <t>https://serving.photos.photobox.com/29630265343998926f9c96b49187a9b59016ac535cd8cff0122b0d5b548522a35ed5b567.jpg</t>
  </si>
  <si>
    <t>https://serving.photos.photobox.com/2760568625f172a69225c013d809487ee707c50f38bf3e53565b8c27e7cddd685f033828.jpg</t>
  </si>
  <si>
    <t>https://serving.photos.photobox.com/3836809565935f461fc9882981a1066d7673ef0377bf48b2e2aa2b7641fe6954cd2957ef.jpg</t>
  </si>
  <si>
    <t>https://serving.photos.photobox.com/33238939d531b17620dbecef0349416ec6bf18b5fc76ea2164c87c074f48697be24401c3.jpg</t>
  </si>
  <si>
    <t>https://serving.photos.photobox.com/22513966fce4f83e39dd21a458a3ebd609b04dc683ff39d4d7d19d0abcf7b09ccfc56e7f.jpg</t>
  </si>
  <si>
    <t>https://serving.photos.photobox.com/421875990c977f68a904e83d1d13f4b880a2c3baa2fcb634d8068147309440000349c038.jpg</t>
  </si>
  <si>
    <t>https://serving.photos.photobox.com/27134183fce97c8ef05cc4008325297b54bba3cbd627535cb5468f9e9470c31bd8deec85.jpg</t>
  </si>
  <si>
    <t>https://serving.photos.photobox.com/28046120777a1e34ca98d17e812d23893da6e7f33daa34cf47d1aa1bf34037e731b480bf.jpg</t>
  </si>
  <si>
    <t>https://serving.photos.photobox.com/13010739927e312068523006bf902994e593838c967c9d08237c84e9c693d3a8a7271858.jpg</t>
  </si>
  <si>
    <t>https://serving.photos.photobox.com/397420252467f24ca2a3325cc8e5b1175ca1cb3262ffd92d504ed374a79c69fa0b44537d.jpg</t>
  </si>
  <si>
    <t>https://serving.photos.photobox.com/979266844d24b602da40e37c41cef036b5cfae4665e2a27e6284ec1c37bdde193d4bba98.jpg</t>
  </si>
  <si>
    <t>https://serving.photos.photobox.com/83787551aae07d33800d039b57a780deb5fd23ecd86d4a84b93fffad8e5d19f4e23935fd.jpg</t>
  </si>
  <si>
    <t>https://serving.photos.photobox.com/202765100292b4d0cabadb4e7bf7d8508115914a78695c5ba80f1597012a3d99911dcdb7.jpg</t>
  </si>
  <si>
    <t>https://serving.photos.photobox.com/768310238171c19c1590ac130a751a8b90ac30b31904b10b108f70e57c5e43d67322026a.jpg</t>
  </si>
  <si>
    <t>https://serving.photos.photobox.com/3266552302a1594960e49ff228b1332ae46b4ee61545f2cd1d6897042aa2b487d18a4817.jpg</t>
  </si>
  <si>
    <t>https://serving.photos.photobox.com/130523432fbc9fd01c1ed42b6f6c01500f60e4c04f13fbbb6ce00a77098bcdb234b62315.jpg</t>
  </si>
  <si>
    <t>https://serving.photos.photobox.com/83923232d18383663ee47fb65002c0779ffc759ca1f1c5163a4269f3e39005c698b99240.jpg</t>
  </si>
  <si>
    <t>https://serving.photos.photobox.com/547579273bc1e4bbca392de6ca2a66448fac3cfbc6fa5a793e0d4ff0c19a5da4cf8d36b2.jpg</t>
  </si>
  <si>
    <t>https://serving.photos.photobox.com/032823845d9576a00fc079380d04d84cf033c961ab87959676681d7cfa1751accc32b522.jpg</t>
  </si>
  <si>
    <t>https://serving.photos.photobox.com/5548209455a8769529346ba4ce72188c9894ca55e7c0946b9445490c0e553cf24c013614.jpg</t>
  </si>
  <si>
    <t>https://serving.photos.photobox.com/11036246a969611b2cb07000e3bec8d51b9db89e344d98428816c634ef00d557f436b1fe.jpg</t>
  </si>
  <si>
    <t>https://serving.photos.photobox.com/907791968f408b39bebde80a502e58405ad3633d5c6a967fce9147dd46ae251244e36dac.jpg</t>
  </si>
  <si>
    <t>https://serving.photos.photobox.com/795893551c455fdbdcaf8389cafee071d24a8c41132723e0fc5c901abd987423ae790a28.jpg</t>
  </si>
  <si>
    <t>https://serving.photos.photobox.com/753073465ded5342c61b024b74802c9cd2e193e333a291b3b3dff9a65809da3a1f25408e.jpg</t>
  </si>
  <si>
    <t>https://serving.photos.photobox.com/64655061eccae8219a8cc5a01b1d5b9c81a81d258f4b5b3f5c720367ec371c59662651f0.jpg</t>
  </si>
  <si>
    <t>https://serving.photos.photobox.com/55148001af6771ade6b96a2924060abf009903f9473522ef200e4de479d2f2abde35e7ab.jpg</t>
  </si>
  <si>
    <t>https://serving.photos.photobox.com/17490693b24c091c52bd1af3c57e1002b0ce292efc33ae360343a5023750452c8b731a66.jpg</t>
  </si>
  <si>
    <t>https://serving.photos.photobox.com/34514989fa4dbc1a9a79c55bd7b4dbbdd756c158a12400589eec180acb6a1cac6516d1a0.jpg</t>
  </si>
  <si>
    <t>https://serving.photos.photobox.com/79499871a1ee75a1873a67286c9b8e274197118e3a589f362306b26e1929198ccb96ea2a.jpg</t>
  </si>
  <si>
    <t>https://serving.photos.photobox.com/387248391a3e8ab6652b6d11426887371adc66110fa1fec5f9653683b8ef9adf23ce7702.jpg</t>
  </si>
  <si>
    <t>https://serving.photos.photobox.com/09065363fa8b77c9b44acfff2bb7a8b977241ff9a93215341e60c0c38464a6f7a8d52293.jpg</t>
  </si>
  <si>
    <t>https://serving.photos.photobox.com/8103133540af6c0392ab45e0fb92fd3eb2e5af828aaf695b09844b3adda30fdd438e16b3.jpg</t>
  </si>
  <si>
    <t>https://serving.photos.photobox.com/99129800abe4a993e3507eb6ce6156a8bc5a499018d48492833a211533227e931eab91d2.jpg</t>
  </si>
  <si>
    <t>https://serving.photos.photobox.com/1521333060a12e4234720f7cb13010944bbe36d5e1c06bb98adc37c75980e3a91f2a9b63.jpg</t>
  </si>
  <si>
    <t>https://serving.photos.photobox.com/58381156ebcd44ad1b4a05617d30a35163fe51901fd4ac5deed8fe10f911a359d88f5a17.jpg</t>
  </si>
  <si>
    <t>https://serving.photos.photobox.com/1968215932d4134ccd747b0e95050ab2719f59fcb8ee1cddba82462904ea5253d71967f1.jpg</t>
  </si>
  <si>
    <t>https://serving.photos.photobox.com/83158473565090cdbd2673835400425e9f9cdbde5942623d9eb3373693540acb58b962c0.jpg</t>
  </si>
  <si>
    <t>https://serving.photos.photobox.com/11051788a6558d2d76bdb60cd969d5f4620400be294b4dd5090fa727498098a737989cc9.jpg</t>
  </si>
  <si>
    <t>https://serving.photos.photobox.com/88743607ba2c3150dde9fcbae3f62ab00f5b65289f3ba14e6b8601fd5bd49be9cdb74f80.jpg</t>
  </si>
  <si>
    <t>https://serving.photos.photobox.com/6650960635541136b17b20a245662554bb717a498be6bac699f26e749fb4e7f6d23d5308.jpg</t>
  </si>
  <si>
    <t>https://serving.photos.photobox.com/82389689846c2d77a8a0ef57e50b3e4443df9637f1ffcbeff1fc2c7b14d84d2af157bc0e.jpg</t>
  </si>
  <si>
    <t>https://serving.photos.photobox.com/73291816fd2ce9fb00d6bbc61d441b75766768406a7069661be3d16f04ba0ca881a5d409.jpg</t>
  </si>
  <si>
    <t>https://serving.photos.photobox.com/804127335e8374946bd404b2037d315a44123db259dddf1aa31159c249173935db9d35f2.jpg</t>
  </si>
  <si>
    <t>https://serving.photos.photobox.com/08794451e094818ad28bbf46b854527fbf411f5b6422ff802cfd0ade16534ad0052b9dc5.jpg</t>
  </si>
  <si>
    <t>https://serving.photos.photobox.com/370885083d0b442138a99e01a46b7fe18de8092423ea7759863644bd6620bcb02f067d42.jpg</t>
  </si>
  <si>
    <t>https://serving.photos.photobox.com/84652466106d871caa3eb08f2c14e8381c9bb8cde007ed1a9d4258651d53ae221e6d8403.jpg</t>
  </si>
  <si>
    <t>https://serving.photos.photobox.com/37444152499dc9e982f10709551a37f2b1d1b48c1c133a97fa2a3e124bf327df41a0a51e.jpg</t>
  </si>
  <si>
    <t>https://serving.photos.photobox.com/767577446ef4d744388a84acc84520bf767c75c69a088b92567a910e83c09f74db471e34.jpg</t>
  </si>
  <si>
    <t>https://serving.photos.photobox.com/5742308172f6a30214372a1e65ac8e6bdbe2bcaf400f39b0a568ac96161184458bf4d978.jpg</t>
  </si>
  <si>
    <t>https://serving.photos.photobox.com/7311362909768c714e3cdbb7fb5ff0e0ade9e3b0beac4c3d25ee41b493fe4a486babb0dd.jpg</t>
  </si>
  <si>
    <t>https://serving.photos.photobox.com/591882517963fb1e1948c1c95f32b877c29600f65ea334e96e7162d4e729149cf8b56721.jpg</t>
  </si>
  <si>
    <t>https://serving.photos.photobox.com/12027137a071258d55feadd88badd9ffc1eeae3b2b230aeca36cd0acecde2e3073fa91da.jpg</t>
  </si>
  <si>
    <t>https://serving.photos.photobox.com/201412345ff83a3615f4c63555f7afba472ddc8bf5ee1c1823d9f6ec6799a5a86c49076c.jpg</t>
  </si>
  <si>
    <t>https://serving.photos.photobox.com/72943102897b6e8f88aa2ecec55e52880ec98ea3ca51dd605937fb591baf4f5bf44fb5d8.jpg</t>
  </si>
  <si>
    <t>https://serving.photos.photobox.com/19988918dd54e35ea17d503fdf01e1c8dc3224bfb142b2ff5770e1fd3e6699eb10685c45.jpg</t>
  </si>
  <si>
    <t>https://serving.photos.photobox.com/9301779251601a14c3a509ee45ef7e04fd1d631f0e0c8b38661b8c8cffd7f1c54cfc5df4.jpg</t>
  </si>
  <si>
    <t>https://serving.photos.photobox.com/1184337928ff40180f7a10bf9a4b2c90999a365f62ca0ef7954b256eb295ff18286e7895.jpg</t>
  </si>
  <si>
    <t>https://serving.photos.photobox.com/38851861cae6603708cacaca7b58c726f9636b55770c2653f087f01946b732bdaed4104f.jpg</t>
  </si>
  <si>
    <t>https://serving.photos.photobox.com/4907022684660add9141b2a6a50060a6c076c8965e1c08e3325d2283f4b80de96598e269.jpg</t>
  </si>
  <si>
    <t xml:space="preserve">41 ਓਮ ਪ੍ਰਕਾਸ਼ ਪੁੱਤਰ ਝਾਂਗੀ ਰਾਮ </t>
  </si>
  <si>
    <t>https://serving.photos.photobox.com/14706644c4bd1904fc60ed85b253bc09513ead4644eff490a48bab2575fbd530fb84143d.jpg</t>
  </si>
  <si>
    <t>https://serving.photos.photobox.com/7868053224ec9e8b2e9bf72b6e359d64ca3ce45dba9967b9a453be0a8756a0d391330c12.jpg</t>
  </si>
  <si>
    <t>https://serving.photos.photobox.com/023341669566f33f2f7c1f5a6e92e2aa53b949037b3d23ae1fa7baa318db3b7cd3f3685b.jpg</t>
  </si>
  <si>
    <t>https://serving.photos.photobox.com/896517774cd04673a0d1604f26611ca02bb49a774cc3aa2828122d22e9eb7683d4e60730.jpg</t>
  </si>
  <si>
    <t>https://serving.photos.photobox.com/96787577d0bfbdd91eeb2fce5de07243f5708569339591ee2e1efc45deda8f2c3230430c.jpg</t>
  </si>
  <si>
    <t>https://serving.photos.photobox.com/184798406b2d8555fdb624fb9edb8d5a1bf55fde8767f92c0517411317741ab7811a7214.jpg</t>
  </si>
  <si>
    <t>https://serving.photos.photobox.com/14901299e9add22b6ac8f793275a1cd10efaed010e390e4b32bfd6289c0a80121460caef.jpg</t>
  </si>
  <si>
    <t>https://serving.photos.photobox.com/677707538a7547c460629856757e71e30658ebbc526a7ec9b12b71d7ff3f4ecafe375117.jpg</t>
  </si>
  <si>
    <t>https://serving.photos.photobox.com/035453694704ce806b703cd7057294e218b2423b706e5429d06683e302e9cea61a07f4b6.jpg</t>
  </si>
  <si>
    <t>https://serving.photos.photobox.com/958365840a217b624f5b04b66dcd14d4cc9f59660dd8e95eb09796b2a23b7d15f33650ef.jpg</t>
  </si>
  <si>
    <t>https://serving.photos.photobox.com/11625492657e2ccbda17750a73c11c2dd632b2ec9966f9ae1aaa74116302b12535020371.jpg</t>
  </si>
  <si>
    <t>https://serving.photos.photobox.com/80074161b999212934fb41935c4becb4d028c53236e652c3c8ddfb072c8cce0bfe782abd.jpg</t>
  </si>
  <si>
    <t>https://serving.photos.photobox.com/94441276c2d28d5f8f46413a9dcf52b8e56ee8741f9b1d47c87c8cd67670edac99da8352.jpg</t>
  </si>
  <si>
    <t>https://serving.photos.photobox.com/73897084623e905238d6b6f7b480e863480411d8acfa5e684b02083fd14df465b788774e.jpg</t>
  </si>
  <si>
    <t>https://serving.photos.photobox.com/632427170b239b53b5325ad4bd55639084951a6d837fa2eedaef34e1b8989c1412150fb4.jpg</t>
  </si>
  <si>
    <t>https://serving.photos.photobox.com/64668545055b9369f1e33f16112eb351a7c67daf111471e29aafddef17b4efa17bed2e4f.jpg</t>
  </si>
  <si>
    <t>https://serving.photos.photobox.com/078698117046a81f5118ef127bb37604b74260af1e8894f35ed6783c9956ccd367697ba6.jpg</t>
  </si>
  <si>
    <t>https://serving.photos.photobox.com/9761164312d517ff2a727582b9da14c26a1d2a12f3fd9e575c3c8b79df497cca53c04bb4.jpg</t>
  </si>
  <si>
    <t>https://serving.photos.photobox.com/36876157f5837a9ea9a31baad79b5e2c938287a98e15f7dc197592e536425fec46b40a7d.jpg</t>
  </si>
  <si>
    <t>https://serving.photos.photobox.com/95001780bb59ce377c576c230d9b0fb8b62731b482d62b74bb219e7a01cba9af5d09cd6c.jpg</t>
  </si>
  <si>
    <t>https://serving.photos.photobox.com/84133489c32b24ff4af36d6c6929f0995470371032e7c6eebe7170e5bbb334474f1a8fdf.jpg</t>
  </si>
  <si>
    <t>https://serving.photos.photobox.com/78688473560c4f879b3b7316ee27b145c95a519124307fa5dd4e21838c930e332a122285.jpg</t>
  </si>
  <si>
    <t>https://serving.photos.photobox.com/4923750798232e7aa434638348e6a7d631f179b49eb42bf3fbfbfd7b02830e7dfcfcf7d9.jpg</t>
  </si>
  <si>
    <t>https://serving.photos.photobox.com/240663479610caa61fea9ffdd2bf1e0ff417abc21155aad1bed7bc28491e390f6ebb539c.jpg</t>
  </si>
  <si>
    <t>https://serving.photos.photobox.com/26323432d5e8ce969b4e022537a99f6b4a31f42f12cdbf928dd81a9428fb842029c2e0ca.jpg</t>
  </si>
  <si>
    <t>https://serving.photos.photobox.com/006945309c0de84441ba81966b58bde4f529b1ca5ccc47a28c6ee940c61e5f0c9ef5cf48.jpg</t>
  </si>
  <si>
    <t>https://serving.photos.photobox.com/17567002b8ed6dbca7e704bb365e59bfed54192ee5f1a4d641cdcd63c11f4b332c7fa7da.jpg</t>
  </si>
  <si>
    <t>https://serving.photos.photobox.com/7873048831e1c0d9fb119fb0891d7beb772be783521d7d45d2c44701eaf98993da27595b.jpg</t>
  </si>
  <si>
    <t>https://serving.photos.photobox.com/1020802188d2c0924f8dac392c4eb00e79cd1f26cd8c12196944d93c19d45766b819b24b.jpg</t>
  </si>
  <si>
    <t>https://serving.photos.photobox.com/448098558f88aae85766af1640b5d1a220b3a280511522e77df7aeaf6b060f9a6875c305.jpg</t>
  </si>
  <si>
    <t>https://serving.photos.photobox.com/288810660c0dc30645281de1d0376f4c03771cde99d976d8c4fb54746f87c94a35bed583.jpg</t>
  </si>
  <si>
    <t>https://serving.photos.photobox.com/1295313668f2cc285824aca5934b8ed4924192fb06d629adbfee2afe46f741bb670ac928.jpg</t>
  </si>
  <si>
    <t>https://serving.photos.photobox.com/22673597653feae5a7ffebb68f08a5f0f55c4984c32d60973998921e5ce6ddf6e4844023.jpg</t>
  </si>
  <si>
    <t>https://serving.photos.photobox.com/2337099222200915e61ea40c842da8c2716b40117a74c2743b5bc2454d5d1ff7541bda6a.jpg</t>
  </si>
  <si>
    <t>https://serving.photos.photobox.com/427047831e6ad785d886c0e3b2a677752cc2e4c3ed8f3da427b803cde3e44b5fe2199ff9.jpg</t>
  </si>
  <si>
    <t>https://serving.photos.photobox.com/99761747b8b76447bef14414a3ca6704f6aa3134416951306c5f93411429477db292aa67.jpg</t>
  </si>
  <si>
    <t>https://serving.photos.photobox.com/458374092f6017ae11b95316287b871c6c8f97d77c5bfa907262e1c95fdf8e040a8b07c0.jpg</t>
  </si>
  <si>
    <t>https://serving.photos.photobox.com/59226475a870fd126b7bb04674b1eced1388e7c8af153954271c9b86b84e4ce614331ba9.jpg</t>
  </si>
  <si>
    <t>https://serving.photos.photobox.com/4087068461a1de5f721c0d81e1f1cc19c572a0c81584df1c46fc1f33f4ac7075cf3582d3.jpg</t>
  </si>
  <si>
    <t>https://serving.photos.photobox.com/67810365cbf86b76eb0d09d063e2c6ada3ed170190fdae8d4d29093f41c8edee34991874.jpg</t>
  </si>
  <si>
    <t>https://serving.photos.photobox.com/65809148abcac407c36fee058848835cf885333952c67608a278f0429b44031e2d341923.jpg</t>
  </si>
  <si>
    <t>21 ਕੋਟ ਚੰਦ</t>
  </si>
  <si>
    <t>23 ਚੰਦਰ ਪ੍ਰਕਾਸ਼</t>
  </si>
  <si>
    <t>22 ਹੰਸ ਰਾਜ</t>
  </si>
  <si>
    <t>https://serving.photos.photobox.com/604465546f08e6a16cca8371303f6c233f6120e2b8b88d66b51c6f447be8dc18a5a9d9a6.jpg</t>
  </si>
  <si>
    <t>https://serving.photos.photobox.com/14033149aad024782ef4cec8626ea354ed385a3132fe1bd4b5ac50d7df2a127a2e23c338.jpg</t>
  </si>
  <si>
    <t>https://serving.photos.photobox.com/816672648b5ccd1057b5e04aff187609c3438464df12164707870fbad1069d70c4ae85f9.jpg</t>
  </si>
  <si>
    <t>https://serving.photos.photobox.com/959054042737c9d57a7183976f538f3b8a3718a21f2978d068a653a70f056c22a1800ea5.jpg</t>
  </si>
  <si>
    <t>https://serving.photos.photobox.com/12282387352ec80d1e5747c0b8bc033491cc5eea6050323a5865d552140a4ced1a2697e9.jpg</t>
  </si>
  <si>
    <t>https://serving.photos.photobox.com/20153930b4216db3b65a9366dfff5a2b1e7e622ea9e9ca3a57e30fac742ab68c0465159e.jpg</t>
  </si>
  <si>
    <t>https://serving.photos.photobox.com/5291049619272b74cc9817c7d08bfaa4a080b015a3c0f2f068e1bf73b12fbcdc5db1128f.jpg</t>
  </si>
  <si>
    <t>https://serving.photos.photobox.com/4741529761fe4ab9f53d1a0a119df523bf518b8332b76f72cfbbb9c31599f6ad9f9b78d3.jpg</t>
  </si>
  <si>
    <t>https://serving.photos.photobox.com/81531431608bd1d7718c357fb7deb312a9f79de0fe757e16033d9f96f85d3efdca0dc3d1.jpg</t>
  </si>
  <si>
    <t>https://serving.photos.photobox.com/876753948a87edf2aea4a0954d7ce7196fea9f1879d324e3745a4e96a2bc28d9b2018e34.jpg</t>
  </si>
  <si>
    <t>https://serving.photos.photobox.com/22680610fbbee7e0f17ed364944bed75a19d9463bda2a21ea4790441a672f522cb837238.jpg</t>
  </si>
  <si>
    <t>https://serving.photos.photobox.com/9740735601de63d639fa1f866cdf4bf66ea6328da099129ac801922864741cdf1919c4ee.jpg</t>
  </si>
  <si>
    <t>https://serving.photos.photobox.com/545572440d4b04a9e2e024aa0c3fa53d2d165164869b72605e17f54afcb1c98bd9fabfac.jpg</t>
  </si>
  <si>
    <t>https://serving.photos.photobox.com/32144341604417d352fb5c88c67a413fc961659c94a4dde77051acdc637924659b664212.jpg</t>
  </si>
  <si>
    <t>https://serving.photos.photobox.com/61880067dc7ecfa2a9229516259da6e58016a3a9c4fc026189e5e7f9137b0288138cde62.jpg</t>
  </si>
  <si>
    <t>https://serving.photos.photobox.com/487951242590d381caf907285924b388bd64d94513ebc92c91710614c90ed29f0f2e26c5.jpg</t>
  </si>
  <si>
    <t>https://serving.photos.photobox.com/47885278c4f618941e03805afcb28c97b2b106f7a823972c9da8ba83b8a47e2e13e2d6c8.jpg</t>
  </si>
  <si>
    <t>https://serving.photos.photobox.com/38451784ee2fe8e2671da432cf426cf2c40fe51f8a7be855c86542ef3ff25a7aba616ebb.jpg</t>
  </si>
  <si>
    <t>https://serving.photos.photobox.com/88701911a74a7c985ad49e2d1bd78060feb0baba3d42ba724c99391e941e56bd03d3cc29.jpg</t>
  </si>
  <si>
    <t>https://serving.photos.photobox.com/16338823c05684177fbaf6eda721f80157f6a9a9a5f3b0ef32739bbc087b421c255d8da9.jpg</t>
  </si>
  <si>
    <t>https://serving.photos.photobox.com/10693308ebb82bf5654936ebc33ea867b3d47de9a047645508344deac48e56c5ac59ba77.jpg</t>
  </si>
  <si>
    <t>https://serving.photos.photobox.com/34259206cf330a348a9911a0db3e1ad7ee4ebdc5a955f4782bb6d24367c883eb8e9059fd.jpg</t>
  </si>
  <si>
    <t>https://serving.photos.photobox.com/90517772c49a7e4c072cae5da3b488d024a578ead7cc6d84d4aca4e64c5f474b18aebdad.jpg</t>
  </si>
  <si>
    <t>https://serving.photos.photobox.com/9959805369102699c729e309a1e748eb7930054a226ee1e85e5e849c03666adedd113f5c.jpg</t>
  </si>
  <si>
    <t>https://serving.photos.photobox.com/3218474366c07e10b138e65578342ed419ff57fe02b17a20645f89e3d6f5ea77db727800.jpg</t>
  </si>
  <si>
    <t>https://serving.photos.photobox.com/393822307aecfbe61d4cc71f3a912e7407c35029478919c079d677c8cd31d8e66bebdf5a.jpg</t>
  </si>
  <si>
    <t>https://serving.photos.photobox.com/70041361bd62a104e3048899e41c9d0289203e1810cc4c3bcf829a1df02630e1e555b2f4.jpg</t>
  </si>
  <si>
    <t>https://serving.photos.photobox.com/8649534510469258d3883c8f26c84ff57796a2dd932131f6dff2996c0bba3a6a02990268.jpg</t>
  </si>
  <si>
    <t>https://serving.photos.photobox.com/749945022719872b26b21f88e4c81f3238cbc61cac8b343c4475af2a9ebd1e45606df2bc.jpg</t>
  </si>
  <si>
    <t>https://serving.photos.photobox.com/611379894f60471e3776754a3fd3b9007742b5b00783177e65e8b63e64468553bb541556.jpg</t>
  </si>
  <si>
    <t>https://serving.photos.photobox.com/00408987c6ae8086d3b650e79ca3c38ff6faf747254e8adad4bbe026ab14daf269536168.jpg</t>
  </si>
  <si>
    <t>https://serving.photos.photobox.com/170347471d762e283d65d678e361da004d0718c460f0977bfd9e407b89f64bcac852e917.jpg</t>
  </si>
  <si>
    <t>3 ਸਤਨਾਮ ਦਾਸ ਮਾਣਕ ਦਾਸ</t>
  </si>
  <si>
    <t>4 ਅਮਰ ਲਾਲ ਮਾਣਕ ਦਾਸ</t>
  </si>
  <si>
    <t>ਮੀਨੂੰ/ਸੰਦੀਪ</t>
  </si>
  <si>
    <t>ਕਾਜਲ</t>
  </si>
  <si>
    <t>ਪ੍ਰਿਅੰਕਾ(ਧੀ)</t>
  </si>
  <si>
    <t xml:space="preserve">ਵੀਰਪਾਲ </t>
  </si>
  <si>
    <t>ਰਾਜਪ੍ਰੀਤ ਕੁਮਾਰ</t>
  </si>
  <si>
    <t xml:space="preserve">ਰਿਤੂ </t>
  </si>
  <si>
    <t>ਸ਼ਵੇਤਾ</t>
  </si>
  <si>
    <t>ਪੂਨਮ (ਬੇਟੀ)</t>
  </si>
  <si>
    <t>ਸੁਮਨ ਲਤਾ</t>
  </si>
  <si>
    <t>ਮਨਦੀਪ ਕੁਮਾਰ</t>
  </si>
  <si>
    <t>ਮੋਨਿਕਾ ਰਾਣੀ</t>
  </si>
  <si>
    <t>ਬਿੰਦਰ ਕੁਮਾਰ</t>
  </si>
  <si>
    <t>ਰਮਨਦੀਪ ਕੌਰ</t>
  </si>
  <si>
    <t>ਅਭਿਸੇਕ ਕੁਮਾਰ</t>
  </si>
  <si>
    <t>ਸੁਰਿੰਦਰ ਰਾਣੀ</t>
  </si>
  <si>
    <t>7 Seven</t>
  </si>
  <si>
    <t>3 ਓਮ ਪ੍ਰਕਾਸ਼ ਢੋ</t>
  </si>
  <si>
    <t>4 ਲੇਖ ਰਾਜ (ਅਭੁੰਨ)</t>
  </si>
  <si>
    <t xml:space="preserve">15 ਰਾਂਝਾਂ ਰਾਮ </t>
  </si>
  <si>
    <t>ਮੀਨੂੰ</t>
  </si>
  <si>
    <t>ਕਮਲੇਸ਼ (ਧੀ)</t>
  </si>
  <si>
    <t>ਕਮਲਦੀਪ</t>
  </si>
  <si>
    <t>ਸਵਿਤਾ ਰਾਣੀ</t>
  </si>
  <si>
    <t>ਪਵਨ ਕੁਮਾਰ (ਰਾਜੀਵ)</t>
  </si>
  <si>
    <t>ਵਿਸਾਲ ਕੰਬੋਜ</t>
  </si>
  <si>
    <t>ਸੀਨਮ ਕੰਬੋਜ</t>
  </si>
  <si>
    <t>ਗਗਨਦੀਪ ਕੰਬੋਜ</t>
  </si>
  <si>
    <t>ਰੰਜਨਾ</t>
  </si>
  <si>
    <t>ਪ੍ਰਦੀਪ ਰਾਣੀ</t>
  </si>
  <si>
    <t xml:space="preserve">ਮੰਜੂ ਬਾਲਾ </t>
  </si>
  <si>
    <t xml:space="preserve">ਵੰਸ਼ਦੀਪ </t>
  </si>
  <si>
    <t>ਮਨੀਸਾ ਰਾਣੀ</t>
  </si>
  <si>
    <t xml:space="preserve">ਲਵਪ੍ਰੀਤ </t>
  </si>
  <si>
    <t>ਸਵੇਤਾ ਰਾਣੀ</t>
  </si>
  <si>
    <t>ਕਮਲਪ੍ਰੀਤ ਕੰਬੋਜ</t>
  </si>
  <si>
    <t>ਸਿਲਪਾ ਰਾਣੀ</t>
  </si>
  <si>
    <t xml:space="preserve">ਸਨਮਦੀਪ </t>
  </si>
  <si>
    <t>ਹਰਭਜਨ ਰਾਣੀ</t>
  </si>
  <si>
    <t>ਗੋਰਵ ਕੁਮਾਰ / ਜੰਮੂ ਰਾਮ</t>
  </si>
  <si>
    <t>ਸੋਨਮ ਰਾਣੀ</t>
  </si>
  <si>
    <t>ਧਰਮਪ੍ਰੀਤ</t>
  </si>
  <si>
    <t>21 ਗੁਰਦਾਸ ਰਾਮ (ਪਾਠੀ)</t>
  </si>
  <si>
    <t>ਗੁਰਪ੍ਰੀਤ ਸਿੰਘ</t>
  </si>
  <si>
    <t>ਅਵਿਨਾਸ਼ ਕੌਰ</t>
  </si>
  <si>
    <t>ਸੁਖਵਿੰਦਰ ਕੌਰ</t>
  </si>
  <si>
    <t>ਆਰਜੂ</t>
  </si>
  <si>
    <t>ਆਕਾਸ਼ ਦੀਪ</t>
  </si>
  <si>
    <t>ਸਬੀਨਾ ਰਾਣੀ</t>
  </si>
  <si>
    <t>ਸਨਮਦੀਪ ਕੁਮਾਰ</t>
  </si>
  <si>
    <t>ਸਿਮਲਾ</t>
  </si>
  <si>
    <t>ਸੁਭਾਸ਼</t>
  </si>
  <si>
    <t>ਪੂਨਮ</t>
  </si>
  <si>
    <t>ਪ੍ਰਿੰਯਾਂਕਾ ਰਾਣੀ</t>
  </si>
  <si>
    <t>ਨਿਸੂ ਰਾਣੀ</t>
  </si>
  <si>
    <t>ਸੁਨੀਲ ਕੰਬੋਜ</t>
  </si>
  <si>
    <t>ਰਾਹੁਲ ਕੰਬੋਜ</t>
  </si>
  <si>
    <t>ਮਹਿਮਾ ਕੰਬੋਜ</t>
  </si>
  <si>
    <t>ਗੋਰਵ ਕੁਮਾਰ</t>
  </si>
  <si>
    <t>ਹਰਮੀਤ ਰਾਣੀ</t>
  </si>
  <si>
    <t xml:space="preserve">ਗਗਨਦੀਪ </t>
  </si>
  <si>
    <t>ਦਿਕਸਾ</t>
  </si>
  <si>
    <t>ਚਰਨਜੀਤ ਕੁਮਾਰ</t>
  </si>
  <si>
    <t>ਵਿਕਰਮ ਕੁਮਾਰ</t>
  </si>
  <si>
    <t>ਵਿਸੂ ਕੰਬੋਜ</t>
  </si>
  <si>
    <t>ਪ੍ਰਵੀਨਾ ਰਾਣੀ</t>
  </si>
  <si>
    <t xml:space="preserve">ਅਨੁ ਬਾਲਾ </t>
  </si>
  <si>
    <t xml:space="preserve">ਪਾਰਸ </t>
  </si>
  <si>
    <t>ਸਾਂਤ</t>
  </si>
  <si>
    <t>ਭੂਮਿਕਾ</t>
  </si>
  <si>
    <t>ਅਨਮੋਲ ਕੁਮਾਰ</t>
  </si>
  <si>
    <t xml:space="preserve">ਗੋਪਾਲ ਕ੍ਰਿਸ਼ਨ </t>
  </si>
  <si>
    <t>ਰਾਜ ਰਾਣੀ ਅਭੁੰਨ</t>
  </si>
  <si>
    <t>ਜਮਲਾ ਬਾਈ</t>
  </si>
  <si>
    <t>ਅਨੁਰਾਧਾ</t>
  </si>
  <si>
    <t>ਸ਼ਹਿਨਾਜ ਕੰਬੋਜ</t>
  </si>
  <si>
    <t>ਰਿੰਪਾ ਰਾਣੀ</t>
  </si>
  <si>
    <t>ਨਿਸੂ ਬਾਲਾ</t>
  </si>
  <si>
    <t>ਸਿਮਰਨ ਰਾਣੀ</t>
  </si>
  <si>
    <t xml:space="preserve">ਮਨਪ੍ਰੀਤ </t>
  </si>
  <si>
    <t>ਰੰਜਨਾ ਰਾਣੀ</t>
  </si>
  <si>
    <t>ਗੁਰਮੀਤ ਕੁਮਾਰ</t>
  </si>
  <si>
    <t>18 ਭਗਵਾਨ ਦਾਸ (ਪਠਾਣ)</t>
  </si>
  <si>
    <t>ਸਾਲੂ ਕੰਬੋਜ</t>
  </si>
  <si>
    <t>ਵਿਮਲ ਕੰਬੋਜ</t>
  </si>
  <si>
    <t>ਅਮਨਦੀਪ (ਦੀਪਕ)</t>
  </si>
  <si>
    <t xml:space="preserve">ਪਰਮਜੀਤ </t>
  </si>
  <si>
    <t>ਮੱਖਣ ਰਾਮ</t>
  </si>
  <si>
    <t>ਆਰਜੂ ਕੰਬੋਜ</t>
  </si>
  <si>
    <t>ਸੰਦੀਪ ਕੁਮਾਰ (ਸੋਨੂੰ)</t>
  </si>
  <si>
    <t>ਦੁਰਗਾ ਰਾਣੀ</t>
  </si>
  <si>
    <t>ਰੀਨਾ ਰਾਣੀ</t>
  </si>
  <si>
    <t xml:space="preserve">ਸੀਮਾ ਰਾਣੀ </t>
  </si>
  <si>
    <t>ਮਨਜੀਤ ਕੌਰ</t>
  </si>
  <si>
    <t>ਸ਼ਕੁੰਤਲਾ ਰਾਣੀ (ਧੀ)</t>
  </si>
  <si>
    <t>ਰਜਿੰਦਰਪਾਲ</t>
  </si>
  <si>
    <t>ਪ੍ਰੀਆ ਰਾਣੀ</t>
  </si>
  <si>
    <t>ਸੋਮਾ (ਭੈਣ)</t>
  </si>
  <si>
    <t>46 ਰਾਮ ਲੁਭਾਇਆ ਮੇਹਰਾ ਰਾਮ</t>
  </si>
  <si>
    <t xml:space="preserve">16 ਹਰਬੰਸ ਲਾਲ ਹਰਭਜਨ ਲਾਲ </t>
  </si>
  <si>
    <t>ਰਾਮ ਚੰਦ (jatt)</t>
  </si>
  <si>
    <t>15 ਜਗਦੀਸ਼ ਕੁਮਾਰ ਅਤੇ ਰਮੇਸ ਕੁਮਾਰ</t>
  </si>
  <si>
    <t>16 ਸੰਕਰ ਦਾਸ ਚੰਬਾ ਰਾਮ</t>
  </si>
  <si>
    <t xml:space="preserve">17 ਆਸਾ ਰਾਮ </t>
  </si>
  <si>
    <t>https://serving.photos.photobox.com/464905767b5934451015803c2e62995a1b635a97cb6b7c8b5a1089dcaf1e4fb2186e1d7a.jpg</t>
  </si>
  <si>
    <t>https://serving.photos.photobox.com/854968591af1b14f948430fed5e76cffe73d000c2ca5410da6d68e4eced15fdc8da7a4ce.jpg</t>
  </si>
  <si>
    <t>https://serving.photos.photobox.com/2415421657be80eb1aa60f7822162cf7d976ce31991f06fd918d494a4c69672bf62d0417.jpg</t>
  </si>
  <si>
    <t>https://serving.photos.photobox.com/73470910735463e721dcd98e1cca263a6b10fdb6d828eba252a570f46eba243f1057fea0.jpg</t>
  </si>
  <si>
    <t>https://serving.photos.photobox.com/4945446464629941645f4bf799ed0f2cbc94aa71a028e489979b0ceb229432bf52469026.jpg</t>
  </si>
  <si>
    <t>https://serving.photos.photobox.com/86146003551b03e02915c367e54c846d57406befdb2ea4296e4618f88b42a44926920c6d.jpg</t>
  </si>
  <si>
    <t>https://serving.photos.photobox.com/26807860af8714c9076a8d0e1fc48daee06ac3259da8f146f477f59dff8b5ef7d2edb7a7.jpg</t>
  </si>
  <si>
    <t>https://serving.photos.photobox.com/50483812dc5a67b44e2b4015ae5c7231779f7246f1ed241b88f4877056c954b64112ac81.jpg</t>
  </si>
  <si>
    <t>https://serving.photos.photobox.com/27936021f65e61e318b40841cdd1e0c7ba03955c4fb19e94cd00cfbfe46f7166d49e57f4.jpg</t>
  </si>
  <si>
    <t>https://serving.photos.photobox.com/65771803292fb8a6d579474c8e89d7273cf716a70317e170dc3f3499a75a01b45d347a31.jpg</t>
  </si>
  <si>
    <t>https://serving.photos.photobox.com/53645675ac40d83d56809b984e4869c7eee74754f7dcb2612fe718b85f6c2e90094a37dc.jpg</t>
  </si>
  <si>
    <t>23 ਭਗਵਾਨ ਚੰਦ (bro)</t>
  </si>
  <si>
    <t>https://serving.photos.photobox.com/43273706906fa621ca82d641564b91541943c46dd43f5dc5fc688ec1408526e3851aca19.jpg</t>
  </si>
  <si>
    <t>https://serving.photos.photobox.com/31891717a82c2cce1cebe376efaa3608eaede3c0d458e25daf820c8190155ed20618b3c5.jpg</t>
  </si>
  <si>
    <t>https://serving.photos.photobox.com/4777403669dcd3c0552b7f99eac37b84be766357b0976c5749e8b822708a9dcc560e5331.jpg</t>
  </si>
  <si>
    <t>https://serving.photos.photobox.com/93622255019ab0144ab88ed4b1ff9acace928205dff7e9f7ac7c862383523320dd0eb342.jpg</t>
  </si>
  <si>
    <t>https://serving.photos.photobox.com/84591231aa4c46b864f241f4c9a8535e1dcc0e36286b79a0dbb1c2106cfa89964f33fc2f.jpg</t>
  </si>
  <si>
    <t>https://serving.photos.photobox.com/60171911ae560eceb64f22ad117d0e92256acd90f636900b11daf7e3bc67421dea33568b.jpg</t>
  </si>
  <si>
    <t>https://serving.photos.photobox.com/369283983b0946cac0a97d84f660948c374d74f59ea8c97d8ddb453308a9a9936dc9f0f6.jpg</t>
  </si>
  <si>
    <t>https://serving.photos.photobox.com/73439477ffaa5bd8a667db97f3e7c92599b2942381a0a90bdc3dc58a85a89f078761e2e4.jpg</t>
  </si>
  <si>
    <t>https://serving.photos.photobox.com/433420238b2baef4937f115bd84013cde83376ac873f474fd44271ced2ec370d46a7a279.jpg</t>
  </si>
  <si>
    <t>https://serving.photos.photobox.com/2860928554971edc4401478b03fe9fe66ddb99a1a4f99000c6f58bffb32886cae05d932d.jpg</t>
  </si>
  <si>
    <t>https://serving.photos.photobox.com/29746467147e4a6dfd223f699131f3dbdb27668a24c775ff944ebbe36dd0641393ec99cb.jpg</t>
  </si>
  <si>
    <t>https://serving.photos.photobox.com/393187214073e661c5674398c6221dc30e21f7cd20ac6ca226711641c99052f4492f0b54.jpg</t>
  </si>
  <si>
    <t>https://serving.photos.photobox.com/265736611916b2fb8487a1fcfc51138e2b8ddf234b24543b61b345cf2755e341f7c9d49c.jpg</t>
  </si>
  <si>
    <t>https://serving.photos.photobox.com/4016898083c24627a6f8414846f8551dedcff02e3099fd6234a579700a24b0a27992cfd4.jpg</t>
  </si>
  <si>
    <t>https://serving.photos.photobox.com/444550733f9434c5c2a86af58ac9599b8d1aeaa3c377625a8d389a2ac399397576aca79d.jpg</t>
  </si>
  <si>
    <t>https://serving.photos.photobox.com/831063833e3239303a8f83fcf8775dc1c8571b8f0f19d2685311a5a526023ae56020cfa5.jpg</t>
  </si>
  <si>
    <t>4 ਲਛਮਣ ਦਾਸ</t>
  </si>
  <si>
    <t>https://serving.photos.photobox.com/50036071de9ec76ec68b6e69c04cd15291d9c6fe29fc9b4b367e451bb7e85338d89144de.jpg</t>
  </si>
  <si>
    <t>https://serving.photos.photobox.com/2497606121474630a38a12e094fa1577104470451e3a1e0ea9df99878ea2d2830811b0da.jpg</t>
  </si>
  <si>
    <t>https://serving.photos.photobox.com/61085724942af0ce3654618f24c0c9a386fab8d623ca13a327f18c21654f09a0de7e7947.jpg</t>
  </si>
  <si>
    <t>https://serving.photos.photobox.com/432981305f7b9724d1e3d2fa522319ad4138b815dd25a33c3a388198948d5cb06e81b4ae.jpg</t>
  </si>
  <si>
    <t>24 ਸਤਨਾਮ ਚੰਦ ਡਾਕੀਆ</t>
  </si>
  <si>
    <t>42 00</t>
  </si>
  <si>
    <t>https://serving.photos.photobox.com/68184162fe2ab75918c37059f2b7b51e5e42de70f0980150252fa480897f4cd345554b26.jpg</t>
  </si>
  <si>
    <t>https://serving.photos.photobox.com/7711524226aea84f558b8d08b52eb75e593834d73efa5190946595b2402b53f602a25997.jpg</t>
  </si>
  <si>
    <t xml:space="preserve">37 ਕਰਮ ਚੰਦ </t>
  </si>
  <si>
    <t>69 00</t>
  </si>
  <si>
    <t>70 00</t>
  </si>
</sst>
</file>

<file path=xl/styles.xml><?xml version="1.0" encoding="utf-8"?>
<styleSheet xmlns="http://schemas.openxmlformats.org/spreadsheetml/2006/main">
  <fonts count="67">
    <font>
      <sz val="11"/>
      <name val="Calibri"/>
      <scheme val="minor"/>
    </font>
    <font>
      <b/>
      <sz val="14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8"/>
      <name val="Calibri"/>
      <family val="2"/>
    </font>
    <font>
      <sz val="8"/>
      <name val="Calibri"/>
      <family val="2"/>
    </font>
    <font>
      <b/>
      <sz val="9"/>
      <name val="Calibri"/>
      <family val="2"/>
    </font>
    <font>
      <sz val="8"/>
      <name val="Calibri"/>
      <family val="2"/>
      <scheme val="minor"/>
    </font>
    <font>
      <b/>
      <sz val="9"/>
      <color theme="4"/>
      <name val="Calibri"/>
      <family val="2"/>
    </font>
    <font>
      <sz val="10"/>
      <name val="Calibri"/>
      <family val="2"/>
    </font>
    <font>
      <b/>
      <sz val="9"/>
      <color theme="5"/>
      <name val="Calibri"/>
      <family val="2"/>
    </font>
    <font>
      <b/>
      <sz val="9"/>
      <color rgb="FF7030A0"/>
      <name val="Calibri"/>
      <family val="2"/>
    </font>
    <font>
      <sz val="8"/>
      <color rgb="FFFF0000"/>
      <name val="Calibri"/>
      <family val="2"/>
    </font>
    <font>
      <b/>
      <sz val="9"/>
      <color rgb="FF00B050"/>
      <name val="Calibri"/>
      <family val="2"/>
    </font>
    <font>
      <b/>
      <sz val="9"/>
      <color rgb="FFC00000"/>
      <name val="Calibri"/>
      <family val="2"/>
    </font>
    <font>
      <b/>
      <sz val="9"/>
      <color theme="5" tint="-0.249977111117893"/>
      <name val="Calibri"/>
      <family val="2"/>
    </font>
    <font>
      <b/>
      <sz val="9"/>
      <color rgb="FFFF0000"/>
      <name val="Calibri"/>
      <family val="2"/>
    </font>
    <font>
      <sz val="10"/>
      <color theme="1"/>
      <name val="Calibri"/>
      <family val="2"/>
    </font>
    <font>
      <sz val="9"/>
      <color theme="1"/>
      <name val="Calibri"/>
      <family val="2"/>
    </font>
    <font>
      <b/>
      <sz val="9"/>
      <name val="Calibri"/>
      <family val="2"/>
      <scheme val="minor"/>
    </font>
    <font>
      <b/>
      <sz val="10"/>
      <name val="Calibri"/>
      <family val="2"/>
    </font>
    <font>
      <b/>
      <sz val="12"/>
      <name val="Calibri"/>
      <family val="2"/>
    </font>
    <font>
      <b/>
      <sz val="12"/>
      <color rgb="FF00B050"/>
      <name val="Calibri"/>
      <family val="2"/>
    </font>
    <font>
      <b/>
      <sz val="12"/>
      <color rgb="FFC00000"/>
      <name val="Calibri"/>
      <family val="2"/>
    </font>
    <font>
      <b/>
      <sz val="12"/>
      <color theme="5" tint="-0.249977111117893"/>
      <name val="Calibri"/>
      <family val="2"/>
    </font>
    <font>
      <b/>
      <sz val="12"/>
      <color rgb="FFFF0000"/>
      <name val="Calibri"/>
      <family val="2"/>
    </font>
    <font>
      <b/>
      <sz val="12"/>
      <color theme="3" tint="0.39997558519241921"/>
      <name val="Calibri"/>
      <family val="2"/>
    </font>
    <font>
      <sz val="10"/>
      <color theme="0"/>
      <name val="Calibri"/>
      <family val="2"/>
    </font>
    <font>
      <b/>
      <sz val="12"/>
      <color theme="9" tint="-0.499984740745262"/>
      <name val="Calibri"/>
      <family val="2"/>
    </font>
    <font>
      <b/>
      <sz val="12"/>
      <color theme="8" tint="-0.249977111117893"/>
      <name val="Calibri"/>
      <family val="2"/>
    </font>
    <font>
      <sz val="10"/>
      <color rgb="FFFF0000"/>
      <name val="Calibri"/>
      <family val="2"/>
    </font>
    <font>
      <sz val="12"/>
      <name val="Calibri"/>
      <family val="2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rgb="FFC00000"/>
      <name val="Calibri"/>
      <family val="2"/>
    </font>
    <font>
      <b/>
      <sz val="11"/>
      <color rgb="FFFF0000"/>
      <name val="Calibri"/>
      <family val="2"/>
    </font>
    <font>
      <b/>
      <sz val="11"/>
      <color theme="9" tint="-0.499984740745262"/>
      <name val="Calibri"/>
      <family val="2"/>
    </font>
    <font>
      <b/>
      <sz val="11"/>
      <color rgb="FF00B050"/>
      <name val="Calibri"/>
      <family val="2"/>
    </font>
    <font>
      <b/>
      <sz val="11"/>
      <color theme="9" tint="-0.249977111117893"/>
      <name val="Calibri"/>
      <family val="2"/>
    </font>
    <font>
      <b/>
      <sz val="11"/>
      <color theme="4" tint="-0.249977111117893"/>
      <name val="Calibri"/>
      <family val="2"/>
    </font>
    <font>
      <b/>
      <sz val="11"/>
      <color theme="7" tint="-0.249977111117893"/>
      <name val="Calibri"/>
      <family val="2"/>
    </font>
    <font>
      <b/>
      <sz val="11"/>
      <name val="Calibri"/>
      <family val="2"/>
      <scheme val="minor"/>
    </font>
    <font>
      <b/>
      <sz val="11"/>
      <color rgb="FF0070C0"/>
      <name val="Calibri"/>
      <family val="2"/>
    </font>
    <font>
      <sz val="11"/>
      <color rgb="FFFF0000"/>
      <name val="Calibri"/>
      <family val="2"/>
    </font>
    <font>
      <sz val="11"/>
      <color theme="0"/>
      <name val="Calibri"/>
      <family val="2"/>
    </font>
    <font>
      <u/>
      <sz val="13.2"/>
      <color theme="10"/>
      <name val="Calibri"/>
      <family val="2"/>
    </font>
    <font>
      <sz val="10"/>
      <color rgb="FFFF0000"/>
      <name val="Calibri"/>
      <family val="2"/>
    </font>
    <font>
      <sz val="10"/>
      <name val="Calibri"/>
      <family val="2"/>
    </font>
    <font>
      <sz val="11"/>
      <name val="Calibri"/>
      <family val="2"/>
    </font>
    <font>
      <b/>
      <sz val="10"/>
      <name val="Calibri"/>
      <family val="2"/>
    </font>
    <font>
      <b/>
      <sz val="9"/>
      <name val="Calibri"/>
      <family val="2"/>
    </font>
    <font>
      <sz val="8"/>
      <name val="Calibri"/>
      <family val="2"/>
    </font>
    <font>
      <b/>
      <sz val="9"/>
      <color rgb="FFFF0000"/>
      <name val="Calibri"/>
      <family val="2"/>
    </font>
    <font>
      <b/>
      <sz val="9"/>
      <color theme="7" tint="-0.249977111117893"/>
      <name val="Calibri"/>
      <family val="2"/>
    </font>
    <font>
      <b/>
      <sz val="12"/>
      <color theme="7" tint="-0.249977111117893"/>
      <name val="Calibri"/>
      <family val="2"/>
    </font>
    <font>
      <b/>
      <sz val="11"/>
      <color theme="7" tint="-0.249977111117893"/>
      <name val="Calibri"/>
      <family val="2"/>
    </font>
    <font>
      <b/>
      <sz val="12"/>
      <color theme="5"/>
      <name val="Calibri"/>
      <family val="2"/>
    </font>
    <font>
      <sz val="8"/>
      <name val="Calibri"/>
      <family val="2"/>
      <scheme val="minor"/>
    </font>
    <font>
      <b/>
      <sz val="11"/>
      <color theme="5"/>
      <name val="Calibri"/>
      <family val="2"/>
    </font>
    <font>
      <b/>
      <sz val="9"/>
      <color rgb="FF00B050"/>
      <name val="Calibri"/>
      <family val="2"/>
    </font>
    <font>
      <b/>
      <sz val="12"/>
      <color rgb="FF00B050"/>
      <name val="Calibri"/>
      <family val="2"/>
    </font>
    <font>
      <b/>
      <sz val="11"/>
      <color rgb="FF00B050"/>
      <name val="Calibri"/>
      <family val="2"/>
    </font>
    <font>
      <b/>
      <sz val="11"/>
      <color theme="2" tint="-0.499984740745262"/>
      <name val="Calibri"/>
      <family val="2"/>
    </font>
    <font>
      <b/>
      <sz val="9"/>
      <color theme="2" tint="-0.499984740745262"/>
      <name val="Calibri"/>
      <family val="2"/>
    </font>
    <font>
      <b/>
      <sz val="12"/>
      <color theme="2" tint="-0.499984740745262"/>
      <name val="Calibri"/>
      <family val="2"/>
    </font>
    <font>
      <sz val="10"/>
      <color theme="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9594"/>
      </patternFill>
    </fill>
    <fill>
      <patternFill patternType="solid">
        <fgColor rgb="FF002060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</borders>
  <cellStyleXfs count="2">
    <xf numFmtId="0" fontId="0" fillId="0" borderId="0"/>
    <xf numFmtId="0" fontId="46" fillId="0" borderId="0" applyNumberFormat="0" applyFill="0" applyBorder="0" applyAlignment="0" applyProtection="0">
      <alignment vertical="top"/>
      <protection locked="0"/>
    </xf>
  </cellStyleXfs>
  <cellXfs count="252">
    <xf numFmtId="0" fontId="0" fillId="0" borderId="0" xfId="0"/>
    <xf numFmtId="0" fontId="1" fillId="2" borderId="1" xfId="0" applyFont="1" applyFill="1" applyBorder="1" applyAlignment="1" applyProtection="1">
      <alignment horizontal="center"/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3" borderId="2" xfId="0" applyFont="1" applyFill="1" applyBorder="1" applyAlignment="1">
      <alignment horizontal="center"/>
    </xf>
    <xf numFmtId="0" fontId="3" fillId="0" borderId="3" xfId="0" applyFont="1" applyBorder="1" applyAlignment="1" applyProtection="1">
      <alignment horizontal="center"/>
      <protection locked="0"/>
    </xf>
    <xf numFmtId="0" fontId="2" fillId="0" borderId="3" xfId="0" applyFont="1" applyBorder="1" applyAlignment="1" applyProtection="1">
      <alignment horizontal="center"/>
      <protection locked="0"/>
    </xf>
    <xf numFmtId="0" fontId="2" fillId="0" borderId="0" xfId="0" applyFont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0" fillId="0" borderId="0" xfId="0" applyFont="1" applyAlignment="1" applyProtection="1">
      <protection locked="0"/>
    </xf>
    <xf numFmtId="0" fontId="4" fillId="2" borderId="1" xfId="0" applyFont="1" applyFill="1" applyBorder="1" applyAlignment="1" applyProtection="1">
      <alignment horizontal="left" vertical="center"/>
      <protection locked="0"/>
    </xf>
    <xf numFmtId="0" fontId="5" fillId="0" borderId="0" xfId="0" applyFont="1" applyAlignment="1" applyProtection="1">
      <alignment horizontal="left" vertic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5" fillId="3" borderId="2" xfId="0" applyFont="1" applyFill="1" applyBorder="1" applyAlignment="1">
      <alignment horizontal="left" vertical="center"/>
    </xf>
    <xf numFmtId="0" fontId="5" fillId="0" borderId="3" xfId="0" applyFont="1" applyBorder="1" applyAlignment="1" applyProtection="1">
      <alignment horizontal="left" vertical="center"/>
      <protection locked="0"/>
    </xf>
    <xf numFmtId="0" fontId="5" fillId="0" borderId="4" xfId="0" applyFont="1" applyBorder="1" applyAlignment="1" applyProtection="1">
      <alignment horizontal="left" vertical="center"/>
      <protection locked="0"/>
    </xf>
    <xf numFmtId="0" fontId="7" fillId="0" borderId="3" xfId="0" applyFont="1" applyBorder="1" applyAlignment="1">
      <alignment horizontal="left" vertical="center"/>
    </xf>
    <xf numFmtId="0" fontId="9" fillId="5" borderId="3" xfId="0" applyFont="1" applyFill="1" applyBorder="1" applyAlignment="1" applyProtection="1">
      <alignment horizontal="center"/>
      <protection locked="0"/>
    </xf>
    <xf numFmtId="0" fontId="9" fillId="0" borderId="3" xfId="0" applyFont="1" applyBorder="1" applyAlignment="1" applyProtection="1">
      <alignment horizontal="center"/>
      <protection locked="0"/>
    </xf>
    <xf numFmtId="0" fontId="5" fillId="0" borderId="0" xfId="0" applyFont="1" applyAlignment="1">
      <alignment horizontal="left" vertical="center"/>
    </xf>
    <xf numFmtId="0" fontId="5" fillId="4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left" vertical="center"/>
    </xf>
    <xf numFmtId="0" fontId="12" fillId="0" borderId="3" xfId="0" applyFont="1" applyBorder="1" applyAlignment="1" applyProtection="1">
      <alignment horizontal="left" vertical="center"/>
      <protection locked="0"/>
    </xf>
    <xf numFmtId="0" fontId="16" fillId="0" borderId="3" xfId="0" applyFont="1" applyBorder="1" applyAlignment="1" applyProtection="1">
      <alignment horizontal="left" vertical="center"/>
      <protection locked="0"/>
    </xf>
    <xf numFmtId="0" fontId="0" fillId="0" borderId="0" xfId="0" applyFont="1" applyAlignment="1"/>
    <xf numFmtId="0" fontId="7" fillId="0" borderId="0" xfId="0" applyFont="1" applyAlignment="1">
      <alignment horizontal="left" vertical="center"/>
    </xf>
    <xf numFmtId="0" fontId="19" fillId="0" borderId="0" xfId="0" applyFont="1" applyAlignment="1" applyProtection="1">
      <alignment horizontal="left" vertical="center"/>
      <protection locked="0"/>
    </xf>
    <xf numFmtId="0" fontId="7" fillId="0" borderId="0" xfId="0" applyFont="1" applyAlignment="1" applyProtection="1">
      <alignment horizontal="left" vertical="center"/>
      <protection locked="0"/>
    </xf>
    <xf numFmtId="0" fontId="20" fillId="2" borderId="1" xfId="0" applyFont="1" applyFill="1" applyBorder="1" applyAlignment="1" applyProtection="1">
      <alignment horizontal="center"/>
      <protection locked="0"/>
    </xf>
    <xf numFmtId="0" fontId="9" fillId="0" borderId="0" xfId="0" applyFont="1" applyAlignment="1" applyProtection="1">
      <alignment horizontal="center"/>
      <protection locked="0"/>
    </xf>
    <xf numFmtId="0" fontId="21" fillId="0" borderId="0" xfId="0" applyFont="1" applyAlignment="1" applyProtection="1">
      <alignment horizontal="left"/>
      <protection locked="0"/>
    </xf>
    <xf numFmtId="0" fontId="9" fillId="5" borderId="0" xfId="0" applyFont="1" applyFill="1" applyAlignment="1" applyProtection="1">
      <alignment horizontal="center"/>
      <protection locked="0"/>
    </xf>
    <xf numFmtId="0" fontId="9" fillId="5" borderId="0" xfId="0" applyFont="1" applyFill="1" applyAlignment="1" applyProtection="1">
      <alignment horizontal="left"/>
      <protection locked="0"/>
    </xf>
    <xf numFmtId="0" fontId="9" fillId="3" borderId="2" xfId="0" applyFont="1" applyFill="1" applyBorder="1" applyAlignment="1">
      <alignment horizontal="center"/>
    </xf>
    <xf numFmtId="0" fontId="9" fillId="0" borderId="3" xfId="0" applyFont="1" applyBorder="1" applyAlignment="1" applyProtection="1">
      <alignment horizontal="left"/>
      <protection locked="0"/>
    </xf>
    <xf numFmtId="0" fontId="9" fillId="0" borderId="0" xfId="0" applyFont="1" applyAlignment="1">
      <alignment horizontal="center"/>
    </xf>
    <xf numFmtId="0" fontId="25" fillId="0" borderId="3" xfId="0" applyFont="1" applyBorder="1" applyAlignment="1" applyProtection="1">
      <alignment horizontal="left"/>
      <protection locked="0"/>
    </xf>
    <xf numFmtId="0" fontId="27" fillId="4" borderId="3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0" fontId="9" fillId="3" borderId="3" xfId="0" applyFont="1" applyFill="1" applyBorder="1" applyAlignment="1">
      <alignment horizontal="center"/>
    </xf>
    <xf numFmtId="0" fontId="30" fillId="0" borderId="3" xfId="0" applyFont="1" applyBorder="1" applyAlignment="1" applyProtection="1">
      <alignment horizontal="center"/>
      <protection locked="0"/>
    </xf>
    <xf numFmtId="0" fontId="31" fillId="2" borderId="1" xfId="0" applyFont="1" applyFill="1" applyBorder="1" applyAlignment="1">
      <alignment horizontal="center"/>
    </xf>
    <xf numFmtId="0" fontId="27" fillId="4" borderId="7" xfId="0" applyFont="1" applyFill="1" applyBorder="1" applyAlignment="1">
      <alignment horizontal="center"/>
    </xf>
    <xf numFmtId="0" fontId="27" fillId="4" borderId="5" xfId="0" applyFont="1" applyFill="1" applyBorder="1" applyAlignment="1">
      <alignment horizontal="center"/>
    </xf>
    <xf numFmtId="0" fontId="9" fillId="7" borderId="3" xfId="0" applyFont="1" applyFill="1" applyBorder="1" applyAlignment="1" applyProtection="1">
      <alignment horizontal="center"/>
      <protection locked="0"/>
    </xf>
    <xf numFmtId="0" fontId="21" fillId="0" borderId="6" xfId="0" applyFont="1" applyBorder="1" applyAlignment="1" applyProtection="1">
      <alignment horizontal="left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5" borderId="6" xfId="0" applyFont="1" applyFill="1" applyBorder="1" applyAlignment="1" applyProtection="1">
      <alignment horizontal="center"/>
      <protection locked="0"/>
    </xf>
    <xf numFmtId="0" fontId="9" fillId="0" borderId="6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9" fillId="0" borderId="9" xfId="0" applyFont="1" applyBorder="1" applyAlignment="1" applyProtection="1">
      <alignment horizontal="center"/>
      <protection locked="0"/>
    </xf>
    <xf numFmtId="0" fontId="9" fillId="0" borderId="10" xfId="0" applyFont="1" applyBorder="1" applyAlignment="1" applyProtection="1">
      <alignment horizontal="center"/>
      <protection locked="0"/>
    </xf>
    <xf numFmtId="0" fontId="9" fillId="0" borderId="11" xfId="0" applyFont="1" applyBorder="1" applyAlignment="1" applyProtection="1">
      <alignment horizontal="center"/>
      <protection locked="0"/>
    </xf>
    <xf numFmtId="0" fontId="9" fillId="0" borderId="12" xfId="0" applyFont="1" applyBorder="1" applyAlignment="1" applyProtection="1">
      <alignment horizontal="center"/>
      <protection locked="0"/>
    </xf>
    <xf numFmtId="0" fontId="9" fillId="0" borderId="13" xfId="0" applyFont="1" applyBorder="1" applyAlignment="1" applyProtection="1">
      <alignment horizontal="center"/>
      <protection locked="0"/>
    </xf>
    <xf numFmtId="0" fontId="9" fillId="0" borderId="0" xfId="0" applyFont="1" applyAlignment="1" applyProtection="1">
      <alignment horizontal="left"/>
      <protection locked="0"/>
    </xf>
    <xf numFmtId="0" fontId="32" fillId="0" borderId="3" xfId="0" applyFont="1" applyBorder="1" applyAlignment="1">
      <alignment horizontal="center"/>
    </xf>
    <xf numFmtId="0" fontId="33" fillId="0" borderId="0" xfId="0" applyFont="1" applyAlignment="1"/>
    <xf numFmtId="0" fontId="34" fillId="0" borderId="0" xfId="0" applyFont="1" applyAlignment="1" applyProtection="1">
      <alignment horizontal="left"/>
      <protection locked="0"/>
    </xf>
    <xf numFmtId="0" fontId="33" fillId="0" borderId="0" xfId="0" applyFont="1" applyAlignment="1" applyProtection="1">
      <protection locked="0"/>
    </xf>
    <xf numFmtId="0" fontId="33" fillId="0" borderId="0" xfId="0" applyFont="1" applyAlignment="1" applyProtection="1">
      <alignment horizontal="left"/>
      <protection locked="0"/>
    </xf>
    <xf numFmtId="0" fontId="3" fillId="0" borderId="0" xfId="0" applyFont="1" applyAlignment="1" applyProtection="1">
      <alignment horizontal="left"/>
      <protection locked="0"/>
    </xf>
    <xf numFmtId="0" fontId="9" fillId="8" borderId="0" xfId="0" applyFont="1" applyFill="1" applyAlignment="1" applyProtection="1">
      <alignment horizontal="center"/>
      <protection locked="0"/>
    </xf>
    <xf numFmtId="0" fontId="35" fillId="0" borderId="3" xfId="0" applyFont="1" applyBorder="1" applyAlignment="1" applyProtection="1">
      <alignment horizontal="left"/>
      <protection locked="0"/>
    </xf>
    <xf numFmtId="0" fontId="36" fillId="0" borderId="3" xfId="0" applyFont="1" applyBorder="1" applyAlignment="1" applyProtection="1">
      <alignment horizontal="left"/>
      <protection locked="0"/>
    </xf>
    <xf numFmtId="0" fontId="37" fillId="0" borderId="3" xfId="0" applyFont="1" applyBorder="1" applyAlignment="1" applyProtection="1">
      <alignment horizontal="left"/>
      <protection locked="0"/>
    </xf>
    <xf numFmtId="0" fontId="38" fillId="0" borderId="3" xfId="0" applyFont="1" applyBorder="1" applyAlignment="1" applyProtection="1">
      <alignment horizontal="left"/>
      <protection locked="0"/>
    </xf>
    <xf numFmtId="0" fontId="39" fillId="0" borderId="3" xfId="0" applyFont="1" applyBorder="1" applyAlignment="1" applyProtection="1">
      <alignment horizontal="left"/>
      <protection locked="0"/>
    </xf>
    <xf numFmtId="0" fontId="40" fillId="0" borderId="3" xfId="0" applyFont="1" applyBorder="1" applyAlignment="1" applyProtection="1">
      <alignment horizontal="left"/>
      <protection locked="0"/>
    </xf>
    <xf numFmtId="0" fontId="3" fillId="0" borderId="3" xfId="0" applyFont="1" applyBorder="1" applyAlignment="1" applyProtection="1">
      <alignment horizontal="left"/>
      <protection locked="0"/>
    </xf>
    <xf numFmtId="0" fontId="41" fillId="0" borderId="3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42" fillId="0" borderId="0" xfId="0" applyFont="1" applyAlignment="1" applyProtection="1">
      <alignment horizontal="left"/>
      <protection locked="0"/>
    </xf>
    <xf numFmtId="0" fontId="2" fillId="5" borderId="3" xfId="0" applyFont="1" applyFill="1" applyBorder="1" applyAlignment="1" applyProtection="1">
      <alignment horizontal="center"/>
      <protection locked="0"/>
    </xf>
    <xf numFmtId="0" fontId="43" fillId="0" borderId="3" xfId="0" applyFont="1" applyBorder="1" applyAlignment="1" applyProtection="1">
      <alignment horizontal="left"/>
      <protection locked="0"/>
    </xf>
    <xf numFmtId="0" fontId="3" fillId="9" borderId="3" xfId="0" applyFont="1" applyFill="1" applyBorder="1" applyAlignment="1" applyProtection="1">
      <alignment horizontal="left"/>
      <protection locked="0"/>
    </xf>
    <xf numFmtId="0" fontId="21" fillId="0" borderId="3" xfId="0" applyFont="1" applyBorder="1" applyAlignment="1" applyProtection="1">
      <alignment horizontal="left"/>
      <protection locked="0"/>
    </xf>
    <xf numFmtId="0" fontId="20" fillId="0" borderId="3" xfId="0" applyFont="1" applyBorder="1" applyAlignment="1" applyProtection="1">
      <alignment horizontal="center"/>
      <protection locked="0"/>
    </xf>
    <xf numFmtId="0" fontId="44" fillId="5" borderId="3" xfId="0" applyFont="1" applyFill="1" applyBorder="1" applyAlignment="1" applyProtection="1">
      <alignment horizontal="center"/>
      <protection locked="0"/>
    </xf>
    <xf numFmtId="0" fontId="44" fillId="0" borderId="3" xfId="0" applyFont="1" applyBorder="1" applyAlignment="1" applyProtection="1">
      <alignment horizontal="center"/>
      <protection locked="0"/>
    </xf>
    <xf numFmtId="0" fontId="2" fillId="0" borderId="0" xfId="0" applyFont="1" applyAlignment="1" applyProtection="1">
      <alignment horizontal="left"/>
      <protection locked="0"/>
    </xf>
    <xf numFmtId="0" fontId="45" fillId="4" borderId="3" xfId="0" applyFont="1" applyFill="1" applyBorder="1" applyAlignment="1">
      <alignment horizontal="center"/>
    </xf>
    <xf numFmtId="0" fontId="0" fillId="0" borderId="0" xfId="0" applyFont="1" applyAlignment="1" applyProtection="1">
      <alignment horizontal="left"/>
      <protection locked="0"/>
    </xf>
    <xf numFmtId="0" fontId="2" fillId="0" borderId="0" xfId="0" applyFont="1" applyAlignment="1">
      <alignment horizontal="left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 applyProtection="1">
      <alignment horizontal="left" vertical="center" wrapText="1"/>
      <protection locked="0"/>
    </xf>
    <xf numFmtId="0" fontId="46" fillId="0" borderId="0" xfId="1" applyAlignment="1" applyProtection="1">
      <alignment horizontal="left" vertical="center"/>
    </xf>
    <xf numFmtId="0" fontId="46" fillId="0" borderId="0" xfId="1" applyAlignment="1" applyProtection="1">
      <alignment horizontal="left" vertical="center"/>
      <protection locked="0"/>
    </xf>
    <xf numFmtId="0" fontId="5" fillId="11" borderId="2" xfId="0" applyFont="1" applyFill="1" applyBorder="1" applyAlignment="1">
      <alignment horizontal="left" vertical="center"/>
    </xf>
    <xf numFmtId="0" fontId="5" fillId="3" borderId="15" xfId="0" applyFont="1" applyFill="1" applyBorder="1" applyAlignment="1">
      <alignment horizontal="left" vertical="center"/>
    </xf>
    <xf numFmtId="0" fontId="5" fillId="10" borderId="14" xfId="0" applyFont="1" applyFill="1" applyBorder="1" applyAlignment="1">
      <alignment horizontal="left" vertical="center"/>
    </xf>
    <xf numFmtId="0" fontId="5" fillId="11" borderId="0" xfId="0" applyFont="1" applyFill="1" applyAlignment="1">
      <alignment horizontal="left" vertical="center"/>
    </xf>
    <xf numFmtId="0" fontId="5" fillId="11" borderId="3" xfId="0" applyFont="1" applyFill="1" applyBorder="1" applyAlignment="1">
      <alignment horizontal="left" vertical="center"/>
    </xf>
    <xf numFmtId="0" fontId="9" fillId="11" borderId="2" xfId="0" applyFont="1" applyFill="1" applyBorder="1" applyAlignment="1">
      <alignment horizontal="center"/>
    </xf>
    <xf numFmtId="0" fontId="9" fillId="11" borderId="0" xfId="0" applyFont="1" applyFill="1" applyAlignment="1">
      <alignment horizontal="center"/>
    </xf>
    <xf numFmtId="0" fontId="27" fillId="11" borderId="3" xfId="0" applyFont="1" applyFill="1" applyBorder="1" applyAlignment="1">
      <alignment horizontal="center"/>
    </xf>
    <xf numFmtId="0" fontId="9" fillId="11" borderId="3" xfId="0" applyFont="1" applyFill="1" applyBorder="1" applyAlignment="1">
      <alignment horizontal="center"/>
    </xf>
    <xf numFmtId="0" fontId="27" fillId="11" borderId="5" xfId="0" applyFont="1" applyFill="1" applyBorder="1" applyAlignment="1">
      <alignment horizontal="center"/>
    </xf>
    <xf numFmtId="0" fontId="9" fillId="11" borderId="6" xfId="0" applyFont="1" applyFill="1" applyBorder="1" applyAlignment="1" applyProtection="1">
      <alignment horizontal="center"/>
      <protection locked="0"/>
    </xf>
    <xf numFmtId="0" fontId="33" fillId="11" borderId="0" xfId="0" applyFont="1" applyFill="1" applyAlignment="1"/>
    <xf numFmtId="0" fontId="9" fillId="11" borderId="8" xfId="0" applyFont="1" applyFill="1" applyBorder="1" applyAlignment="1" applyProtection="1">
      <alignment horizontal="center"/>
      <protection locked="0"/>
    </xf>
    <xf numFmtId="0" fontId="9" fillId="11" borderId="0" xfId="0" applyFont="1" applyFill="1" applyAlignment="1" applyProtection="1">
      <alignment horizontal="center"/>
      <protection locked="0"/>
    </xf>
    <xf numFmtId="0" fontId="9" fillId="3" borderId="15" xfId="0" applyFont="1" applyFill="1" applyBorder="1" applyAlignment="1">
      <alignment horizontal="center"/>
    </xf>
    <xf numFmtId="0" fontId="35" fillId="0" borderId="6" xfId="0" applyFont="1" applyBorder="1" applyAlignment="1" applyProtection="1">
      <alignment horizontal="left"/>
      <protection locked="0"/>
    </xf>
    <xf numFmtId="0" fontId="38" fillId="0" borderId="6" xfId="0" applyFont="1" applyBorder="1" applyAlignment="1" applyProtection="1">
      <alignment horizontal="left"/>
      <protection locked="0"/>
    </xf>
    <xf numFmtId="0" fontId="2" fillId="11" borderId="2" xfId="0" applyFont="1" applyFill="1" applyBorder="1" applyAlignment="1">
      <alignment horizontal="center"/>
    </xf>
    <xf numFmtId="0" fontId="2" fillId="11" borderId="0" xfId="0" applyFont="1" applyFill="1" applyAlignment="1">
      <alignment horizontal="center"/>
    </xf>
    <xf numFmtId="0" fontId="2" fillId="11" borderId="3" xfId="0" applyFont="1" applyFill="1" applyBorder="1" applyAlignment="1">
      <alignment horizontal="center"/>
    </xf>
    <xf numFmtId="0" fontId="2" fillId="3" borderId="1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1" borderId="0" xfId="0" applyFont="1" applyFill="1" applyAlignment="1">
      <alignment horizontal="left"/>
    </xf>
    <xf numFmtId="0" fontId="3" fillId="0" borderId="6" xfId="0" applyFont="1" applyBorder="1" applyAlignment="1" applyProtection="1">
      <alignment horizontal="left"/>
      <protection locked="0"/>
    </xf>
    <xf numFmtId="0" fontId="45" fillId="11" borderId="3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left"/>
    </xf>
    <xf numFmtId="0" fontId="9" fillId="10" borderId="0" xfId="0" applyFont="1" applyFill="1" applyAlignment="1" applyProtection="1">
      <alignment horizontal="left"/>
      <protection locked="0"/>
    </xf>
    <xf numFmtId="0" fontId="0" fillId="0" borderId="0" xfId="0" applyAlignment="1">
      <alignment horizontal="left"/>
    </xf>
    <xf numFmtId="0" fontId="47" fillId="0" borderId="3" xfId="0" applyFont="1" applyBorder="1" applyAlignment="1" applyProtection="1">
      <alignment horizontal="center"/>
      <protection locked="0"/>
    </xf>
    <xf numFmtId="0" fontId="33" fillId="0" borderId="0" xfId="0" applyFont="1" applyAlignment="1">
      <alignment horizontal="left"/>
    </xf>
    <xf numFmtId="0" fontId="48" fillId="5" borderId="3" xfId="0" applyFont="1" applyFill="1" applyBorder="1" applyAlignment="1" applyProtection="1">
      <alignment horizontal="center"/>
      <protection locked="0"/>
    </xf>
    <xf numFmtId="0" fontId="9" fillId="8" borderId="0" xfId="0" applyFont="1" applyFill="1" applyAlignment="1" applyProtection="1">
      <alignment horizontal="left"/>
      <protection locked="0"/>
    </xf>
    <xf numFmtId="0" fontId="48" fillId="0" borderId="3" xfId="0" applyFont="1" applyBorder="1" applyAlignment="1" applyProtection="1">
      <alignment horizontal="center"/>
      <protection locked="0"/>
    </xf>
    <xf numFmtId="0" fontId="2" fillId="10" borderId="0" xfId="0" applyFont="1" applyFill="1" applyAlignment="1" applyProtection="1">
      <alignment horizontal="left"/>
      <protection locked="0"/>
    </xf>
    <xf numFmtId="0" fontId="2" fillId="5" borderId="3" xfId="0" applyFont="1" applyFill="1" applyBorder="1" applyAlignment="1" applyProtection="1">
      <alignment horizontal="left"/>
      <protection locked="0"/>
    </xf>
    <xf numFmtId="0" fontId="2" fillId="0" borderId="3" xfId="0" applyFont="1" applyBorder="1" applyAlignment="1" applyProtection="1">
      <alignment horizontal="left"/>
      <protection locked="0"/>
    </xf>
    <xf numFmtId="0" fontId="20" fillId="0" borderId="3" xfId="0" applyFont="1" applyBorder="1" applyAlignment="1" applyProtection="1">
      <alignment horizontal="left"/>
      <protection locked="0"/>
    </xf>
    <xf numFmtId="0" fontId="49" fillId="5" borderId="3" xfId="0" applyFont="1" applyFill="1" applyBorder="1" applyAlignment="1" applyProtection="1">
      <alignment horizontal="center"/>
      <protection locked="0"/>
    </xf>
    <xf numFmtId="0" fontId="2" fillId="10" borderId="14" xfId="0" applyFont="1" applyFill="1" applyBorder="1" applyAlignment="1">
      <alignment horizontal="left"/>
    </xf>
    <xf numFmtId="0" fontId="9" fillId="10" borderId="14" xfId="0" applyFont="1" applyFill="1" applyBorder="1" applyAlignment="1">
      <alignment horizontal="left"/>
    </xf>
    <xf numFmtId="0" fontId="9" fillId="10" borderId="3" xfId="0" applyFont="1" applyFill="1" applyBorder="1" applyAlignment="1" applyProtection="1">
      <alignment horizontal="left"/>
      <protection locked="0"/>
    </xf>
    <xf numFmtId="0" fontId="22" fillId="0" borderId="16" xfId="0" applyFont="1" applyBorder="1" applyAlignment="1" applyProtection="1">
      <alignment horizontal="left"/>
      <protection locked="0"/>
    </xf>
    <xf numFmtId="0" fontId="23" fillId="0" borderId="4" xfId="0" applyFont="1" applyBorder="1" applyAlignment="1" applyProtection="1">
      <alignment horizontal="left"/>
      <protection locked="0"/>
    </xf>
    <xf numFmtId="0" fontId="22" fillId="0" borderId="4" xfId="0" applyFont="1" applyBorder="1" applyAlignment="1" applyProtection="1">
      <alignment horizontal="left"/>
      <protection locked="0"/>
    </xf>
    <xf numFmtId="0" fontId="24" fillId="0" borderId="4" xfId="0" applyFont="1" applyBorder="1" applyAlignment="1" applyProtection="1">
      <alignment horizontal="left"/>
      <protection locked="0"/>
    </xf>
    <xf numFmtId="0" fontId="25" fillId="0" borderId="4" xfId="0" applyFont="1" applyBorder="1" applyAlignment="1" applyProtection="1">
      <alignment horizontal="left"/>
      <protection locked="0"/>
    </xf>
    <xf numFmtId="0" fontId="26" fillId="0" borderId="4" xfId="0" applyFont="1" applyBorder="1" applyAlignment="1" applyProtection="1">
      <alignment horizontal="left"/>
      <protection locked="0"/>
    </xf>
    <xf numFmtId="0" fontId="28" fillId="0" borderId="4" xfId="0" applyFont="1" applyBorder="1" applyAlignment="1" applyProtection="1">
      <alignment horizontal="left"/>
      <protection locked="0"/>
    </xf>
    <xf numFmtId="0" fontId="29" fillId="0" borderId="4" xfId="0" applyFont="1" applyBorder="1" applyAlignment="1" applyProtection="1">
      <alignment horizontal="left"/>
      <protection locked="0"/>
    </xf>
    <xf numFmtId="0" fontId="21" fillId="0" borderId="16" xfId="0" applyFont="1" applyBorder="1" applyAlignment="1" applyProtection="1">
      <alignment horizontal="left"/>
      <protection locked="0"/>
    </xf>
    <xf numFmtId="0" fontId="25" fillId="0" borderId="16" xfId="0" applyFont="1" applyBorder="1" applyAlignment="1" applyProtection="1">
      <alignment horizontal="left"/>
      <protection locked="0"/>
    </xf>
    <xf numFmtId="0" fontId="9" fillId="5" borderId="18" xfId="0" applyFont="1" applyFill="1" applyBorder="1" applyAlignment="1" applyProtection="1">
      <alignment horizontal="center"/>
      <protection locked="0"/>
    </xf>
    <xf numFmtId="0" fontId="9" fillId="0" borderId="19" xfId="0" applyFont="1" applyBorder="1" applyAlignment="1" applyProtection="1">
      <alignment horizontal="center"/>
      <protection locked="0"/>
    </xf>
    <xf numFmtId="0" fontId="9" fillId="0" borderId="20" xfId="0" applyFont="1" applyBorder="1" applyAlignment="1" applyProtection="1">
      <alignment horizontal="left"/>
      <protection locked="0"/>
    </xf>
    <xf numFmtId="0" fontId="9" fillId="0" borderId="21" xfId="0" applyFont="1" applyBorder="1" applyAlignment="1" applyProtection="1">
      <alignment horizontal="center"/>
      <protection locked="0"/>
    </xf>
    <xf numFmtId="0" fontId="9" fillId="0" borderId="22" xfId="0" applyFont="1" applyBorder="1" applyAlignment="1" applyProtection="1">
      <alignment horizontal="left"/>
      <protection locked="0"/>
    </xf>
    <xf numFmtId="0" fontId="9" fillId="5" borderId="21" xfId="0" applyFont="1" applyFill="1" applyBorder="1" applyAlignment="1" applyProtection="1">
      <alignment horizontal="center"/>
      <protection locked="0"/>
    </xf>
    <xf numFmtId="0" fontId="9" fillId="10" borderId="22" xfId="0" applyFont="1" applyFill="1" applyBorder="1" applyAlignment="1" applyProtection="1">
      <alignment horizontal="left"/>
      <protection locked="0"/>
    </xf>
    <xf numFmtId="0" fontId="47" fillId="5" borderId="21" xfId="0" applyFont="1" applyFill="1" applyBorder="1" applyAlignment="1" applyProtection="1">
      <alignment horizontal="center"/>
      <protection locked="0"/>
    </xf>
    <xf numFmtId="0" fontId="47" fillId="0" borderId="21" xfId="0" applyFont="1" applyBorder="1" applyAlignment="1" applyProtection="1">
      <alignment horizontal="center"/>
      <protection locked="0"/>
    </xf>
    <xf numFmtId="0" fontId="9" fillId="0" borderId="23" xfId="0" applyFont="1" applyBorder="1" applyAlignment="1" applyProtection="1">
      <alignment horizontal="center"/>
      <protection locked="0"/>
    </xf>
    <xf numFmtId="0" fontId="9" fillId="0" borderId="24" xfId="0" applyFont="1" applyBorder="1" applyAlignment="1" applyProtection="1">
      <alignment horizontal="center"/>
      <protection locked="0"/>
    </xf>
    <xf numFmtId="0" fontId="9" fillId="0" borderId="25" xfId="0" applyFont="1" applyBorder="1" applyAlignment="1" applyProtection="1">
      <alignment horizontal="left"/>
      <protection locked="0"/>
    </xf>
    <xf numFmtId="0" fontId="5" fillId="5" borderId="21" xfId="0" applyFont="1" applyFill="1" applyBorder="1" applyAlignment="1" applyProtection="1">
      <alignment horizontal="left" vertical="center"/>
      <protection locked="0"/>
    </xf>
    <xf numFmtId="0" fontId="5" fillId="0" borderId="21" xfId="0" applyFont="1" applyBorder="1" applyAlignment="1" applyProtection="1">
      <alignment horizontal="left" vertical="center"/>
      <protection locked="0"/>
    </xf>
    <xf numFmtId="0" fontId="5" fillId="0" borderId="23" xfId="0" applyFont="1" applyBorder="1" applyAlignment="1" applyProtection="1">
      <alignment horizontal="left" vertical="center"/>
      <protection locked="0"/>
    </xf>
    <xf numFmtId="0" fontId="5" fillId="0" borderId="24" xfId="0" applyFont="1" applyBorder="1" applyAlignment="1" applyProtection="1">
      <alignment horizontal="left" vertical="center"/>
      <protection locked="0"/>
    </xf>
    <xf numFmtId="0" fontId="5" fillId="0" borderId="26" xfId="0" applyFont="1" applyBorder="1" applyAlignment="1" applyProtection="1">
      <alignment horizontal="left" vertical="center"/>
      <protection locked="0"/>
    </xf>
    <xf numFmtId="0" fontId="7" fillId="0" borderId="24" xfId="0" applyFont="1" applyBorder="1" applyAlignment="1">
      <alignment horizontal="left" vertical="center"/>
    </xf>
    <xf numFmtId="0" fontId="9" fillId="0" borderId="27" xfId="0" applyFont="1" applyBorder="1" applyAlignment="1" applyProtection="1">
      <alignment horizontal="center"/>
      <protection locked="0"/>
    </xf>
    <xf numFmtId="0" fontId="9" fillId="5" borderId="28" xfId="0" applyFont="1" applyFill="1" applyBorder="1" applyAlignment="1" applyProtection="1">
      <alignment horizontal="center"/>
      <protection locked="0"/>
    </xf>
    <xf numFmtId="0" fontId="9" fillId="0" borderId="29" xfId="0" applyFont="1" applyBorder="1" applyAlignment="1" applyProtection="1">
      <alignment horizontal="center"/>
      <protection locked="0"/>
    </xf>
    <xf numFmtId="0" fontId="30" fillId="5" borderId="21" xfId="0" applyFont="1" applyFill="1" applyBorder="1" applyAlignment="1" applyProtection="1">
      <alignment horizontal="center"/>
      <protection locked="0"/>
    </xf>
    <xf numFmtId="0" fontId="30" fillId="0" borderId="21" xfId="0" applyFont="1" applyBorder="1" applyAlignment="1" applyProtection="1">
      <alignment horizontal="center"/>
      <protection locked="0"/>
    </xf>
    <xf numFmtId="0" fontId="9" fillId="5" borderId="30" xfId="0" applyFont="1" applyFill="1" applyBorder="1" applyAlignment="1" applyProtection="1">
      <alignment horizontal="center"/>
      <protection locked="0"/>
    </xf>
    <xf numFmtId="0" fontId="9" fillId="0" borderId="30" xfId="0" applyFont="1" applyBorder="1" applyAlignment="1" applyProtection="1">
      <alignment horizontal="center"/>
      <protection locked="0"/>
    </xf>
    <xf numFmtId="0" fontId="9" fillId="5" borderId="18" xfId="0" applyFont="1" applyFill="1" applyBorder="1" applyAlignment="1" applyProtection="1">
      <alignment horizontal="left"/>
      <protection locked="0"/>
    </xf>
    <xf numFmtId="0" fontId="9" fillId="0" borderId="21" xfId="0" applyFont="1" applyBorder="1" applyAlignment="1" applyProtection="1">
      <alignment horizontal="left"/>
      <protection locked="0"/>
    </xf>
    <xf numFmtId="0" fontId="9" fillId="5" borderId="21" xfId="0" applyFont="1" applyFill="1" applyBorder="1" applyAlignment="1" applyProtection="1">
      <alignment horizontal="left"/>
      <protection locked="0"/>
    </xf>
    <xf numFmtId="0" fontId="9" fillId="0" borderId="23" xfId="0" applyFont="1" applyBorder="1" applyAlignment="1" applyProtection="1">
      <alignment horizontal="left"/>
      <protection locked="0"/>
    </xf>
    <xf numFmtId="0" fontId="33" fillId="0" borderId="31" xfId="0" applyFont="1" applyBorder="1" applyAlignment="1">
      <alignment horizontal="left"/>
    </xf>
    <xf numFmtId="0" fontId="33" fillId="0" borderId="20" xfId="0" applyFont="1" applyBorder="1" applyAlignment="1"/>
    <xf numFmtId="0" fontId="33" fillId="0" borderId="0" xfId="0" applyFont="1" applyBorder="1" applyAlignment="1">
      <alignment horizontal="left"/>
    </xf>
    <xf numFmtId="0" fontId="33" fillId="0" borderId="22" xfId="0" applyFont="1" applyBorder="1" applyAlignment="1"/>
    <xf numFmtId="0" fontId="33" fillId="0" borderId="25" xfId="0" applyFont="1" applyBorder="1" applyAlignment="1"/>
    <xf numFmtId="0" fontId="2" fillId="0" borderId="19" xfId="0" applyFont="1" applyBorder="1" applyAlignment="1" applyProtection="1">
      <alignment horizontal="center"/>
      <protection locked="0"/>
    </xf>
    <xf numFmtId="0" fontId="0" fillId="0" borderId="22" xfId="0" applyBorder="1" applyAlignment="1">
      <alignment horizontal="left"/>
    </xf>
    <xf numFmtId="0" fontId="0" fillId="10" borderId="22" xfId="0" applyFill="1" applyBorder="1" applyAlignment="1">
      <alignment horizontal="left"/>
    </xf>
    <xf numFmtId="0" fontId="2" fillId="0" borderId="24" xfId="0" applyFont="1" applyBorder="1" applyAlignment="1" applyProtection="1">
      <alignment horizontal="center"/>
      <protection locked="0"/>
    </xf>
    <xf numFmtId="0" fontId="8" fillId="0" borderId="16" xfId="0" applyFont="1" applyBorder="1" applyAlignment="1" applyProtection="1">
      <alignment horizontal="left" vertical="center"/>
      <protection locked="0"/>
    </xf>
    <xf numFmtId="0" fontId="8" fillId="0" borderId="4" xfId="0" applyFont="1" applyBorder="1" applyAlignment="1" applyProtection="1">
      <alignment horizontal="left" vertical="center"/>
      <protection locked="0"/>
    </xf>
    <xf numFmtId="0" fontId="10" fillId="0" borderId="4" xfId="0" applyFont="1" applyBorder="1" applyAlignment="1" applyProtection="1">
      <alignment horizontal="left" vertical="center"/>
      <protection locked="0"/>
    </xf>
    <xf numFmtId="0" fontId="11" fillId="0" borderId="4" xfId="0" applyFont="1" applyBorder="1" applyAlignment="1" applyProtection="1">
      <alignment horizontal="left" vertical="center"/>
      <protection locked="0"/>
    </xf>
    <xf numFmtId="0" fontId="13" fillId="0" borderId="4" xfId="0" applyFont="1" applyBorder="1" applyAlignment="1" applyProtection="1">
      <alignment horizontal="left" vertical="center"/>
      <protection locked="0"/>
    </xf>
    <xf numFmtId="0" fontId="14" fillId="0" borderId="4" xfId="0" applyFont="1" applyBorder="1" applyAlignment="1" applyProtection="1">
      <alignment horizontal="left" vertical="center"/>
      <protection locked="0"/>
    </xf>
    <xf numFmtId="0" fontId="6" fillId="0" borderId="4" xfId="0" applyFont="1" applyBorder="1" applyAlignment="1" applyProtection="1">
      <alignment horizontal="left" vertical="center"/>
      <protection locked="0"/>
    </xf>
    <xf numFmtId="0" fontId="15" fillId="0" borderId="4" xfId="0" applyFont="1" applyBorder="1" applyAlignment="1" applyProtection="1">
      <alignment horizontal="left" vertical="center"/>
      <protection locked="0"/>
    </xf>
    <xf numFmtId="0" fontId="13" fillId="0" borderId="32" xfId="0" applyFont="1" applyBorder="1" applyAlignment="1" applyProtection="1">
      <alignment horizontal="left" vertical="center"/>
      <protection locked="0"/>
    </xf>
    <xf numFmtId="0" fontId="16" fillId="0" borderId="4" xfId="0" applyFont="1" applyBorder="1" applyAlignment="1" applyProtection="1">
      <alignment horizontal="left" vertical="center"/>
      <protection locked="0"/>
    </xf>
    <xf numFmtId="0" fontId="7" fillId="0" borderId="5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5" fillId="5" borderId="18" xfId="0" applyFont="1" applyFill="1" applyBorder="1" applyAlignment="1" applyProtection="1">
      <alignment horizontal="left" vertical="center"/>
      <protection locked="0"/>
    </xf>
    <xf numFmtId="0" fontId="5" fillId="0" borderId="19" xfId="0" applyFont="1" applyBorder="1" applyAlignment="1" applyProtection="1">
      <alignment horizontal="left" vertical="center"/>
      <protection locked="0"/>
    </xf>
    <xf numFmtId="0" fontId="5" fillId="0" borderId="33" xfId="0" applyFont="1" applyBorder="1" applyAlignment="1" applyProtection="1">
      <alignment horizontal="left" vertical="center"/>
      <protection locked="0"/>
    </xf>
    <xf numFmtId="0" fontId="7" fillId="0" borderId="19" xfId="0" applyFont="1" applyBorder="1" applyAlignment="1">
      <alignment horizontal="left" vertical="center"/>
    </xf>
    <xf numFmtId="0" fontId="12" fillId="0" borderId="21" xfId="0" applyFont="1" applyBorder="1" applyAlignment="1" applyProtection="1">
      <alignment horizontal="left" vertical="center"/>
      <protection locked="0"/>
    </xf>
    <xf numFmtId="0" fontId="17" fillId="5" borderId="21" xfId="0" applyFont="1" applyFill="1" applyBorder="1" applyAlignment="1" applyProtection="1">
      <alignment horizontal="center"/>
      <protection locked="0"/>
    </xf>
    <xf numFmtId="0" fontId="18" fillId="6" borderId="21" xfId="0" applyFont="1" applyFill="1" applyBorder="1" applyAlignment="1" applyProtection="1">
      <alignment horizontal="center"/>
      <protection locked="0"/>
    </xf>
    <xf numFmtId="0" fontId="18" fillId="6" borderId="23" xfId="0" applyFont="1" applyFill="1" applyBorder="1" applyAlignment="1" applyProtection="1">
      <alignment horizontal="center"/>
      <protection locked="0"/>
    </xf>
    <xf numFmtId="0" fontId="7" fillId="12" borderId="20" xfId="0" applyFont="1" applyFill="1" applyBorder="1" applyAlignment="1">
      <alignment horizontal="left" vertical="center"/>
    </xf>
    <xf numFmtId="0" fontId="7" fillId="12" borderId="22" xfId="0" applyFont="1" applyFill="1" applyBorder="1" applyAlignment="1">
      <alignment horizontal="left" vertical="center"/>
    </xf>
    <xf numFmtId="0" fontId="46" fillId="12" borderId="22" xfId="1" applyFill="1" applyBorder="1" applyAlignment="1" applyProtection="1">
      <alignment horizontal="left" vertical="center"/>
    </xf>
    <xf numFmtId="0" fontId="5" fillId="12" borderId="20" xfId="0" applyFont="1" applyFill="1" applyBorder="1" applyAlignment="1" applyProtection="1">
      <alignment horizontal="left" vertical="center"/>
      <protection locked="0"/>
    </xf>
    <xf numFmtId="0" fontId="5" fillId="12" borderId="22" xfId="0" applyFont="1" applyFill="1" applyBorder="1" applyAlignment="1" applyProtection="1">
      <alignment horizontal="left" vertical="center"/>
      <protection locked="0"/>
    </xf>
    <xf numFmtId="0" fontId="46" fillId="12" borderId="22" xfId="1" applyFill="1" applyBorder="1" applyAlignment="1" applyProtection="1">
      <alignment horizontal="left" vertical="center"/>
      <protection locked="0"/>
    </xf>
    <xf numFmtId="0" fontId="0" fillId="12" borderId="20" xfId="0" applyFill="1" applyBorder="1"/>
    <xf numFmtId="0" fontId="9" fillId="0" borderId="7" xfId="0" applyFont="1" applyFill="1" applyBorder="1" applyAlignment="1" applyProtection="1">
      <alignment horizontal="center"/>
      <protection locked="0"/>
    </xf>
    <xf numFmtId="0" fontId="2" fillId="0" borderId="7" xfId="0" applyFont="1" applyFill="1" applyBorder="1" applyAlignment="1" applyProtection="1">
      <alignment horizontal="center"/>
      <protection locked="0"/>
    </xf>
    <xf numFmtId="0" fontId="51" fillId="5" borderId="3" xfId="0" applyFont="1" applyFill="1" applyBorder="1" applyAlignment="1" applyProtection="1">
      <alignment horizontal="center"/>
      <protection locked="0"/>
    </xf>
    <xf numFmtId="0" fontId="48" fillId="0" borderId="6" xfId="0" applyFont="1" applyBorder="1" applyAlignment="1" applyProtection="1">
      <alignment horizontal="center"/>
      <protection locked="0"/>
    </xf>
    <xf numFmtId="0" fontId="52" fillId="0" borderId="3" xfId="0" applyFont="1" applyBorder="1" applyAlignment="1" applyProtection="1">
      <alignment horizontal="left" vertical="center"/>
      <protection locked="0"/>
    </xf>
    <xf numFmtId="0" fontId="52" fillId="0" borderId="21" xfId="0" applyFont="1" applyBorder="1" applyAlignment="1" applyProtection="1">
      <alignment horizontal="left" vertical="center"/>
      <protection locked="0"/>
    </xf>
    <xf numFmtId="0" fontId="52" fillId="0" borderId="4" xfId="0" applyFont="1" applyBorder="1" applyAlignment="1" applyProtection="1">
      <alignment horizontal="left" vertical="center"/>
      <protection locked="0"/>
    </xf>
    <xf numFmtId="0" fontId="48" fillId="0" borderId="19" xfId="0" applyFont="1" applyBorder="1" applyAlignment="1" applyProtection="1">
      <alignment horizontal="center"/>
      <protection locked="0"/>
    </xf>
    <xf numFmtId="0" fontId="48" fillId="0" borderId="21" xfId="0" applyFont="1" applyBorder="1" applyAlignment="1" applyProtection="1">
      <alignment horizontal="center"/>
      <protection locked="0"/>
    </xf>
    <xf numFmtId="0" fontId="49" fillId="0" borderId="3" xfId="0" applyFont="1" applyBorder="1" applyAlignment="1" applyProtection="1">
      <alignment horizontal="center"/>
      <protection locked="0"/>
    </xf>
    <xf numFmtId="0" fontId="53" fillId="0" borderId="4" xfId="0" applyFont="1" applyBorder="1" applyAlignment="1" applyProtection="1">
      <alignment horizontal="left" vertical="center"/>
      <protection locked="0"/>
    </xf>
    <xf numFmtId="0" fontId="54" fillId="0" borderId="4" xfId="0" applyFont="1" applyBorder="1" applyAlignment="1" applyProtection="1">
      <alignment horizontal="left" vertical="center"/>
      <protection locked="0"/>
    </xf>
    <xf numFmtId="0" fontId="55" fillId="0" borderId="4" xfId="0" applyFont="1" applyBorder="1" applyAlignment="1" applyProtection="1">
      <alignment horizontal="left"/>
      <protection locked="0"/>
    </xf>
    <xf numFmtId="0" fontId="55" fillId="0" borderId="16" xfId="0" applyFont="1" applyBorder="1" applyAlignment="1" applyProtection="1">
      <alignment horizontal="left"/>
      <protection locked="0"/>
    </xf>
    <xf numFmtId="0" fontId="55" fillId="0" borderId="3" xfId="0" applyFont="1" applyBorder="1" applyAlignment="1" applyProtection="1">
      <alignment horizontal="left"/>
      <protection locked="0"/>
    </xf>
    <xf numFmtId="0" fontId="56" fillId="0" borderId="3" xfId="0" applyFont="1" applyBorder="1" applyAlignment="1" applyProtection="1">
      <alignment horizontal="left"/>
      <protection locked="0"/>
    </xf>
    <xf numFmtId="0" fontId="57" fillId="0" borderId="16" xfId="0" applyFont="1" applyBorder="1" applyAlignment="1" applyProtection="1">
      <alignment horizontal="left"/>
      <protection locked="0"/>
    </xf>
    <xf numFmtId="0" fontId="57" fillId="0" borderId="17" xfId="0" applyFont="1" applyBorder="1" applyAlignment="1" applyProtection="1">
      <alignment horizontal="left"/>
      <protection locked="0"/>
    </xf>
    <xf numFmtId="0" fontId="58" fillId="0" borderId="3" xfId="0" applyFont="1" applyBorder="1" applyAlignment="1">
      <alignment horizontal="left" vertical="center"/>
    </xf>
    <xf numFmtId="0" fontId="57" fillId="0" borderId="3" xfId="0" applyFont="1" applyBorder="1" applyAlignment="1" applyProtection="1">
      <alignment horizontal="left"/>
      <protection locked="0"/>
    </xf>
    <xf numFmtId="0" fontId="50" fillId="0" borderId="3" xfId="0" applyFont="1" applyBorder="1" applyAlignment="1" applyProtection="1">
      <alignment horizontal="left"/>
      <protection locked="0"/>
    </xf>
    <xf numFmtId="0" fontId="50" fillId="5" borderId="3" xfId="0" applyFont="1" applyFill="1" applyBorder="1" applyAlignment="1" applyProtection="1">
      <alignment horizontal="left"/>
      <protection locked="0"/>
    </xf>
    <xf numFmtId="0" fontId="50" fillId="0" borderId="3" xfId="0" applyFont="1" applyBorder="1" applyAlignment="1" applyProtection="1">
      <alignment horizontal="center"/>
      <protection locked="0"/>
    </xf>
    <xf numFmtId="0" fontId="5" fillId="0" borderId="21" xfId="0" applyFont="1" applyBorder="1" applyAlignment="1" applyProtection="1">
      <alignment horizontal="center" vertical="center"/>
      <protection locked="0"/>
    </xf>
    <xf numFmtId="0" fontId="59" fillId="0" borderId="3" xfId="0" applyFont="1" applyBorder="1" applyAlignment="1" applyProtection="1">
      <alignment horizontal="left"/>
      <protection locked="0"/>
    </xf>
    <xf numFmtId="0" fontId="47" fillId="5" borderId="3" xfId="0" applyFont="1" applyFill="1" applyBorder="1" applyAlignment="1" applyProtection="1">
      <alignment horizontal="center"/>
      <protection locked="0"/>
    </xf>
    <xf numFmtId="0" fontId="60" fillId="0" borderId="4" xfId="0" applyFont="1" applyBorder="1" applyAlignment="1" applyProtection="1">
      <alignment horizontal="left" vertical="center"/>
      <protection locked="0"/>
    </xf>
    <xf numFmtId="0" fontId="52" fillId="5" borderId="21" xfId="0" applyFont="1" applyFill="1" applyBorder="1" applyAlignment="1" applyProtection="1">
      <alignment horizontal="left" vertical="center"/>
      <protection locked="0"/>
    </xf>
    <xf numFmtId="0" fontId="61" fillId="0" borderId="16" xfId="0" applyFont="1" applyBorder="1" applyAlignment="1" applyProtection="1">
      <alignment horizontal="left"/>
      <protection locked="0"/>
    </xf>
    <xf numFmtId="0" fontId="62" fillId="0" borderId="3" xfId="0" applyFont="1" applyBorder="1" applyAlignment="1" applyProtection="1">
      <alignment horizontal="left"/>
      <protection locked="0"/>
    </xf>
    <xf numFmtId="0" fontId="61" fillId="0" borderId="4" xfId="0" applyFont="1" applyBorder="1" applyAlignment="1" applyProtection="1">
      <alignment horizontal="left"/>
      <protection locked="0"/>
    </xf>
    <xf numFmtId="0" fontId="63" fillId="0" borderId="3" xfId="0" applyFont="1" applyBorder="1" applyAlignment="1" applyProtection="1">
      <alignment horizontal="left"/>
      <protection locked="0"/>
    </xf>
    <xf numFmtId="0" fontId="64" fillId="0" borderId="4" xfId="0" applyFont="1" applyBorder="1" applyAlignment="1" applyProtection="1">
      <alignment horizontal="left" vertical="center"/>
      <protection locked="0"/>
    </xf>
    <xf numFmtId="0" fontId="65" fillId="0" borderId="3" xfId="0" applyFont="1" applyBorder="1" applyAlignment="1" applyProtection="1">
      <alignment horizontal="left"/>
      <protection locked="0"/>
    </xf>
    <xf numFmtId="0" fontId="7" fillId="10" borderId="22" xfId="0" applyFont="1" applyFill="1" applyBorder="1" applyAlignment="1">
      <alignment horizontal="left" vertical="center"/>
    </xf>
    <xf numFmtId="0" fontId="7" fillId="13" borderId="22" xfId="0" applyFont="1" applyFill="1" applyBorder="1" applyAlignment="1">
      <alignment horizontal="left" vertical="center"/>
    </xf>
    <xf numFmtId="0" fontId="9" fillId="10" borderId="3" xfId="0" applyFont="1" applyFill="1" applyBorder="1" applyAlignment="1" applyProtection="1">
      <alignment horizontal="center"/>
      <protection locked="0"/>
    </xf>
    <xf numFmtId="0" fontId="9" fillId="11" borderId="22" xfId="0" applyFont="1" applyFill="1" applyBorder="1" applyAlignment="1" applyProtection="1">
      <alignment horizontal="left"/>
      <protection locked="0"/>
    </xf>
    <xf numFmtId="0" fontId="9" fillId="11" borderId="3" xfId="0" applyFont="1" applyFill="1" applyBorder="1" applyAlignment="1" applyProtection="1">
      <alignment horizontal="center"/>
      <protection locked="0"/>
    </xf>
    <xf numFmtId="0" fontId="2" fillId="10" borderId="2" xfId="0" applyFont="1" applyFill="1" applyBorder="1" applyAlignment="1">
      <alignment horizontal="center"/>
    </xf>
    <xf numFmtId="0" fontId="9" fillId="14" borderId="0" xfId="0" applyFont="1" applyFill="1" applyAlignment="1" applyProtection="1">
      <alignment horizontal="left"/>
      <protection locked="0"/>
    </xf>
    <xf numFmtId="0" fontId="66" fillId="14" borderId="3" xfId="0" applyFont="1" applyFill="1" applyBorder="1" applyAlignment="1" applyProtection="1">
      <alignment horizontal="center"/>
      <protection locked="0"/>
    </xf>
    <xf numFmtId="0" fontId="2" fillId="14" borderId="0" xfId="0" applyFont="1" applyFill="1" applyAlignment="1" applyProtection="1">
      <alignment horizontal="left"/>
      <protection locked="0"/>
    </xf>
    <xf numFmtId="0" fontId="2" fillId="15" borderId="0" xfId="0" applyFont="1" applyFill="1" applyAlignment="1" applyProtection="1">
      <alignment horizontal="left"/>
      <protection locked="0"/>
    </xf>
    <xf numFmtId="0" fontId="2" fillId="11" borderId="0" xfId="0" applyFont="1" applyFill="1" applyAlignment="1" applyProtection="1">
      <alignment horizontal="left"/>
      <protection locked="0"/>
    </xf>
    <xf numFmtId="0" fontId="9" fillId="11" borderId="0" xfId="0" applyFont="1" applyFill="1" applyAlignment="1" applyProtection="1">
      <alignment horizontal="left"/>
      <protection locked="0"/>
    </xf>
    <xf numFmtId="0" fontId="46" fillId="10" borderId="0" xfId="1" applyFill="1" applyAlignment="1" applyProtection="1">
      <alignment horizontal="left"/>
      <protection locked="0"/>
    </xf>
    <xf numFmtId="0" fontId="5" fillId="12" borderId="3" xfId="0" applyFont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serving.photos.photobox.com/5737804322954ea330b7d1a91582562492ef3b470bdfc6df178cbd480b0c1cb74ecfa4c2.jpg" TargetMode="External"/><Relationship Id="rId2" Type="http://schemas.openxmlformats.org/officeDocument/2006/relationships/hyperlink" Target="https://serving.photos.photobox.com/921715947a54b4a7eca6ff55e2eaa6320c8caf9f4bd1cf53c5edcfb75d59e7dcfbdc2035.jpg" TargetMode="External"/><Relationship Id="rId1" Type="http://schemas.openxmlformats.org/officeDocument/2006/relationships/hyperlink" Target="https://serving.photos.photobox.com/9076302271030cb6b86983b854fe7257d1be62111bd58c295ca48a942e7a75e91726175b.jpg" TargetMode="External"/><Relationship Id="rId4" Type="http://schemas.openxmlformats.org/officeDocument/2006/relationships/hyperlink" Target="https://serving.photos.photobox.com/72860820f0e82bc181e9f12fe33a7d046c5f07659fe90260e6c0f976252161b8b01bba6c.jpg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serving.photos.photobox.com/68184162fe2ab75918c37059f2b7b51e5e42de70f0980150252fa480897f4cd345554b26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I100"/>
  <sheetViews>
    <sheetView workbookViewId="0"/>
  </sheetViews>
  <sheetFormatPr defaultColWidth="12.5703125" defaultRowHeight="15" customHeight="1"/>
  <cols>
    <col min="1" max="1" width="9.85546875" customWidth="1"/>
    <col min="2" max="6" width="7.7109375" customWidth="1"/>
    <col min="7" max="29" width="7.7109375" style="9" customWidth="1"/>
    <col min="30" max="33" width="7.7109375" customWidth="1"/>
    <col min="34" max="34" width="12.85546875" customWidth="1"/>
    <col min="35" max="35" width="7.7109375" customWidth="1"/>
    <col min="36" max="60" width="7.7109375" style="9" customWidth="1"/>
    <col min="61" max="61" width="12.5703125" style="9" customWidth="1"/>
  </cols>
  <sheetData>
    <row r="1" spans="1:60" ht="24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1" t="s">
        <v>0</v>
      </c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</row>
    <row r="2" spans="1:60" ht="15" customHeight="1">
      <c r="A2" s="3" t="str">
        <f>IF($A$1=$G$2,H2,IF($A$1=$G$3,H7,IF($A$1=$G$4,H12,IF($A$1=$G$5,H17,IF($A$1=$G$6,H22,IF($A$1=$G$7,H27,IF($A$1=$G$8,H32,IF($A$1=$G$9,H37,IF($A$1=$G$10,H42,IF($A$1=$G$11,H47,IF($A$1=$G$12,O2,IF($A$1=$G$13,O7,IF($A$1=$G$14,O12,IF($A$1=$G$15,O17,IF($A$1=$G$16,O22,IF($A$1=$G$17,O27,IF($A$1=$G$18,O32,IF($A$1=$G$19,O37,IF($A$1=$G$20,O42,IF($A$1=$G$21,O47,IF($A$1=$G$21,O52,IF($A$1=$G$22,V2,IF($A$1=$G$23,V7,IF($A$1=$G$24,V12,IF($A$1=$G$25,V17,IF($A$1=$G$26,V22,IF($A$1=$G$27,V27,IF($A$1=$G$28,V32,IF($A$1=$G$29,V37,IF($A$1=$G$30,V42,IF($A$1=$G$31,V47)))))))))))))))))))))))))))))))</f>
        <v>sona</v>
      </c>
      <c r="B2" s="3">
        <f t="shared" ref="B2:F6" si="0">IF($A$1=$G$2,I2,IF($A$1=$G$3,I7,IF($A$1=$G$4,I12,IF($A$1=$G$5,I17,IF($A$1=$G$6,I22,IF($A$1=$G$7,I27,IF($A$1=$G$8,I32,IF($A$1=$G$9,I37,IF($A$1=$G$10,I42,IF($A$1=$G$11,I47,IF($A$1=$G$12,P2,IF($A$1=$G$13,P7,IF($A$1=$G$14,P12,IF($A$1=$G$15,P17,IF($A$1=$G$16,P22,IF($A$1=$G$17,P27,IF($A$1=$G$18,P32,IF($A$1=$G$19,P37,IF($A$1=$G$20,P42,IF($A$1=$G$21,P47,IF($A$1=$G$22,P52,IF($A$1=$G$22,W2,IF($A$1=$G$23,W7,IF($A$1=$G$24,W12,IF($A$1=$G$25,W17,IF($A$1=$G$26,W22,IF($A$1=$G$27,W27,IF($A$1=$G$28,W32,IF($A$1=$G$29,W37,IF($A$1=$G$30,W42,IF($A$1=$G$31,W47)))))))))))))))))))))))))))))))</f>
        <v>0</v>
      </c>
      <c r="C2" s="3">
        <f t="shared" si="0"/>
        <v>0</v>
      </c>
      <c r="D2" s="3">
        <f t="shared" si="0"/>
        <v>0</v>
      </c>
      <c r="E2" s="3">
        <f t="shared" si="0"/>
        <v>0</v>
      </c>
      <c r="F2" s="3">
        <f t="shared" si="0"/>
        <v>0</v>
      </c>
      <c r="G2" s="4" t="str">
        <f>H2</f>
        <v>one</v>
      </c>
      <c r="H2" s="5" t="s">
        <v>1</v>
      </c>
      <c r="I2" s="5">
        <v>1</v>
      </c>
      <c r="J2" s="5">
        <v>1</v>
      </c>
      <c r="K2" s="5">
        <v>1</v>
      </c>
      <c r="L2" s="5">
        <v>1</v>
      </c>
      <c r="M2" s="5">
        <v>1</v>
      </c>
      <c r="N2" s="2"/>
      <c r="O2" s="5" t="s">
        <v>2</v>
      </c>
      <c r="P2" s="5">
        <v>1</v>
      </c>
      <c r="Q2" s="5">
        <v>1</v>
      </c>
      <c r="R2" s="5">
        <v>1</v>
      </c>
      <c r="S2" s="5">
        <v>1</v>
      </c>
      <c r="T2" s="5">
        <v>1</v>
      </c>
      <c r="U2" s="2"/>
      <c r="V2" s="5" t="s">
        <v>0</v>
      </c>
      <c r="W2" s="5">
        <v>1</v>
      </c>
      <c r="X2" s="5">
        <v>1</v>
      </c>
      <c r="Y2" s="5">
        <v>1</v>
      </c>
      <c r="Z2" s="5">
        <v>1</v>
      </c>
      <c r="AA2" s="5">
        <v>1</v>
      </c>
      <c r="AB2" s="2"/>
      <c r="AC2" s="2"/>
      <c r="AD2" s="3" t="str">
        <f>IF($AD$1=$AJ$2,AK2,IF($AD$1=$AJ$3,AK7,IF($AD$1=$AJ$4,AK12,IF($AD$1=$AJ$5,AK17,IF($AD$1=$AJ$6,AK22,IF($AD$1=$AJ$7,AK27,IF($AD$1=$AJ$8,AK32,IF($AD$1=$AJ$9,AK37,IF($AD$1=$AJ$10,AK42,IF($AD$1=$AJ$11,AK47,IF($AD$1=$AJ$12,AR2,IF($AD$1=$AJ$13,AR7,IF($AD$1=$AJ$14,AR12,IF($AD$1=$AJ$15,AR17,IF($AD$1=$AJ$16,AR22,IF($AD$1=$AJ$17,AR27,IF($AD$1=$AJ$18,AR32,IF($AD$1=$AJ$19,AR37,IF($AD$1=$AJ$20,AR42,IF($AD$1=$AJ$21,AR47,IF($AD$1=$AJ$21,AR52,IF($AD$1=$AJ$22,AY2,IF($AD$1=$AJ$23,AY7,IF($AD$1=$AJ$24,AY12,IF($AD$1=$AJ$25,AY17,IF($AD$1=$AJ$26,AY22,IF($AD$1=$AJ$27,AY27,IF($AD$1=$AJ$28,AY32,IF($AD$1=$AJ$29,AY37,IF($AD$1=$AJ$30,AY42,IF($AD$1=$AJ$31,AY47)))))))))))))))))))))))))))))))</f>
        <v>sona</v>
      </c>
      <c r="AE2" s="3">
        <f t="shared" ref="AE2:AI6" si="1">IF($AD$1=$AJ$2,AL2,IF($AD$1=$AJ$3,AL7,IF($AD$1=$AJ$4,AL12,IF($AD$1=$AJ$5,AL17,IF($AD$1=$AJ$6,AL22,IF($AD$1=$AJ$7,AL27,IF($AD$1=$AJ$8,AL32,IF($AD$1=$AJ$9,AL37,IF($AD$1=$AJ$10,AL42,IF($AD$1=$AJ$11,AL47,IF($AD$1=$AJ$12,AS2,IF($AD$1=$AJ$13,AS7,IF($AD$1=$AJ$14,AS12,IF($AD$1=$AJ$15,AS17,IF($AD$1=$AJ$16,AS22,IF($AD$1=$AJ$17,AS27,IF($AD$1=$AJ$18,AS32,IF($AD$1=$AJ$19,AS37,IF($AD$1=$AJ$20,AS42,IF($AD$1=$AJ$21,AS47,IF($AD$1=$AJ$22,AS52,IF($AD$1=$AJ$22,AZ2,IF($AD$1=$AJ$23,AZ7,IF($AD$1=$AJ$24,AZ12,IF($AD$1=$AJ$25,AZ17,IF($AD$1=$AJ$26,AZ22,IF($AD$1=$AJ$27,AZ27,IF($AD$1=$AJ$28,AZ32,IF($AD$1=$AJ$29,AZ37,IF($AD$1=$AJ$30,AZ42,IF($AD$1=$AJ$31,AZ47)))))))))))))))))))))))))))))))</f>
        <v>0</v>
      </c>
      <c r="AF2" s="3">
        <f t="shared" si="1"/>
        <v>0</v>
      </c>
      <c r="AG2" s="3">
        <f t="shared" si="1"/>
        <v>0</v>
      </c>
      <c r="AH2" s="3">
        <f t="shared" si="1"/>
        <v>0</v>
      </c>
      <c r="AI2" s="3">
        <f t="shared" si="1"/>
        <v>0</v>
      </c>
      <c r="AJ2" s="4" t="str">
        <f>AK2</f>
        <v>one</v>
      </c>
      <c r="AK2" s="5" t="s">
        <v>1</v>
      </c>
      <c r="AL2" s="5">
        <v>1</v>
      </c>
      <c r="AM2" s="5">
        <v>1</v>
      </c>
      <c r="AN2" s="5">
        <v>1</v>
      </c>
      <c r="AO2" s="5">
        <v>1</v>
      </c>
      <c r="AP2" s="5">
        <v>1</v>
      </c>
      <c r="AQ2" s="2"/>
      <c r="AR2" s="5" t="s">
        <v>2</v>
      </c>
      <c r="AS2" s="5">
        <v>1</v>
      </c>
      <c r="AT2" s="5">
        <v>1</v>
      </c>
      <c r="AU2" s="5">
        <v>1</v>
      </c>
      <c r="AV2" s="5">
        <v>1</v>
      </c>
      <c r="AW2" s="5">
        <v>1</v>
      </c>
      <c r="AX2" s="2"/>
      <c r="AY2" s="5" t="s">
        <v>0</v>
      </c>
      <c r="AZ2" s="5">
        <v>1</v>
      </c>
      <c r="BA2" s="5">
        <v>1</v>
      </c>
      <c r="BB2" s="5">
        <v>1</v>
      </c>
      <c r="BC2" s="5">
        <v>1</v>
      </c>
      <c r="BD2" s="5">
        <v>1</v>
      </c>
      <c r="BE2" s="5">
        <v>1</v>
      </c>
      <c r="BF2" s="5">
        <v>1</v>
      </c>
      <c r="BG2" s="5">
        <v>1</v>
      </c>
      <c r="BH2" s="5">
        <v>1</v>
      </c>
    </row>
    <row r="3" spans="1:60" ht="14.25" customHeight="1">
      <c r="A3" s="3">
        <f>IF($A$1=$G$2,H3,IF($A$1=$G$3,H8,IF($A$1=$G$4,H13,IF($A$1=$G$5,H18,IF($A$1=$G$6,H23,IF($A$1=$G$7,H28,IF($A$1=$G$8,H33,IF($A$1=$G$9,H38,IF($A$1=$G$10,H43,IF($A$1=$G$11,H48,IF($A$1=$G$12,O3,IF($A$1=$G$13,O8,IF($A$1=$G$14,O13,IF($A$1=$G$15,O18,IF($A$1=$G$16,O23,IF($A$1=$G$17,O28,IF($A$1=$G$18,O33,IF($A$1=$G$19,O38,IF($A$1=$G$20,O43,IF($A$1=$G$21,O48,IF($A$1=$G$22,O53,IF($A$1=$G$22,V3,IF($A$1=$G$23,V8,IF($A$1=$G$24,V13,IF($A$1=$G$25,V18,IF($A$1=$G$26,V23,IF($A$1=$G$27,V28,IF($A$1=$G$28,V33,IF($A$1=$G$29,V38,IF($A$1=$G$30,V43,IF($A$1=$G$31,V48)))))))))))))))))))))))))))))))</f>
        <v>0</v>
      </c>
      <c r="B3" s="3">
        <f t="shared" si="0"/>
        <v>0</v>
      </c>
      <c r="C3" s="3">
        <f t="shared" si="0"/>
        <v>0</v>
      </c>
      <c r="D3" s="3">
        <f t="shared" si="0"/>
        <v>0</v>
      </c>
      <c r="E3" s="3">
        <f t="shared" si="0"/>
        <v>0</v>
      </c>
      <c r="F3" s="3">
        <f t="shared" si="0"/>
        <v>0</v>
      </c>
      <c r="G3" s="4" t="str">
        <f>H7</f>
        <v>two</v>
      </c>
      <c r="H3" s="5">
        <v>2</v>
      </c>
      <c r="I3" s="5">
        <v>1</v>
      </c>
      <c r="J3" s="5">
        <v>1</v>
      </c>
      <c r="K3" s="5">
        <v>1</v>
      </c>
      <c r="L3" s="5">
        <v>1</v>
      </c>
      <c r="M3" s="5">
        <v>1</v>
      </c>
      <c r="N3" s="2"/>
      <c r="O3" s="5">
        <v>2</v>
      </c>
      <c r="P3" s="5">
        <v>1</v>
      </c>
      <c r="Q3" s="5">
        <v>1</v>
      </c>
      <c r="R3" s="5">
        <v>1</v>
      </c>
      <c r="S3" s="5">
        <v>1</v>
      </c>
      <c r="T3" s="5">
        <v>1</v>
      </c>
      <c r="U3" s="2"/>
      <c r="V3" s="5">
        <v>2</v>
      </c>
      <c r="W3" s="5">
        <v>1</v>
      </c>
      <c r="X3" s="5">
        <v>1</v>
      </c>
      <c r="Y3" s="5">
        <v>1</v>
      </c>
      <c r="Z3" s="5">
        <v>1</v>
      </c>
      <c r="AA3" s="5">
        <v>1</v>
      </c>
      <c r="AB3" s="2"/>
      <c r="AC3" s="2"/>
      <c r="AD3" s="3">
        <f>IF($AD$1=$AJ$2,AK3,IF($AD$1=$AJ$3,AK8,IF($AD$1=$AJ$4,AK13,IF($AD$1=$AJ$5,AK18,IF($AD$1=$AJ$6,AK23,IF($AD$1=$AJ$7,AK28,IF($AD$1=$AJ$8,AK33,IF($AD$1=$AJ$9,AK38,IF($AD$1=$AJ$10,AK43,IF($AD$1=$AJ$11,AK48,IF($AD$1=$AJ$12,AR3,IF($AD$1=$AJ$13,AR8,IF($AD$1=$AJ$14,AR13,IF($AD$1=$AJ$15,AR18,IF($AD$1=$AJ$16,AR23,IF($AD$1=$AJ$17,AR28,IF($AD$1=$AJ$18,AR33,IF($AD$1=$AJ$19,AR38,IF($AD$1=$AJ$20,AR43,IF($AD$1=$AJ$21,AR48,IF($AD$1=$AJ$22,AR53,IF($AD$1=$AJ$22,AY3,IF($AD$1=$AJ$23,AY8,IF($AD$1=$AJ$24,AY13,IF($AD$1=$AJ$25,AY18,IF($AD$1=$AJ$26,AY23,IF($AD$1=$AJ$27,AY28,IF($AD$1=$AJ$28,AY33,IF($AD$1=$AJ$29,AY38,IF($AD$1=$AJ$30,AY43,IF($AD$1=$AJ$31,AY48)))))))))))))))))))))))))))))))</f>
        <v>0</v>
      </c>
      <c r="AE3" s="3">
        <f t="shared" si="1"/>
        <v>0</v>
      </c>
      <c r="AF3" s="3">
        <f t="shared" si="1"/>
        <v>0</v>
      </c>
      <c r="AG3" s="3">
        <f t="shared" si="1"/>
        <v>0</v>
      </c>
      <c r="AH3" s="3">
        <f t="shared" si="1"/>
        <v>0</v>
      </c>
      <c r="AI3" s="3">
        <f t="shared" si="1"/>
        <v>0</v>
      </c>
      <c r="AJ3" s="4" t="str">
        <f>AK7</f>
        <v>two</v>
      </c>
      <c r="AK3" s="5">
        <v>2</v>
      </c>
      <c r="AL3" s="5">
        <v>1</v>
      </c>
      <c r="AM3" s="5">
        <v>1</v>
      </c>
      <c r="AN3" s="5">
        <v>1</v>
      </c>
      <c r="AO3" s="5">
        <v>1</v>
      </c>
      <c r="AP3" s="5">
        <v>1</v>
      </c>
      <c r="AQ3" s="2"/>
      <c r="AR3" s="5">
        <v>2</v>
      </c>
      <c r="AS3" s="5">
        <v>1</v>
      </c>
      <c r="AT3" s="5">
        <v>1</v>
      </c>
      <c r="AU3" s="5">
        <v>1</v>
      </c>
      <c r="AV3" s="5">
        <v>1</v>
      </c>
      <c r="AW3" s="5">
        <v>1</v>
      </c>
      <c r="AX3" s="2"/>
      <c r="AY3" s="5">
        <v>2</v>
      </c>
      <c r="AZ3" s="5">
        <v>1</v>
      </c>
      <c r="BA3" s="5">
        <v>1</v>
      </c>
      <c r="BB3" s="5">
        <v>1</v>
      </c>
      <c r="BC3" s="5">
        <v>1</v>
      </c>
      <c r="BD3" s="5">
        <v>1</v>
      </c>
      <c r="BE3" s="5">
        <v>1</v>
      </c>
      <c r="BF3" s="5">
        <v>1</v>
      </c>
      <c r="BG3" s="5">
        <v>1</v>
      </c>
      <c r="BH3" s="5">
        <v>1</v>
      </c>
    </row>
    <row r="4" spans="1:60" ht="14.25" customHeight="1">
      <c r="A4" s="3">
        <f>IF($A$1=$G$2,H4,IF($A$1=$G$3,H9,IF($A$1=$G$4,H14,IF($A$1=$G$5,H19,IF($A$1=$G$6,H24,IF($A$1=$G$7,H29,IF($A$1=$G$8,H34,IF($A$1=$G$9,H39,IF($A$1=$G$10,H44,IF($A$1=$G$11,H49,IF($A$1=$G$12,O4,IF($A$1=$G$13,O9,IF($A$1=$G$14,O14,IF($A$1=$G$15,O19,IF($A$1=$G$16,O24,IF($A$1=$G$17,O29,IF($A$1=$G$18,O34,IF($A$1=$G$19,O39,IF($A$1=$G$20,O44,IF($A$1=$G$21,O49,IF($A$1=$G$22,O54,IF($A$1=$G$22,V4,IF($A$1=$G$23,V9,IF($A$1=$G$24,V14,IF($A$1=$G$25,V19,IF($A$1=$G$26,V24,IF($A$1=$G$27,V29,IF($A$1=$G$28,V34,IF($A$1=$G$29,V39,IF($A$1=$G$30,V44,IF($A$1=$G$31,V49)))))))))))))))))))))))))))))))</f>
        <v>0</v>
      </c>
      <c r="B4" s="3">
        <f t="shared" si="0"/>
        <v>0</v>
      </c>
      <c r="C4" s="3">
        <f t="shared" si="0"/>
        <v>0</v>
      </c>
      <c r="D4" s="3">
        <f t="shared" si="0"/>
        <v>0</v>
      </c>
      <c r="E4" s="3">
        <f t="shared" si="0"/>
        <v>0</v>
      </c>
      <c r="F4" s="3">
        <f t="shared" si="0"/>
        <v>0</v>
      </c>
      <c r="G4" s="4" t="str">
        <f>H12</f>
        <v>three</v>
      </c>
      <c r="H4" s="5">
        <v>3</v>
      </c>
      <c r="I4" s="5">
        <v>1</v>
      </c>
      <c r="J4" s="5">
        <v>1</v>
      </c>
      <c r="K4" s="5">
        <v>1</v>
      </c>
      <c r="L4" s="5">
        <v>1</v>
      </c>
      <c r="M4" s="5">
        <v>1</v>
      </c>
      <c r="N4" s="2"/>
      <c r="O4" s="5">
        <v>3</v>
      </c>
      <c r="P4" s="5">
        <v>1</v>
      </c>
      <c r="Q4" s="5">
        <v>1</v>
      </c>
      <c r="R4" s="5">
        <v>1</v>
      </c>
      <c r="S4" s="5">
        <v>1</v>
      </c>
      <c r="T4" s="5">
        <v>1</v>
      </c>
      <c r="U4" s="2"/>
      <c r="V4" s="5">
        <v>3</v>
      </c>
      <c r="W4" s="5">
        <v>1</v>
      </c>
      <c r="X4" s="5">
        <v>1</v>
      </c>
      <c r="Y4" s="5">
        <v>1</v>
      </c>
      <c r="Z4" s="5">
        <v>1</v>
      </c>
      <c r="AA4" s="5">
        <v>1</v>
      </c>
      <c r="AB4" s="2"/>
      <c r="AC4" s="2"/>
      <c r="AD4" s="3">
        <f>IF($AD$1=$AJ$2,AK4,IF($AD$1=$AJ$3,AK9,IF($AD$1=$AJ$4,AK14,IF($AD$1=$AJ$5,AK19,IF($AD$1=$AJ$6,AK24,IF($AD$1=$AJ$7,AK29,IF($AD$1=$AJ$8,AK34,IF($AD$1=$AJ$9,AK39,IF($AD$1=$AJ$10,AK44,IF($AD$1=$AJ$11,AK49,IF($AD$1=$AJ$12,AR4,IF($AD$1=$AJ$13,AR9,IF($AD$1=$AJ$14,AR14,IF($AD$1=$AJ$15,AR19,IF($AD$1=$AJ$16,AR24,IF($AD$1=$AJ$17,AR29,IF($AD$1=$AJ$18,AR34,IF($AD$1=$AJ$19,AR39,IF($AD$1=$AJ$20,AR44,IF($AD$1=$AJ$21,AR49,IF($AD$1=$AJ$22,AR54,IF($AD$1=$AJ$22,AY4,IF($AD$1=$AJ$23,AY9,IF($AD$1=$AJ$24,AY14,IF($AD$1=$AJ$25,AY19,IF($AD$1=$AJ$26,AY24,IF($AD$1=$AJ$27,AY29,IF($AD$1=$AJ$28,AY34,IF($AD$1=$AJ$29,AY39,IF($AD$1=$AJ$30,AY44,IF($AD$1=$AJ$31,AY49)))))))))))))))))))))))))))))))</f>
        <v>0</v>
      </c>
      <c r="AE4" s="3">
        <f t="shared" si="1"/>
        <v>0</v>
      </c>
      <c r="AF4" s="3">
        <f t="shared" si="1"/>
        <v>0</v>
      </c>
      <c r="AG4" s="3">
        <f t="shared" si="1"/>
        <v>0</v>
      </c>
      <c r="AH4" s="3">
        <f t="shared" si="1"/>
        <v>0</v>
      </c>
      <c r="AI4" s="3">
        <f t="shared" si="1"/>
        <v>0</v>
      </c>
      <c r="AJ4" s="4" t="str">
        <f>AK12</f>
        <v>three</v>
      </c>
      <c r="AK4" s="5">
        <v>3</v>
      </c>
      <c r="AL4" s="5">
        <v>1</v>
      </c>
      <c r="AM4" s="5">
        <v>1</v>
      </c>
      <c r="AN4" s="5">
        <v>1</v>
      </c>
      <c r="AO4" s="5">
        <v>1</v>
      </c>
      <c r="AP4" s="5">
        <v>1</v>
      </c>
      <c r="AQ4" s="2"/>
      <c r="AR4" s="5">
        <v>3</v>
      </c>
      <c r="AS4" s="5">
        <v>1</v>
      </c>
      <c r="AT4" s="5">
        <v>1</v>
      </c>
      <c r="AU4" s="5">
        <v>1</v>
      </c>
      <c r="AV4" s="5">
        <v>1</v>
      </c>
      <c r="AW4" s="5">
        <v>1</v>
      </c>
      <c r="AX4" s="2"/>
      <c r="AY4" s="5">
        <v>3</v>
      </c>
      <c r="AZ4" s="5">
        <v>1</v>
      </c>
      <c r="BA4" s="5">
        <v>1</v>
      </c>
      <c r="BB4" s="5">
        <v>1</v>
      </c>
      <c r="BC4" s="5">
        <v>1</v>
      </c>
      <c r="BD4" s="5">
        <v>1</v>
      </c>
      <c r="BE4" s="5">
        <v>1</v>
      </c>
      <c r="BF4" s="5">
        <v>1</v>
      </c>
      <c r="BG4" s="5">
        <v>1</v>
      </c>
      <c r="BH4" s="5">
        <v>1</v>
      </c>
    </row>
    <row r="5" spans="1:60" ht="14.25" customHeight="1">
      <c r="A5" s="3">
        <f>IF($A$1=$G$2,H5,IF($A$1=$G$3,H10,IF($A$1=$G$4,H15,IF($A$1=$G$5,H20,IF($A$1=$G$6,H25,IF($A$1=$G$7,H30,IF($A$1=$G$8,H35,IF($A$1=$G$9,H40,IF($A$1=$G$10,H45,IF($A$1=$G$11,H50,IF($A$1=$G$12,O5,IF($A$1=$G$13,O10,IF($A$1=$G$14,O15,IF($A$1=$G$15,O20,IF($A$1=$G$16,O25,IF($A$1=$G$17,O30,IF($A$1=$G$18,O35,IF($A$1=$G$19,O40,IF($A$1=$G$20,O45,IF($A$1=$G$21,O50,IF($A$1=$G$22,O55,IF($A$1=$G$22,V5,IF($A$1=$G$23,V10,IF($A$1=$G$24,V15,IF($A$1=$G$25,V20,IF($A$1=$G$26,V25,IF($A$1=$G$27,V30,IF($A$1=$G$28,V35,IF($A$1=$G$29,V40,IF($A$1=$G$30,V45,IF($A$1=$G$31,V50)))))))))))))))))))))))))))))))</f>
        <v>0</v>
      </c>
      <c r="B5" s="3">
        <f t="shared" si="0"/>
        <v>0</v>
      </c>
      <c r="C5" s="3">
        <f t="shared" si="0"/>
        <v>0</v>
      </c>
      <c r="D5" s="3">
        <f t="shared" si="0"/>
        <v>0</v>
      </c>
      <c r="E5" s="3">
        <f t="shared" si="0"/>
        <v>0</v>
      </c>
      <c r="F5" s="3">
        <f t="shared" si="0"/>
        <v>0</v>
      </c>
      <c r="G5" s="4" t="str">
        <f>H17</f>
        <v>four</v>
      </c>
      <c r="H5" s="5">
        <v>4</v>
      </c>
      <c r="I5" s="5">
        <v>1</v>
      </c>
      <c r="J5" s="5">
        <v>1</v>
      </c>
      <c r="K5" s="5">
        <v>1</v>
      </c>
      <c r="L5" s="5">
        <v>1</v>
      </c>
      <c r="M5" s="5">
        <v>1</v>
      </c>
      <c r="N5" s="2"/>
      <c r="O5" s="5">
        <v>4</v>
      </c>
      <c r="P5" s="5">
        <v>1</v>
      </c>
      <c r="Q5" s="5">
        <v>1</v>
      </c>
      <c r="R5" s="5">
        <v>1</v>
      </c>
      <c r="S5" s="5">
        <v>1</v>
      </c>
      <c r="T5" s="5">
        <v>1</v>
      </c>
      <c r="U5" s="2"/>
      <c r="V5" s="5">
        <v>4</v>
      </c>
      <c r="W5" s="5">
        <v>1</v>
      </c>
      <c r="X5" s="5">
        <v>1</v>
      </c>
      <c r="Y5" s="5">
        <v>1</v>
      </c>
      <c r="Z5" s="5">
        <v>1</v>
      </c>
      <c r="AA5" s="5">
        <v>1</v>
      </c>
      <c r="AB5" s="2"/>
      <c r="AC5" s="2"/>
      <c r="AD5" s="3">
        <f>IF($AD$1=$AJ$2,AK5,IF($AD$1=$AJ$3,AK10,IF($AD$1=$AJ$4,AK15,IF($AD$1=$AJ$5,AK20,IF($AD$1=$AJ$6,AK25,IF($AD$1=$AJ$7,AK30,IF($AD$1=$AJ$8,AK35,IF($AD$1=$AJ$9,AK40,IF($AD$1=$AJ$10,AK45,IF($AD$1=$AJ$11,AK50,IF($AD$1=$AJ$12,AR5,IF($AD$1=$AJ$13,AR10,IF($AD$1=$AJ$14,AR15,IF($AD$1=$AJ$15,AR20,IF($AD$1=$AJ$16,AR25,IF($AD$1=$AJ$17,AR30,IF($AD$1=$AJ$18,AR35,IF($AD$1=$AJ$19,AR40,IF($AD$1=$AJ$20,AR45,IF($AD$1=$AJ$21,AR50,IF($AD$1=$AJ$22,AR55,IF($AD$1=$AJ$22,AY5,IF($AD$1=$AJ$23,AY10,IF($AD$1=$AJ$24,AY15,IF($AD$1=$AJ$25,AY20,IF($AD$1=$AJ$26,AY25,IF($AD$1=$AJ$27,AY30,IF($AD$1=$AJ$28,AY35,IF($AD$1=$AJ$29,AY40,IF($AD$1=$AJ$30,AY45,IF($AD$1=$AJ$31,AY50)))))))))))))))))))))))))))))))</f>
        <v>0</v>
      </c>
      <c r="AE5" s="3">
        <f t="shared" si="1"/>
        <v>0</v>
      </c>
      <c r="AF5" s="3">
        <f t="shared" si="1"/>
        <v>0</v>
      </c>
      <c r="AG5" s="3">
        <f t="shared" si="1"/>
        <v>0</v>
      </c>
      <c r="AH5" s="3">
        <f t="shared" si="1"/>
        <v>0</v>
      </c>
      <c r="AI5" s="3">
        <f t="shared" si="1"/>
        <v>0</v>
      </c>
      <c r="AJ5" s="4" t="str">
        <f>AK17</f>
        <v>four</v>
      </c>
      <c r="AK5" s="5">
        <v>4</v>
      </c>
      <c r="AL5" s="5">
        <v>1</v>
      </c>
      <c r="AM5" s="5">
        <v>1</v>
      </c>
      <c r="AN5" s="5">
        <v>1</v>
      </c>
      <c r="AO5" s="5">
        <v>1</v>
      </c>
      <c r="AP5" s="5">
        <v>1</v>
      </c>
      <c r="AQ5" s="2"/>
      <c r="AR5" s="5">
        <v>4</v>
      </c>
      <c r="AS5" s="5">
        <v>1</v>
      </c>
      <c r="AT5" s="5">
        <v>1</v>
      </c>
      <c r="AU5" s="5">
        <v>1</v>
      </c>
      <c r="AV5" s="5">
        <v>1</v>
      </c>
      <c r="AW5" s="5">
        <v>1</v>
      </c>
      <c r="AX5" s="2"/>
      <c r="AY5" s="5">
        <v>4</v>
      </c>
      <c r="AZ5" s="5">
        <v>1</v>
      </c>
      <c r="BA5" s="5">
        <v>1</v>
      </c>
      <c r="BB5" s="5">
        <v>1</v>
      </c>
      <c r="BC5" s="5">
        <v>1</v>
      </c>
      <c r="BD5" s="5">
        <v>1</v>
      </c>
      <c r="BE5" s="5">
        <v>1</v>
      </c>
      <c r="BF5" s="5">
        <v>1</v>
      </c>
      <c r="BG5" s="5">
        <v>1</v>
      </c>
      <c r="BH5" s="5">
        <v>1</v>
      </c>
    </row>
    <row r="6" spans="1:60" ht="14.25" customHeight="1">
      <c r="A6" s="3">
        <f>IF($A$1=$G$2,H6,IF($A$1=$G$3,H11,IF($A$1=$G$4,H16,IF($A$1=$G$5,H21,IF($A$1=$G$6,H26,IF($A$1=$G$7,H31,IF($A$1=$G$8,H36,IF($A$1=$G$9,H41,IF($A$1=$G$10,H46,IF($A$1=$G$11,H51,IF($A$1=$G$12,O6,IF($A$1=$G$13,O11,IF($A$1=$G$14,O16,IF($A$1=$G$15,O21,IF($A$1=$G$16,O26,IF($A$1=$G$17,O31,IF($A$1=$G$18,O36,IF($A$1=$G$19,O41,IF($A$1=$G$20,O46,IF($A$1=$G$21,O51,IF($A$1=$G$22,O56,IF($A$1=$G$22,V6,IF($A$1=$G$23,V11,IF($A$1=$G$24,V16,IF($A$1=$G$25,V21,IF($A$1=$G$26,V26,IF($A$1=$G$27,V31,IF($A$1=$G$28,V36,IF($A$1=$G$29,V41,IF($A$1=$G$30,V46,IF($A$1=$G$31,V51)))))))))))))))))))))))))))))))</f>
        <v>0</v>
      </c>
      <c r="B6" s="3">
        <f t="shared" si="0"/>
        <v>0</v>
      </c>
      <c r="C6" s="3">
        <f t="shared" si="0"/>
        <v>0</v>
      </c>
      <c r="D6" s="3">
        <f t="shared" si="0"/>
        <v>0</v>
      </c>
      <c r="E6" s="3">
        <f t="shared" si="0"/>
        <v>0</v>
      </c>
      <c r="F6" s="3">
        <f t="shared" si="0"/>
        <v>0</v>
      </c>
      <c r="G6" s="4" t="str">
        <f>H22</f>
        <v>five</v>
      </c>
      <c r="H6" s="5">
        <v>5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2"/>
      <c r="O6" s="5">
        <v>5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2"/>
      <c r="V6" s="5">
        <v>5</v>
      </c>
      <c r="W6" s="5">
        <v>1</v>
      </c>
      <c r="X6" s="5">
        <v>1</v>
      </c>
      <c r="Y6" s="5">
        <v>1</v>
      </c>
      <c r="Z6" s="5">
        <v>1</v>
      </c>
      <c r="AA6" s="5">
        <v>1</v>
      </c>
      <c r="AB6" s="2"/>
      <c r="AC6" s="2"/>
      <c r="AD6" s="3">
        <f>IF($AD$1=$AJ$2,AK6,IF($AD$1=$AJ$3,AK11,IF($AD$1=$AJ$4,AK16,IF($AD$1=$AJ$5,AK21,IF($AD$1=$AJ$6,AK26,IF($AD$1=$AJ$7,AK31,IF($AD$1=$AJ$8,AK36,IF($AD$1=$AJ$9,AK41,IF($AD$1=$AJ$10,AK46,IF($AD$1=$AJ$11,AK51,IF($AD$1=$AJ$12,AR6,IF($AD$1=$AJ$13,AR11,IF($AD$1=$AJ$14,AR16,IF($AD$1=$AJ$15,AR21,IF($AD$1=$AJ$16,AR26,IF($AD$1=$AJ$17,AR31,IF($AD$1=$AJ$18,AR36,IF($AD$1=$AJ$19,AR41,IF($AD$1=$AJ$20,AR46,IF($AD$1=$AJ$21,AR51,IF($AD$1=$AJ$22,AR56,IF($AD$1=$AJ$22,AY6,IF($AD$1=$AJ$23,AY11,IF($AD$1=$AJ$24,AY16,IF($AD$1=$AJ$25,AY21,IF($AD$1=$AJ$26,AY26,IF($AD$1=$AJ$27,AY31,IF($AD$1=$AJ$28,AY36,IF($AD$1=$AJ$29,AY41,IF($AD$1=$AJ$30,AY46,IF($AD$1=$AJ$31,AY51)))))))))))))))))))))))))))))))</f>
        <v>0</v>
      </c>
      <c r="AE6" s="3">
        <f t="shared" si="1"/>
        <v>0</v>
      </c>
      <c r="AF6" s="3">
        <f t="shared" si="1"/>
        <v>0</v>
      </c>
      <c r="AG6" s="3">
        <f t="shared" si="1"/>
        <v>0</v>
      </c>
      <c r="AH6" s="3">
        <f t="shared" si="1"/>
        <v>0</v>
      </c>
      <c r="AI6" s="3">
        <f t="shared" si="1"/>
        <v>0</v>
      </c>
      <c r="AJ6" s="4" t="str">
        <f>AK22</f>
        <v>five</v>
      </c>
      <c r="AK6" s="5">
        <v>5</v>
      </c>
      <c r="AL6" s="5">
        <v>1</v>
      </c>
      <c r="AM6" s="5">
        <v>1</v>
      </c>
      <c r="AN6" s="5">
        <v>1</v>
      </c>
      <c r="AO6" s="5">
        <v>1</v>
      </c>
      <c r="AP6" s="5">
        <v>1</v>
      </c>
      <c r="AQ6" s="2"/>
      <c r="AR6" s="5">
        <v>5</v>
      </c>
      <c r="AS6" s="5">
        <v>1</v>
      </c>
      <c r="AT6" s="5">
        <v>1</v>
      </c>
      <c r="AU6" s="5">
        <v>1</v>
      </c>
      <c r="AV6" s="5">
        <v>1</v>
      </c>
      <c r="AW6" s="5">
        <v>1</v>
      </c>
      <c r="AX6" s="2"/>
      <c r="AY6" s="5">
        <v>5</v>
      </c>
      <c r="AZ6" s="5">
        <v>1</v>
      </c>
      <c r="BA6" s="5">
        <v>1</v>
      </c>
      <c r="BB6" s="5">
        <v>1</v>
      </c>
      <c r="BC6" s="5">
        <v>1</v>
      </c>
      <c r="BD6" s="5">
        <v>1</v>
      </c>
      <c r="BE6" s="5">
        <v>1</v>
      </c>
      <c r="BF6" s="5">
        <v>1</v>
      </c>
      <c r="BG6" s="5">
        <v>1</v>
      </c>
      <c r="BH6" s="5">
        <v>1</v>
      </c>
    </row>
    <row r="7" spans="1:60" ht="14.25" customHeight="1">
      <c r="A7" s="6"/>
      <c r="B7" s="6"/>
      <c r="C7" s="6"/>
      <c r="D7" s="6"/>
      <c r="E7" s="6"/>
      <c r="F7" s="6"/>
      <c r="G7" s="4" t="str">
        <f>H27</f>
        <v>six</v>
      </c>
      <c r="H7" s="5" t="s">
        <v>3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2"/>
      <c r="O7" s="5" t="s">
        <v>8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2"/>
      <c r="V7" s="5" t="s">
        <v>9</v>
      </c>
      <c r="W7" s="5">
        <v>1</v>
      </c>
      <c r="X7" s="5">
        <v>1</v>
      </c>
      <c r="Y7" s="5">
        <v>1</v>
      </c>
      <c r="Z7" s="5">
        <v>1</v>
      </c>
      <c r="AA7" s="5">
        <v>1</v>
      </c>
      <c r="AB7" s="2"/>
      <c r="AC7" s="2"/>
      <c r="AD7" s="6"/>
      <c r="AE7" s="6"/>
      <c r="AF7" s="6"/>
      <c r="AG7" s="6"/>
      <c r="AH7" s="6"/>
      <c r="AI7" s="6"/>
      <c r="AJ7" s="4" t="str">
        <f>AK27</f>
        <v>six</v>
      </c>
      <c r="AK7" s="5" t="s">
        <v>3</v>
      </c>
      <c r="AL7" s="5">
        <v>1</v>
      </c>
      <c r="AM7" s="5">
        <v>1</v>
      </c>
      <c r="AN7" s="5">
        <v>1</v>
      </c>
      <c r="AO7" s="5">
        <v>1</v>
      </c>
      <c r="AP7" s="5">
        <v>1</v>
      </c>
      <c r="AQ7" s="2"/>
      <c r="AR7" s="5" t="s">
        <v>8</v>
      </c>
      <c r="AS7" s="5">
        <v>1</v>
      </c>
      <c r="AT7" s="5">
        <v>1</v>
      </c>
      <c r="AU7" s="5">
        <v>1</v>
      </c>
      <c r="AV7" s="5">
        <v>1</v>
      </c>
      <c r="AW7" s="5">
        <v>1</v>
      </c>
      <c r="AX7" s="2"/>
      <c r="AY7" s="5" t="s">
        <v>9</v>
      </c>
      <c r="AZ7" s="5">
        <v>1</v>
      </c>
      <c r="BA7" s="5">
        <v>1</v>
      </c>
      <c r="BB7" s="5">
        <v>1</v>
      </c>
      <c r="BC7" s="5">
        <v>1</v>
      </c>
      <c r="BD7" s="5">
        <v>1</v>
      </c>
      <c r="BE7" s="5">
        <v>1</v>
      </c>
      <c r="BF7" s="5">
        <v>1</v>
      </c>
      <c r="BG7" s="5">
        <v>1</v>
      </c>
      <c r="BH7" s="5">
        <v>1</v>
      </c>
    </row>
    <row r="8" spans="1:60" ht="14.25" customHeight="1">
      <c r="A8" s="6"/>
      <c r="B8" s="6"/>
      <c r="C8" s="6"/>
      <c r="D8" s="6"/>
      <c r="E8" s="6"/>
      <c r="F8" s="6"/>
      <c r="G8" s="4" t="str">
        <f>H32</f>
        <v>seven</v>
      </c>
      <c r="H8" s="5">
        <v>7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2"/>
      <c r="O8" s="5">
        <v>7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2"/>
      <c r="V8" s="5">
        <v>7</v>
      </c>
      <c r="W8" s="5">
        <v>1</v>
      </c>
      <c r="X8" s="5">
        <v>1</v>
      </c>
      <c r="Y8" s="5">
        <v>1</v>
      </c>
      <c r="Z8" s="5">
        <v>1</v>
      </c>
      <c r="AA8" s="5">
        <v>1</v>
      </c>
      <c r="AB8" s="2"/>
      <c r="AC8" s="2"/>
      <c r="AD8" s="6"/>
      <c r="AE8" s="6"/>
      <c r="AF8" s="6"/>
      <c r="AG8" s="6"/>
      <c r="AH8" s="6"/>
      <c r="AI8" s="6"/>
      <c r="AJ8" s="4" t="str">
        <f>AK32</f>
        <v>seven</v>
      </c>
      <c r="AK8" s="5">
        <v>7</v>
      </c>
      <c r="AL8" s="5">
        <v>1</v>
      </c>
      <c r="AM8" s="5">
        <v>1</v>
      </c>
      <c r="AN8" s="5">
        <v>1</v>
      </c>
      <c r="AO8" s="5">
        <v>1</v>
      </c>
      <c r="AP8" s="5">
        <v>1</v>
      </c>
      <c r="AQ8" s="2"/>
      <c r="AR8" s="5">
        <v>7</v>
      </c>
      <c r="AS8" s="5">
        <v>1</v>
      </c>
      <c r="AT8" s="5">
        <v>1</v>
      </c>
      <c r="AU8" s="5">
        <v>1</v>
      </c>
      <c r="AV8" s="5">
        <v>1</v>
      </c>
      <c r="AW8" s="5">
        <v>1</v>
      </c>
      <c r="AX8" s="2"/>
      <c r="AY8" s="5">
        <v>7</v>
      </c>
      <c r="AZ8" s="5">
        <v>1</v>
      </c>
      <c r="BA8" s="5">
        <v>1</v>
      </c>
      <c r="BB8" s="5">
        <v>1</v>
      </c>
      <c r="BC8" s="5">
        <v>1</v>
      </c>
      <c r="BD8" s="5">
        <v>1</v>
      </c>
      <c r="BE8" s="5">
        <v>1</v>
      </c>
      <c r="BF8" s="5">
        <v>1</v>
      </c>
      <c r="BG8" s="5">
        <v>1</v>
      </c>
      <c r="BH8" s="5">
        <v>1</v>
      </c>
    </row>
    <row r="9" spans="1:60" ht="14.25" customHeight="1">
      <c r="A9" s="6"/>
      <c r="B9" s="6"/>
      <c r="C9" s="6"/>
      <c r="D9" s="6"/>
      <c r="E9" s="6"/>
      <c r="F9" s="6"/>
      <c r="G9" s="4" t="str">
        <f>H37</f>
        <v>eight</v>
      </c>
      <c r="H9" s="5">
        <v>8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2"/>
      <c r="O9" s="5">
        <v>8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2"/>
      <c r="V9" s="5">
        <v>8</v>
      </c>
      <c r="W9" s="5">
        <v>1</v>
      </c>
      <c r="X9" s="5">
        <v>1</v>
      </c>
      <c r="Y9" s="5">
        <v>1</v>
      </c>
      <c r="Z9" s="5">
        <v>1</v>
      </c>
      <c r="AA9" s="5">
        <v>1</v>
      </c>
      <c r="AB9" s="2"/>
      <c r="AC9" s="2"/>
      <c r="AD9" s="6"/>
      <c r="AE9" s="6"/>
      <c r="AF9" s="6"/>
      <c r="AG9" s="6"/>
      <c r="AH9" s="6"/>
      <c r="AI9" s="6"/>
      <c r="AJ9" s="4" t="str">
        <f>AK37</f>
        <v>eight</v>
      </c>
      <c r="AK9" s="5">
        <v>8</v>
      </c>
      <c r="AL9" s="5">
        <v>1</v>
      </c>
      <c r="AM9" s="5">
        <v>1</v>
      </c>
      <c r="AN9" s="5">
        <v>1</v>
      </c>
      <c r="AO9" s="5">
        <v>1</v>
      </c>
      <c r="AP9" s="5">
        <v>1</v>
      </c>
      <c r="AQ9" s="2"/>
      <c r="AR9" s="5">
        <v>8</v>
      </c>
      <c r="AS9" s="5">
        <v>1</v>
      </c>
      <c r="AT9" s="5">
        <v>1</v>
      </c>
      <c r="AU9" s="5">
        <v>1</v>
      </c>
      <c r="AV9" s="5">
        <v>1</v>
      </c>
      <c r="AW9" s="5">
        <v>1</v>
      </c>
      <c r="AX9" s="2"/>
      <c r="AY9" s="5">
        <v>8</v>
      </c>
      <c r="AZ9" s="5">
        <v>1</v>
      </c>
      <c r="BA9" s="5">
        <v>1</v>
      </c>
      <c r="BB9" s="5">
        <v>1</v>
      </c>
      <c r="BC9" s="5">
        <v>1</v>
      </c>
      <c r="BD9" s="5">
        <v>1</v>
      </c>
      <c r="BE9" s="5">
        <v>1</v>
      </c>
      <c r="BF9" s="5">
        <v>1</v>
      </c>
      <c r="BG9" s="5">
        <v>1</v>
      </c>
      <c r="BH9" s="5">
        <v>1</v>
      </c>
    </row>
    <row r="10" spans="1:60" ht="14.25" customHeight="1">
      <c r="A10" s="6"/>
      <c r="B10" s="6"/>
      <c r="C10" s="6"/>
      <c r="D10" s="6"/>
      <c r="E10" s="6"/>
      <c r="F10" s="6"/>
      <c r="G10" s="4" t="str">
        <f>H42</f>
        <v>nine</v>
      </c>
      <c r="H10" s="5">
        <v>9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2"/>
      <c r="O10" s="5">
        <v>9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2"/>
      <c r="V10" s="5">
        <v>9</v>
      </c>
      <c r="W10" s="5">
        <v>1</v>
      </c>
      <c r="X10" s="5">
        <v>1</v>
      </c>
      <c r="Y10" s="5">
        <v>1</v>
      </c>
      <c r="Z10" s="5">
        <v>1</v>
      </c>
      <c r="AA10" s="5">
        <v>1</v>
      </c>
      <c r="AB10" s="2"/>
      <c r="AC10" s="2"/>
      <c r="AD10" s="6"/>
      <c r="AE10" s="6"/>
      <c r="AF10" s="6"/>
      <c r="AG10" s="6"/>
      <c r="AH10" s="6"/>
      <c r="AI10" s="6"/>
      <c r="AJ10" s="4" t="str">
        <f>AK42</f>
        <v>nine</v>
      </c>
      <c r="AK10" s="5">
        <v>9</v>
      </c>
      <c r="AL10" s="5">
        <v>1</v>
      </c>
      <c r="AM10" s="5">
        <v>1</v>
      </c>
      <c r="AN10" s="5">
        <v>1</v>
      </c>
      <c r="AO10" s="5">
        <v>1</v>
      </c>
      <c r="AP10" s="5">
        <v>1</v>
      </c>
      <c r="AQ10" s="2"/>
      <c r="AR10" s="5">
        <v>9</v>
      </c>
      <c r="AS10" s="5">
        <v>1</v>
      </c>
      <c r="AT10" s="5">
        <v>1</v>
      </c>
      <c r="AU10" s="5">
        <v>1</v>
      </c>
      <c r="AV10" s="5">
        <v>1</v>
      </c>
      <c r="AW10" s="5">
        <v>1</v>
      </c>
      <c r="AX10" s="2"/>
      <c r="AY10" s="5">
        <v>9</v>
      </c>
      <c r="AZ10" s="5">
        <v>1</v>
      </c>
      <c r="BA10" s="5">
        <v>1</v>
      </c>
      <c r="BB10" s="5">
        <v>1</v>
      </c>
      <c r="BC10" s="5">
        <v>1</v>
      </c>
      <c r="BD10" s="5">
        <v>1</v>
      </c>
      <c r="BE10" s="5">
        <v>1</v>
      </c>
      <c r="BF10" s="5">
        <v>1</v>
      </c>
      <c r="BG10" s="5">
        <v>1</v>
      </c>
      <c r="BH10" s="5">
        <v>1</v>
      </c>
    </row>
    <row r="11" spans="1:60" ht="14.25" customHeight="1">
      <c r="A11" s="7" t="s">
        <v>13</v>
      </c>
      <c r="B11" s="7" t="s">
        <v>14</v>
      </c>
      <c r="C11" s="7" t="s">
        <v>15</v>
      </c>
      <c r="D11" s="7" t="s">
        <v>16</v>
      </c>
      <c r="E11" s="7" t="s">
        <v>17</v>
      </c>
      <c r="F11" s="7" t="s">
        <v>18</v>
      </c>
      <c r="G11" s="4" t="str">
        <f>H47</f>
        <v>ten</v>
      </c>
      <c r="H11" s="5">
        <v>10</v>
      </c>
      <c r="I11" s="5">
        <v>1</v>
      </c>
      <c r="J11" s="5">
        <v>1</v>
      </c>
      <c r="K11" s="5">
        <v>1</v>
      </c>
      <c r="L11" s="5">
        <v>1</v>
      </c>
      <c r="M11" s="5">
        <v>1</v>
      </c>
      <c r="N11" s="2"/>
      <c r="O11" s="5">
        <v>10</v>
      </c>
      <c r="P11" s="5">
        <v>1</v>
      </c>
      <c r="Q11" s="5">
        <v>1</v>
      </c>
      <c r="R11" s="5">
        <v>1</v>
      </c>
      <c r="S11" s="5">
        <v>1</v>
      </c>
      <c r="T11" s="5">
        <v>1</v>
      </c>
      <c r="U11" s="2"/>
      <c r="V11" s="5">
        <v>10</v>
      </c>
      <c r="W11" s="5">
        <v>1</v>
      </c>
      <c r="X11" s="5">
        <v>1</v>
      </c>
      <c r="Y11" s="5">
        <v>1</v>
      </c>
      <c r="Z11" s="5">
        <v>1</v>
      </c>
      <c r="AA11" s="5">
        <v>1</v>
      </c>
      <c r="AB11" s="2"/>
      <c r="AC11" s="2"/>
      <c r="AD11" s="7" t="s">
        <v>13</v>
      </c>
      <c r="AE11" s="7" t="s">
        <v>14</v>
      </c>
      <c r="AF11" s="7" t="s">
        <v>15</v>
      </c>
      <c r="AG11" s="7" t="s">
        <v>16</v>
      </c>
      <c r="AH11" s="7" t="s">
        <v>17</v>
      </c>
      <c r="AI11" s="7" t="s">
        <v>18</v>
      </c>
      <c r="AJ11" s="4" t="str">
        <f>AK47</f>
        <v>ten</v>
      </c>
      <c r="AK11" s="5">
        <v>10</v>
      </c>
      <c r="AL11" s="5">
        <v>1</v>
      </c>
      <c r="AM11" s="5">
        <v>1</v>
      </c>
      <c r="AN11" s="5">
        <v>1</v>
      </c>
      <c r="AO11" s="5">
        <v>1</v>
      </c>
      <c r="AP11" s="5">
        <v>1</v>
      </c>
      <c r="AQ11" s="2"/>
      <c r="AR11" s="5">
        <v>10</v>
      </c>
      <c r="AS11" s="5">
        <v>1</v>
      </c>
      <c r="AT11" s="5">
        <v>1</v>
      </c>
      <c r="AU11" s="5">
        <v>1</v>
      </c>
      <c r="AV11" s="5">
        <v>1</v>
      </c>
      <c r="AW11" s="5">
        <v>1</v>
      </c>
      <c r="AX11" s="2"/>
      <c r="AY11" s="5">
        <v>10</v>
      </c>
      <c r="AZ11" s="5">
        <v>1</v>
      </c>
      <c r="BA11" s="5">
        <v>1</v>
      </c>
      <c r="BB11" s="5">
        <v>1</v>
      </c>
      <c r="BC11" s="5">
        <v>1</v>
      </c>
      <c r="BD11" s="5">
        <v>1</v>
      </c>
      <c r="BE11" s="5">
        <v>1</v>
      </c>
      <c r="BF11" s="5">
        <v>1</v>
      </c>
      <c r="BG11" s="5">
        <v>1</v>
      </c>
      <c r="BH11" s="5">
        <v>1</v>
      </c>
    </row>
    <row r="12" spans="1:60" ht="14.25" customHeight="1">
      <c r="A12" s="8" t="str">
        <f t="shared" ref="A12:F16" si="2">IF(A2&lt;100,"",A2)</f>
        <v>sona</v>
      </c>
      <c r="B12" s="8" t="str">
        <f t="shared" si="2"/>
        <v/>
      </c>
      <c r="C12" s="8" t="str">
        <f t="shared" si="2"/>
        <v/>
      </c>
      <c r="D12" s="8" t="str">
        <f t="shared" si="2"/>
        <v/>
      </c>
      <c r="E12" s="8" t="str">
        <f t="shared" si="2"/>
        <v/>
      </c>
      <c r="F12" s="8" t="str">
        <f t="shared" si="2"/>
        <v/>
      </c>
      <c r="G12" s="4" t="str">
        <f>O2</f>
        <v>eleven</v>
      </c>
      <c r="H12" s="5" t="s">
        <v>4</v>
      </c>
      <c r="I12" s="5">
        <v>1</v>
      </c>
      <c r="J12" s="5">
        <v>1</v>
      </c>
      <c r="K12" s="5">
        <v>1</v>
      </c>
      <c r="L12" s="5">
        <v>1</v>
      </c>
      <c r="M12" s="5">
        <v>1</v>
      </c>
      <c r="N12" s="2"/>
      <c r="O12" s="5" t="s">
        <v>20</v>
      </c>
      <c r="P12" s="5">
        <v>1</v>
      </c>
      <c r="Q12" s="5">
        <v>1</v>
      </c>
      <c r="R12" s="5">
        <v>1</v>
      </c>
      <c r="S12" s="5">
        <v>1</v>
      </c>
      <c r="T12" s="5">
        <v>1</v>
      </c>
      <c r="U12" s="2"/>
      <c r="V12" s="5" t="s">
        <v>21</v>
      </c>
      <c r="W12" s="5">
        <v>1</v>
      </c>
      <c r="X12" s="5">
        <v>1</v>
      </c>
      <c r="Y12" s="5">
        <v>1</v>
      </c>
      <c r="Z12" s="5">
        <v>1</v>
      </c>
      <c r="AA12" s="5">
        <v>1</v>
      </c>
      <c r="AB12" s="2"/>
      <c r="AC12" s="2"/>
      <c r="AD12" s="8" t="str">
        <f t="shared" ref="AD12:AI16" si="3">IF(AD2&lt;100,"",AD2)</f>
        <v>sona</v>
      </c>
      <c r="AE12" s="8" t="str">
        <f t="shared" si="3"/>
        <v/>
      </c>
      <c r="AF12" s="8" t="str">
        <f t="shared" si="3"/>
        <v/>
      </c>
      <c r="AG12" s="8" t="str">
        <f t="shared" si="3"/>
        <v/>
      </c>
      <c r="AH12" s="8" t="str">
        <f t="shared" si="3"/>
        <v/>
      </c>
      <c r="AI12" s="8" t="str">
        <f t="shared" si="3"/>
        <v/>
      </c>
      <c r="AJ12" s="4" t="str">
        <f>AR2</f>
        <v>eleven</v>
      </c>
      <c r="AK12" s="5" t="s">
        <v>4</v>
      </c>
      <c r="AL12" s="5">
        <v>1</v>
      </c>
      <c r="AM12" s="5">
        <v>1</v>
      </c>
      <c r="AN12" s="5">
        <v>1</v>
      </c>
      <c r="AO12" s="5">
        <v>1</v>
      </c>
      <c r="AP12" s="5">
        <v>1</v>
      </c>
      <c r="AQ12" s="2"/>
      <c r="AR12" s="5" t="s">
        <v>20</v>
      </c>
      <c r="AS12" s="5">
        <v>1</v>
      </c>
      <c r="AT12" s="5">
        <v>1</v>
      </c>
      <c r="AU12" s="5">
        <v>1</v>
      </c>
      <c r="AV12" s="5">
        <v>1</v>
      </c>
      <c r="AW12" s="5">
        <v>1</v>
      </c>
      <c r="AX12" s="2"/>
      <c r="AY12" s="5" t="s">
        <v>21</v>
      </c>
      <c r="AZ12" s="5">
        <v>1</v>
      </c>
      <c r="BA12" s="5">
        <v>1</v>
      </c>
      <c r="BB12" s="5">
        <v>1</v>
      </c>
      <c r="BC12" s="5">
        <v>1</v>
      </c>
      <c r="BD12" s="5">
        <v>1</v>
      </c>
      <c r="BE12" s="5">
        <v>1</v>
      </c>
      <c r="BF12" s="5">
        <v>1</v>
      </c>
      <c r="BG12" s="5">
        <v>1</v>
      </c>
      <c r="BH12" s="5">
        <v>1</v>
      </c>
    </row>
    <row r="13" spans="1:60" ht="14.25" customHeight="1">
      <c r="A13" s="8" t="str">
        <f t="shared" si="2"/>
        <v/>
      </c>
      <c r="B13" s="8" t="str">
        <f t="shared" si="2"/>
        <v/>
      </c>
      <c r="C13" s="8" t="str">
        <f t="shared" si="2"/>
        <v/>
      </c>
      <c r="D13" s="8" t="str">
        <f t="shared" si="2"/>
        <v/>
      </c>
      <c r="E13" s="8" t="str">
        <f t="shared" si="2"/>
        <v/>
      </c>
      <c r="F13" s="8" t="str">
        <f t="shared" si="2"/>
        <v/>
      </c>
      <c r="G13" s="4" t="str">
        <f>O7</f>
        <v>twelve</v>
      </c>
      <c r="H13" s="5">
        <v>12</v>
      </c>
      <c r="I13" s="5">
        <v>1</v>
      </c>
      <c r="J13" s="5">
        <v>1</v>
      </c>
      <c r="K13" s="5">
        <v>1</v>
      </c>
      <c r="L13" s="5">
        <v>1</v>
      </c>
      <c r="M13" s="5">
        <v>1</v>
      </c>
      <c r="N13" s="2"/>
      <c r="O13" s="5">
        <v>12</v>
      </c>
      <c r="P13" s="5">
        <v>1</v>
      </c>
      <c r="Q13" s="5">
        <v>1</v>
      </c>
      <c r="R13" s="5">
        <v>1</v>
      </c>
      <c r="S13" s="5">
        <v>1</v>
      </c>
      <c r="T13" s="5">
        <v>1</v>
      </c>
      <c r="U13" s="2"/>
      <c r="V13" s="5">
        <v>12</v>
      </c>
      <c r="W13" s="5">
        <v>1</v>
      </c>
      <c r="X13" s="5">
        <v>1</v>
      </c>
      <c r="Y13" s="5">
        <v>1</v>
      </c>
      <c r="Z13" s="5">
        <v>1</v>
      </c>
      <c r="AA13" s="5">
        <v>1</v>
      </c>
      <c r="AB13" s="2"/>
      <c r="AC13" s="2"/>
      <c r="AD13" s="8" t="str">
        <f t="shared" si="3"/>
        <v/>
      </c>
      <c r="AE13" s="8" t="str">
        <f t="shared" si="3"/>
        <v/>
      </c>
      <c r="AF13" s="8" t="str">
        <f t="shared" si="3"/>
        <v/>
      </c>
      <c r="AG13" s="8" t="str">
        <f t="shared" si="3"/>
        <v/>
      </c>
      <c r="AH13" s="8" t="str">
        <f t="shared" si="3"/>
        <v/>
      </c>
      <c r="AI13" s="8" t="str">
        <f t="shared" si="3"/>
        <v/>
      </c>
      <c r="AJ13" s="4" t="str">
        <f>AR7</f>
        <v>twelve</v>
      </c>
      <c r="AK13" s="5">
        <v>12</v>
      </c>
      <c r="AL13" s="5">
        <v>1</v>
      </c>
      <c r="AM13" s="5">
        <v>1</v>
      </c>
      <c r="AN13" s="5">
        <v>1</v>
      </c>
      <c r="AO13" s="5">
        <v>1</v>
      </c>
      <c r="AP13" s="5">
        <v>1</v>
      </c>
      <c r="AQ13" s="2"/>
      <c r="AR13" s="5">
        <v>12</v>
      </c>
      <c r="AS13" s="5">
        <v>1</v>
      </c>
      <c r="AT13" s="5">
        <v>1</v>
      </c>
      <c r="AU13" s="5">
        <v>1</v>
      </c>
      <c r="AV13" s="5">
        <v>1</v>
      </c>
      <c r="AW13" s="5">
        <v>1</v>
      </c>
      <c r="AX13" s="2"/>
      <c r="AY13" s="5">
        <v>12</v>
      </c>
      <c r="AZ13" s="5">
        <v>1</v>
      </c>
      <c r="BA13" s="5">
        <v>1</v>
      </c>
      <c r="BB13" s="5">
        <v>1</v>
      </c>
      <c r="BC13" s="5">
        <v>1</v>
      </c>
      <c r="BD13" s="5">
        <v>1</v>
      </c>
      <c r="BE13" s="5">
        <v>1</v>
      </c>
      <c r="BF13" s="5">
        <v>1</v>
      </c>
      <c r="BG13" s="5">
        <v>1</v>
      </c>
      <c r="BH13" s="5">
        <v>1</v>
      </c>
    </row>
    <row r="14" spans="1:60" ht="14.25" customHeight="1">
      <c r="A14" s="8" t="str">
        <f t="shared" si="2"/>
        <v/>
      </c>
      <c r="B14" s="8" t="str">
        <f t="shared" si="2"/>
        <v/>
      </c>
      <c r="C14" s="8" t="str">
        <f t="shared" si="2"/>
        <v/>
      </c>
      <c r="D14" s="8" t="str">
        <f t="shared" si="2"/>
        <v/>
      </c>
      <c r="E14" s="8" t="str">
        <f t="shared" si="2"/>
        <v/>
      </c>
      <c r="F14" s="8" t="str">
        <f t="shared" si="2"/>
        <v/>
      </c>
      <c r="G14" s="4" t="str">
        <f>O12</f>
        <v>thirteen</v>
      </c>
      <c r="H14" s="5">
        <v>13</v>
      </c>
      <c r="I14" s="5">
        <v>1</v>
      </c>
      <c r="J14" s="5">
        <v>1</v>
      </c>
      <c r="K14" s="5">
        <v>1</v>
      </c>
      <c r="L14" s="5">
        <v>1</v>
      </c>
      <c r="M14" s="5">
        <v>1</v>
      </c>
      <c r="N14" s="2"/>
      <c r="O14" s="5">
        <v>13</v>
      </c>
      <c r="P14" s="5">
        <v>1</v>
      </c>
      <c r="Q14" s="5">
        <v>1</v>
      </c>
      <c r="R14" s="5">
        <v>1</v>
      </c>
      <c r="S14" s="5">
        <v>1</v>
      </c>
      <c r="T14" s="5">
        <v>1</v>
      </c>
      <c r="U14" s="2"/>
      <c r="V14" s="5">
        <v>13</v>
      </c>
      <c r="W14" s="5">
        <v>1</v>
      </c>
      <c r="X14" s="5">
        <v>1</v>
      </c>
      <c r="Y14" s="5">
        <v>1</v>
      </c>
      <c r="Z14" s="5">
        <v>1</v>
      </c>
      <c r="AA14" s="5">
        <v>1</v>
      </c>
      <c r="AB14" s="2"/>
      <c r="AC14" s="2"/>
      <c r="AD14" s="8" t="str">
        <f t="shared" si="3"/>
        <v/>
      </c>
      <c r="AE14" s="8" t="str">
        <f t="shared" si="3"/>
        <v/>
      </c>
      <c r="AF14" s="8" t="str">
        <f t="shared" si="3"/>
        <v/>
      </c>
      <c r="AG14" s="8" t="str">
        <f t="shared" si="3"/>
        <v/>
      </c>
      <c r="AH14" s="8" t="str">
        <f t="shared" si="3"/>
        <v/>
      </c>
      <c r="AI14" s="8" t="str">
        <f t="shared" si="3"/>
        <v/>
      </c>
      <c r="AJ14" s="4" t="str">
        <f>AR12</f>
        <v>thirteen</v>
      </c>
      <c r="AK14" s="5">
        <v>13</v>
      </c>
      <c r="AL14" s="5">
        <v>1</v>
      </c>
      <c r="AM14" s="5">
        <v>1</v>
      </c>
      <c r="AN14" s="5">
        <v>1</v>
      </c>
      <c r="AO14" s="5">
        <v>1</v>
      </c>
      <c r="AP14" s="5">
        <v>1</v>
      </c>
      <c r="AQ14" s="2"/>
      <c r="AR14" s="5">
        <v>13</v>
      </c>
      <c r="AS14" s="5">
        <v>1</v>
      </c>
      <c r="AT14" s="5">
        <v>1</v>
      </c>
      <c r="AU14" s="5">
        <v>1</v>
      </c>
      <c r="AV14" s="5">
        <v>1</v>
      </c>
      <c r="AW14" s="5">
        <v>1</v>
      </c>
      <c r="AX14" s="2"/>
      <c r="AY14" s="5">
        <v>13</v>
      </c>
      <c r="AZ14" s="5">
        <v>1</v>
      </c>
      <c r="BA14" s="5">
        <v>1</v>
      </c>
      <c r="BB14" s="5">
        <v>1</v>
      </c>
      <c r="BC14" s="5">
        <v>1</v>
      </c>
      <c r="BD14" s="5">
        <v>1</v>
      </c>
      <c r="BE14" s="5">
        <v>1</v>
      </c>
      <c r="BF14" s="5">
        <v>1</v>
      </c>
      <c r="BG14" s="5">
        <v>1</v>
      </c>
      <c r="BH14" s="5">
        <v>1</v>
      </c>
    </row>
    <row r="15" spans="1:60" ht="14.25" customHeight="1">
      <c r="A15" s="8" t="str">
        <f t="shared" si="2"/>
        <v/>
      </c>
      <c r="B15" s="8" t="str">
        <f t="shared" si="2"/>
        <v/>
      </c>
      <c r="C15" s="8" t="str">
        <f t="shared" si="2"/>
        <v/>
      </c>
      <c r="D15" s="8" t="str">
        <f t="shared" si="2"/>
        <v/>
      </c>
      <c r="E15" s="8" t="str">
        <f t="shared" si="2"/>
        <v/>
      </c>
      <c r="F15" s="8" t="str">
        <f t="shared" si="2"/>
        <v/>
      </c>
      <c r="G15" s="4" t="str">
        <f>O17</f>
        <v>fourteen</v>
      </c>
      <c r="H15" s="5">
        <v>14</v>
      </c>
      <c r="I15" s="5">
        <v>1</v>
      </c>
      <c r="J15" s="5">
        <v>1</v>
      </c>
      <c r="K15" s="5">
        <v>1</v>
      </c>
      <c r="L15" s="5">
        <v>1</v>
      </c>
      <c r="M15" s="5">
        <v>1</v>
      </c>
      <c r="N15" s="2"/>
      <c r="O15" s="5">
        <v>14</v>
      </c>
      <c r="P15" s="5">
        <v>1</v>
      </c>
      <c r="Q15" s="5">
        <v>1</v>
      </c>
      <c r="R15" s="5">
        <v>1</v>
      </c>
      <c r="S15" s="5">
        <v>1</v>
      </c>
      <c r="T15" s="5">
        <v>1</v>
      </c>
      <c r="U15" s="2"/>
      <c r="V15" s="5">
        <v>14</v>
      </c>
      <c r="W15" s="5">
        <v>1</v>
      </c>
      <c r="X15" s="5">
        <v>1</v>
      </c>
      <c r="Y15" s="5">
        <v>1</v>
      </c>
      <c r="Z15" s="5">
        <v>1</v>
      </c>
      <c r="AA15" s="5">
        <v>1</v>
      </c>
      <c r="AB15" s="2"/>
      <c r="AC15" s="2"/>
      <c r="AD15" s="8" t="str">
        <f t="shared" si="3"/>
        <v/>
      </c>
      <c r="AE15" s="8" t="str">
        <f t="shared" si="3"/>
        <v/>
      </c>
      <c r="AF15" s="8" t="str">
        <f t="shared" si="3"/>
        <v/>
      </c>
      <c r="AG15" s="8" t="str">
        <f t="shared" si="3"/>
        <v/>
      </c>
      <c r="AH15" s="8" t="str">
        <f t="shared" si="3"/>
        <v/>
      </c>
      <c r="AI15" s="8" t="str">
        <f t="shared" si="3"/>
        <v/>
      </c>
      <c r="AJ15" s="4" t="str">
        <f>AR17</f>
        <v>fourteen</v>
      </c>
      <c r="AK15" s="5">
        <v>14</v>
      </c>
      <c r="AL15" s="5">
        <v>1</v>
      </c>
      <c r="AM15" s="5">
        <v>1</v>
      </c>
      <c r="AN15" s="5">
        <v>1</v>
      </c>
      <c r="AO15" s="5">
        <v>1</v>
      </c>
      <c r="AP15" s="5">
        <v>1</v>
      </c>
      <c r="AQ15" s="2"/>
      <c r="AR15" s="5">
        <v>14</v>
      </c>
      <c r="AS15" s="5">
        <v>1</v>
      </c>
      <c r="AT15" s="5">
        <v>1</v>
      </c>
      <c r="AU15" s="5">
        <v>1</v>
      </c>
      <c r="AV15" s="5">
        <v>1</v>
      </c>
      <c r="AW15" s="5">
        <v>1</v>
      </c>
      <c r="AX15" s="2"/>
      <c r="AY15" s="5">
        <v>14</v>
      </c>
      <c r="AZ15" s="5">
        <v>1</v>
      </c>
      <c r="BA15" s="5">
        <v>1</v>
      </c>
      <c r="BB15" s="5">
        <v>1</v>
      </c>
      <c r="BC15" s="5">
        <v>1</v>
      </c>
      <c r="BD15" s="5">
        <v>1</v>
      </c>
      <c r="BE15" s="5">
        <v>1</v>
      </c>
      <c r="BF15" s="5">
        <v>1</v>
      </c>
      <c r="BG15" s="5">
        <v>1</v>
      </c>
      <c r="BH15" s="5">
        <v>1</v>
      </c>
    </row>
    <row r="16" spans="1:60" ht="14.25" customHeight="1">
      <c r="A16" s="8" t="str">
        <f t="shared" si="2"/>
        <v/>
      </c>
      <c r="B16" s="8" t="str">
        <f t="shared" si="2"/>
        <v/>
      </c>
      <c r="C16" s="8" t="str">
        <f t="shared" si="2"/>
        <v/>
      </c>
      <c r="D16" s="8" t="str">
        <f t="shared" si="2"/>
        <v/>
      </c>
      <c r="E16" s="8" t="str">
        <f t="shared" si="2"/>
        <v/>
      </c>
      <c r="F16" s="8" t="str">
        <f t="shared" si="2"/>
        <v/>
      </c>
      <c r="G16" s="4" t="str">
        <f>O22</f>
        <v>fifteen</v>
      </c>
      <c r="H16" s="5">
        <v>15</v>
      </c>
      <c r="I16" s="5">
        <v>1</v>
      </c>
      <c r="J16" s="5">
        <v>1</v>
      </c>
      <c r="K16" s="5">
        <v>1</v>
      </c>
      <c r="L16" s="5">
        <v>1</v>
      </c>
      <c r="M16" s="5">
        <v>1</v>
      </c>
      <c r="N16" s="2"/>
      <c r="O16" s="5">
        <v>15</v>
      </c>
      <c r="P16" s="5">
        <v>1</v>
      </c>
      <c r="Q16" s="5">
        <v>1</v>
      </c>
      <c r="R16" s="5">
        <v>1</v>
      </c>
      <c r="S16" s="5">
        <v>1</v>
      </c>
      <c r="T16" s="5">
        <v>1</v>
      </c>
      <c r="U16" s="2"/>
      <c r="V16" s="5">
        <v>15</v>
      </c>
      <c r="W16" s="5">
        <v>1</v>
      </c>
      <c r="X16" s="5">
        <v>1</v>
      </c>
      <c r="Y16" s="5">
        <v>1</v>
      </c>
      <c r="Z16" s="5">
        <v>1</v>
      </c>
      <c r="AA16" s="5">
        <v>1</v>
      </c>
      <c r="AB16" s="2"/>
      <c r="AC16" s="2"/>
      <c r="AD16" s="8" t="str">
        <f t="shared" si="3"/>
        <v/>
      </c>
      <c r="AE16" s="8" t="str">
        <f t="shared" si="3"/>
        <v/>
      </c>
      <c r="AF16" s="8" t="str">
        <f t="shared" si="3"/>
        <v/>
      </c>
      <c r="AG16" s="8" t="str">
        <f t="shared" si="3"/>
        <v/>
      </c>
      <c r="AH16" s="8" t="str">
        <f t="shared" si="3"/>
        <v/>
      </c>
      <c r="AI16" s="8" t="str">
        <f t="shared" si="3"/>
        <v/>
      </c>
      <c r="AJ16" s="4" t="str">
        <f>AR22</f>
        <v>fifteen</v>
      </c>
      <c r="AK16" s="5">
        <v>15</v>
      </c>
      <c r="AL16" s="5">
        <v>1</v>
      </c>
      <c r="AM16" s="5">
        <v>1</v>
      </c>
      <c r="AN16" s="5">
        <v>1</v>
      </c>
      <c r="AO16" s="5">
        <v>1</v>
      </c>
      <c r="AP16" s="5">
        <v>1</v>
      </c>
      <c r="AQ16" s="2"/>
      <c r="AR16" s="5">
        <v>15</v>
      </c>
      <c r="AS16" s="5">
        <v>1</v>
      </c>
      <c r="AT16" s="5">
        <v>1</v>
      </c>
      <c r="AU16" s="5">
        <v>1</v>
      </c>
      <c r="AV16" s="5">
        <v>1</v>
      </c>
      <c r="AW16" s="5">
        <v>1</v>
      </c>
      <c r="AX16" s="2"/>
      <c r="AY16" s="5">
        <v>15</v>
      </c>
      <c r="AZ16" s="5">
        <v>1</v>
      </c>
      <c r="BA16" s="5">
        <v>1</v>
      </c>
      <c r="BB16" s="5">
        <v>1</v>
      </c>
      <c r="BC16" s="5">
        <v>1</v>
      </c>
      <c r="BD16" s="5">
        <v>1</v>
      </c>
      <c r="BE16" s="5">
        <v>1</v>
      </c>
      <c r="BF16" s="5">
        <v>1</v>
      </c>
      <c r="BG16" s="5">
        <v>1</v>
      </c>
      <c r="BH16" s="5">
        <v>1</v>
      </c>
    </row>
    <row r="17" spans="1:60" ht="14.25" customHeight="1">
      <c r="A17" s="6"/>
      <c r="B17" s="6"/>
      <c r="C17" s="6"/>
      <c r="D17" s="6"/>
      <c r="E17" s="6"/>
      <c r="F17" s="6"/>
      <c r="G17" s="4" t="str">
        <f>O27</f>
        <v>sixteen</v>
      </c>
      <c r="H17" s="5" t="s">
        <v>5</v>
      </c>
      <c r="I17" s="5">
        <v>1</v>
      </c>
      <c r="J17" s="5">
        <v>1</v>
      </c>
      <c r="K17" s="5">
        <v>1</v>
      </c>
      <c r="L17" s="5">
        <v>1</v>
      </c>
      <c r="M17" s="5">
        <v>1</v>
      </c>
      <c r="N17" s="2"/>
      <c r="O17" s="5" t="s">
        <v>22</v>
      </c>
      <c r="P17" s="5">
        <v>1</v>
      </c>
      <c r="Q17" s="5">
        <v>1</v>
      </c>
      <c r="R17" s="5">
        <v>1</v>
      </c>
      <c r="S17" s="5">
        <v>1</v>
      </c>
      <c r="T17" s="5">
        <v>1</v>
      </c>
      <c r="U17" s="2"/>
      <c r="V17" s="5" t="s">
        <v>25</v>
      </c>
      <c r="W17" s="5">
        <v>1</v>
      </c>
      <c r="X17" s="5">
        <v>1</v>
      </c>
      <c r="Y17" s="5">
        <v>1</v>
      </c>
      <c r="Z17" s="5">
        <v>1</v>
      </c>
      <c r="AA17" s="5">
        <v>1</v>
      </c>
      <c r="AB17" s="2"/>
      <c r="AC17" s="2"/>
      <c r="AD17" s="6"/>
      <c r="AE17" s="6"/>
      <c r="AF17" s="6"/>
      <c r="AG17" s="6"/>
      <c r="AH17" s="6"/>
      <c r="AI17" s="6"/>
      <c r="AJ17" s="4" t="str">
        <f>AR27</f>
        <v>sixteen</v>
      </c>
      <c r="AK17" s="5" t="s">
        <v>5</v>
      </c>
      <c r="AL17" s="5">
        <v>1</v>
      </c>
      <c r="AM17" s="5">
        <v>1</v>
      </c>
      <c r="AN17" s="5">
        <v>1</v>
      </c>
      <c r="AO17" s="5">
        <v>1</v>
      </c>
      <c r="AP17" s="5">
        <v>1</v>
      </c>
      <c r="AQ17" s="2"/>
      <c r="AR17" s="5" t="s">
        <v>22</v>
      </c>
      <c r="AS17" s="5">
        <v>1</v>
      </c>
      <c r="AT17" s="5">
        <v>1</v>
      </c>
      <c r="AU17" s="5">
        <v>1</v>
      </c>
      <c r="AV17" s="5">
        <v>1</v>
      </c>
      <c r="AW17" s="5">
        <v>1</v>
      </c>
      <c r="AX17" s="2"/>
      <c r="AY17" s="5" t="s">
        <v>25</v>
      </c>
      <c r="AZ17" s="5">
        <v>1</v>
      </c>
      <c r="BA17" s="5">
        <v>1</v>
      </c>
      <c r="BB17" s="5">
        <v>1</v>
      </c>
      <c r="BC17" s="5">
        <v>1</v>
      </c>
      <c r="BD17" s="5">
        <v>1</v>
      </c>
      <c r="BE17" s="5">
        <v>1</v>
      </c>
      <c r="BF17" s="5">
        <v>1</v>
      </c>
      <c r="BG17" s="5">
        <v>1</v>
      </c>
      <c r="BH17" s="5">
        <v>1</v>
      </c>
    </row>
    <row r="18" spans="1:60" ht="14.25" customHeight="1">
      <c r="A18" s="6"/>
      <c r="B18" s="6"/>
      <c r="C18" s="6"/>
      <c r="D18" s="6"/>
      <c r="E18" s="6"/>
      <c r="F18" s="6"/>
      <c r="G18" s="4" t="str">
        <f>O32</f>
        <v>seventeen</v>
      </c>
      <c r="H18" s="5">
        <v>17</v>
      </c>
      <c r="I18" s="5">
        <v>1</v>
      </c>
      <c r="J18" s="5">
        <v>1</v>
      </c>
      <c r="K18" s="5">
        <v>1</v>
      </c>
      <c r="L18" s="5">
        <v>1</v>
      </c>
      <c r="M18" s="5">
        <v>1</v>
      </c>
      <c r="N18" s="2"/>
      <c r="O18" s="5">
        <v>17</v>
      </c>
      <c r="P18" s="5">
        <v>1</v>
      </c>
      <c r="Q18" s="5">
        <v>1</v>
      </c>
      <c r="R18" s="5">
        <v>1</v>
      </c>
      <c r="S18" s="5">
        <v>1</v>
      </c>
      <c r="T18" s="5">
        <v>1</v>
      </c>
      <c r="U18" s="2"/>
      <c r="V18" s="5">
        <v>17</v>
      </c>
      <c r="W18" s="5">
        <v>1</v>
      </c>
      <c r="X18" s="5">
        <v>1</v>
      </c>
      <c r="Y18" s="5">
        <v>1</v>
      </c>
      <c r="Z18" s="5">
        <v>1</v>
      </c>
      <c r="AA18" s="5">
        <v>1</v>
      </c>
      <c r="AB18" s="2"/>
      <c r="AC18" s="2"/>
      <c r="AD18" s="6"/>
      <c r="AE18" s="6"/>
      <c r="AF18" s="6"/>
      <c r="AG18" s="6"/>
      <c r="AH18" s="6"/>
      <c r="AI18" s="6"/>
      <c r="AJ18" s="4" t="str">
        <f>AR32</f>
        <v>seventeen</v>
      </c>
      <c r="AK18" s="5">
        <v>17</v>
      </c>
      <c r="AL18" s="5">
        <v>1</v>
      </c>
      <c r="AM18" s="5">
        <v>1</v>
      </c>
      <c r="AN18" s="5">
        <v>1</v>
      </c>
      <c r="AO18" s="5">
        <v>1</v>
      </c>
      <c r="AP18" s="5">
        <v>1</v>
      </c>
      <c r="AQ18" s="2"/>
      <c r="AR18" s="5">
        <v>17</v>
      </c>
      <c r="AS18" s="5">
        <v>1</v>
      </c>
      <c r="AT18" s="5">
        <v>1</v>
      </c>
      <c r="AU18" s="5">
        <v>1</v>
      </c>
      <c r="AV18" s="5">
        <v>1</v>
      </c>
      <c r="AW18" s="5">
        <v>1</v>
      </c>
      <c r="AX18" s="2"/>
      <c r="AY18" s="5">
        <v>17</v>
      </c>
      <c r="AZ18" s="5">
        <v>1</v>
      </c>
      <c r="BA18" s="5">
        <v>1</v>
      </c>
      <c r="BB18" s="5">
        <v>1</v>
      </c>
      <c r="BC18" s="5">
        <v>1</v>
      </c>
      <c r="BD18" s="5">
        <v>1</v>
      </c>
      <c r="BE18" s="5">
        <v>1</v>
      </c>
      <c r="BF18" s="5">
        <v>1</v>
      </c>
      <c r="BG18" s="5">
        <v>1</v>
      </c>
      <c r="BH18" s="5">
        <v>1</v>
      </c>
    </row>
    <row r="19" spans="1:60" ht="14.25" customHeight="1">
      <c r="A19" s="6"/>
      <c r="B19" s="6"/>
      <c r="C19" s="6"/>
      <c r="D19" s="6"/>
      <c r="E19" s="6"/>
      <c r="F19" s="6"/>
      <c r="G19" s="4" t="str">
        <f>O37</f>
        <v>eighteen</v>
      </c>
      <c r="H19" s="5">
        <v>18</v>
      </c>
      <c r="I19" s="5">
        <v>1</v>
      </c>
      <c r="J19" s="5">
        <v>1</v>
      </c>
      <c r="K19" s="5">
        <v>1</v>
      </c>
      <c r="L19" s="5">
        <v>1</v>
      </c>
      <c r="M19" s="5">
        <v>1</v>
      </c>
      <c r="N19" s="2"/>
      <c r="O19" s="5">
        <v>18</v>
      </c>
      <c r="P19" s="5">
        <v>1</v>
      </c>
      <c r="Q19" s="5">
        <v>1</v>
      </c>
      <c r="R19" s="5">
        <v>1</v>
      </c>
      <c r="S19" s="5">
        <v>1</v>
      </c>
      <c r="T19" s="5">
        <v>1</v>
      </c>
      <c r="U19" s="2"/>
      <c r="V19" s="5">
        <v>18</v>
      </c>
      <c r="W19" s="5">
        <v>1</v>
      </c>
      <c r="X19" s="5">
        <v>1</v>
      </c>
      <c r="Y19" s="5">
        <v>1</v>
      </c>
      <c r="Z19" s="5">
        <v>1</v>
      </c>
      <c r="AA19" s="5">
        <v>1</v>
      </c>
      <c r="AB19" s="2"/>
      <c r="AC19" s="2"/>
      <c r="AD19" s="2"/>
      <c r="AE19" s="2"/>
      <c r="AF19" s="2"/>
      <c r="AG19" s="2"/>
      <c r="AH19" s="2"/>
      <c r="AI19" s="2"/>
      <c r="AJ19" s="4" t="str">
        <f>AR37</f>
        <v>eighteen</v>
      </c>
      <c r="AK19" s="5">
        <v>18</v>
      </c>
      <c r="AL19" s="5">
        <v>1</v>
      </c>
      <c r="AM19" s="5">
        <v>1</v>
      </c>
      <c r="AN19" s="5">
        <v>1</v>
      </c>
      <c r="AO19" s="5">
        <v>1</v>
      </c>
      <c r="AP19" s="5">
        <v>1</v>
      </c>
      <c r="AQ19" s="2"/>
      <c r="AR19" s="5">
        <v>18</v>
      </c>
      <c r="AS19" s="5">
        <v>1</v>
      </c>
      <c r="AT19" s="5">
        <v>1</v>
      </c>
      <c r="AU19" s="5">
        <v>1</v>
      </c>
      <c r="AV19" s="5">
        <v>1</v>
      </c>
      <c r="AW19" s="5">
        <v>1</v>
      </c>
      <c r="AX19" s="2"/>
      <c r="AY19" s="5">
        <v>18</v>
      </c>
      <c r="AZ19" s="5">
        <v>1</v>
      </c>
      <c r="BA19" s="5">
        <v>1</v>
      </c>
      <c r="BB19" s="5">
        <v>1</v>
      </c>
      <c r="BC19" s="5">
        <v>1</v>
      </c>
      <c r="BD19" s="5">
        <v>1</v>
      </c>
      <c r="BE19" s="5">
        <v>1</v>
      </c>
      <c r="BF19" s="5">
        <v>1</v>
      </c>
      <c r="BG19" s="5">
        <v>1</v>
      </c>
      <c r="BH19" s="5">
        <v>1</v>
      </c>
    </row>
    <row r="20" spans="1:60" ht="14.25" customHeight="1">
      <c r="A20" s="2"/>
      <c r="B20" s="2"/>
      <c r="C20" s="2"/>
      <c r="D20" s="2"/>
      <c r="E20" s="2"/>
      <c r="F20" s="2"/>
      <c r="G20" s="4" t="str">
        <f>O42</f>
        <v>niunteen</v>
      </c>
      <c r="H20" s="5">
        <v>19</v>
      </c>
      <c r="I20" s="5">
        <v>1</v>
      </c>
      <c r="J20" s="5">
        <v>1</v>
      </c>
      <c r="K20" s="5">
        <v>1</v>
      </c>
      <c r="L20" s="5">
        <v>1</v>
      </c>
      <c r="M20" s="5">
        <v>1</v>
      </c>
      <c r="N20" s="2"/>
      <c r="O20" s="5">
        <v>19</v>
      </c>
      <c r="P20" s="5">
        <v>1</v>
      </c>
      <c r="Q20" s="5">
        <v>1</v>
      </c>
      <c r="R20" s="5">
        <v>1</v>
      </c>
      <c r="S20" s="5">
        <v>1</v>
      </c>
      <c r="T20" s="5">
        <v>1</v>
      </c>
      <c r="U20" s="2"/>
      <c r="V20" s="5">
        <v>19</v>
      </c>
      <c r="W20" s="5">
        <v>1</v>
      </c>
      <c r="X20" s="5">
        <v>1</v>
      </c>
      <c r="Y20" s="5">
        <v>1</v>
      </c>
      <c r="Z20" s="5">
        <v>1</v>
      </c>
      <c r="AA20" s="5">
        <v>1</v>
      </c>
      <c r="AB20" s="2"/>
      <c r="AC20" s="2"/>
      <c r="AD20" s="2"/>
      <c r="AE20" s="2"/>
      <c r="AF20" s="2"/>
      <c r="AG20" s="2"/>
      <c r="AH20" s="2"/>
      <c r="AI20" s="2"/>
      <c r="AJ20" s="4" t="str">
        <f>AR42</f>
        <v>niunteen</v>
      </c>
      <c r="AK20" s="5">
        <v>19</v>
      </c>
      <c r="AL20" s="5">
        <v>1</v>
      </c>
      <c r="AM20" s="5">
        <v>1</v>
      </c>
      <c r="AN20" s="5">
        <v>1</v>
      </c>
      <c r="AO20" s="5">
        <v>1</v>
      </c>
      <c r="AP20" s="5">
        <v>1</v>
      </c>
      <c r="AQ20" s="2"/>
      <c r="AR20" s="5">
        <v>19</v>
      </c>
      <c r="AS20" s="5">
        <v>1</v>
      </c>
      <c r="AT20" s="5">
        <v>1</v>
      </c>
      <c r="AU20" s="5">
        <v>1</v>
      </c>
      <c r="AV20" s="5">
        <v>1</v>
      </c>
      <c r="AW20" s="5">
        <v>1</v>
      </c>
      <c r="AX20" s="2"/>
      <c r="AY20" s="5">
        <v>19</v>
      </c>
      <c r="AZ20" s="5">
        <v>1</v>
      </c>
      <c r="BA20" s="5">
        <v>1</v>
      </c>
      <c r="BB20" s="5">
        <v>1</v>
      </c>
      <c r="BC20" s="5">
        <v>1</v>
      </c>
      <c r="BD20" s="5">
        <v>1</v>
      </c>
      <c r="BE20" s="5">
        <v>1</v>
      </c>
      <c r="BF20" s="5">
        <v>1</v>
      </c>
      <c r="BG20" s="5">
        <v>1</v>
      </c>
      <c r="BH20" s="5">
        <v>1</v>
      </c>
    </row>
    <row r="21" spans="1:60" ht="14.25" customHeight="1">
      <c r="A21" s="2"/>
      <c r="B21" s="2"/>
      <c r="C21" s="2"/>
      <c r="D21" s="2"/>
      <c r="E21" s="2"/>
      <c r="F21" s="2"/>
      <c r="G21" s="4" t="str">
        <f>O47</f>
        <v>twenty</v>
      </c>
      <c r="H21" s="5">
        <v>20</v>
      </c>
      <c r="I21" s="5">
        <v>1</v>
      </c>
      <c r="J21" s="5">
        <v>1</v>
      </c>
      <c r="K21" s="5">
        <v>1</v>
      </c>
      <c r="L21" s="5">
        <v>1</v>
      </c>
      <c r="M21" s="5">
        <v>1</v>
      </c>
      <c r="N21" s="2"/>
      <c r="O21" s="5">
        <v>20</v>
      </c>
      <c r="P21" s="5">
        <v>1</v>
      </c>
      <c r="Q21" s="5">
        <v>1</v>
      </c>
      <c r="R21" s="5">
        <v>1</v>
      </c>
      <c r="S21" s="5">
        <v>1</v>
      </c>
      <c r="T21" s="5">
        <v>1</v>
      </c>
      <c r="U21" s="2"/>
      <c r="V21" s="5">
        <v>20</v>
      </c>
      <c r="W21" s="5">
        <v>1</v>
      </c>
      <c r="X21" s="5">
        <v>1</v>
      </c>
      <c r="Y21" s="5">
        <v>1</v>
      </c>
      <c r="Z21" s="5">
        <v>1</v>
      </c>
      <c r="AA21" s="5">
        <v>1</v>
      </c>
      <c r="AB21" s="2"/>
      <c r="AC21" s="2"/>
      <c r="AD21" s="2"/>
      <c r="AE21" s="2"/>
      <c r="AF21" s="2"/>
      <c r="AG21" s="2"/>
      <c r="AH21" s="2"/>
      <c r="AI21" s="2"/>
      <c r="AJ21" s="4" t="str">
        <f>AR47</f>
        <v>twenty</v>
      </c>
      <c r="AK21" s="5">
        <v>20</v>
      </c>
      <c r="AL21" s="5">
        <v>1</v>
      </c>
      <c r="AM21" s="5">
        <v>1</v>
      </c>
      <c r="AN21" s="5">
        <v>1</v>
      </c>
      <c r="AO21" s="5">
        <v>1</v>
      </c>
      <c r="AP21" s="5">
        <v>1</v>
      </c>
      <c r="AQ21" s="2"/>
      <c r="AR21" s="5">
        <v>20</v>
      </c>
      <c r="AS21" s="5">
        <v>1</v>
      </c>
      <c r="AT21" s="5">
        <v>1</v>
      </c>
      <c r="AU21" s="5">
        <v>1</v>
      </c>
      <c r="AV21" s="5">
        <v>1</v>
      </c>
      <c r="AW21" s="5">
        <v>1</v>
      </c>
      <c r="AX21" s="2"/>
      <c r="AY21" s="5">
        <v>20</v>
      </c>
      <c r="AZ21" s="5">
        <v>1</v>
      </c>
      <c r="BA21" s="5">
        <v>1</v>
      </c>
      <c r="BB21" s="5">
        <v>1</v>
      </c>
      <c r="BC21" s="5">
        <v>1</v>
      </c>
      <c r="BD21" s="5">
        <v>1</v>
      </c>
      <c r="BE21" s="5">
        <v>1</v>
      </c>
      <c r="BF21" s="5">
        <v>1</v>
      </c>
      <c r="BG21" s="5">
        <v>1</v>
      </c>
      <c r="BH21" s="5">
        <v>1</v>
      </c>
    </row>
    <row r="22" spans="1:60" ht="14.25" customHeight="1">
      <c r="A22" s="2"/>
      <c r="B22" s="2"/>
      <c r="C22" s="2"/>
      <c r="D22" s="2"/>
      <c r="E22" s="2"/>
      <c r="F22" s="2"/>
      <c r="G22" s="4" t="str">
        <f>V2</f>
        <v>sona</v>
      </c>
      <c r="H22" s="5" t="s">
        <v>6</v>
      </c>
      <c r="I22" s="5">
        <v>1</v>
      </c>
      <c r="J22" s="5">
        <v>1</v>
      </c>
      <c r="K22" s="5">
        <v>1</v>
      </c>
      <c r="L22" s="5">
        <v>1</v>
      </c>
      <c r="M22" s="5">
        <v>1</v>
      </c>
      <c r="N22" s="2"/>
      <c r="O22" s="5" t="s">
        <v>23</v>
      </c>
      <c r="P22" s="5">
        <v>1</v>
      </c>
      <c r="Q22" s="5">
        <v>1</v>
      </c>
      <c r="R22" s="5">
        <v>1</v>
      </c>
      <c r="S22" s="5">
        <v>1</v>
      </c>
      <c r="T22" s="5">
        <v>1</v>
      </c>
      <c r="U22" s="2"/>
      <c r="V22" s="5" t="s">
        <v>30</v>
      </c>
      <c r="W22" s="5">
        <v>1</v>
      </c>
      <c r="X22" s="5">
        <v>1</v>
      </c>
      <c r="Y22" s="5">
        <v>1</v>
      </c>
      <c r="Z22" s="5">
        <v>1</v>
      </c>
      <c r="AA22" s="5">
        <v>1</v>
      </c>
      <c r="AB22" s="2"/>
      <c r="AC22" s="2"/>
      <c r="AD22" s="2"/>
      <c r="AE22" s="2"/>
      <c r="AF22" s="2"/>
      <c r="AG22" s="2"/>
      <c r="AH22" s="2"/>
      <c r="AI22" s="2"/>
      <c r="AJ22" s="4" t="str">
        <f>AY2</f>
        <v>sona</v>
      </c>
      <c r="AK22" s="5" t="s">
        <v>6</v>
      </c>
      <c r="AL22" s="5">
        <v>1</v>
      </c>
      <c r="AM22" s="5">
        <v>1</v>
      </c>
      <c r="AN22" s="5">
        <v>1</v>
      </c>
      <c r="AO22" s="5">
        <v>1</v>
      </c>
      <c r="AP22" s="5">
        <v>1</v>
      </c>
      <c r="AQ22" s="2"/>
      <c r="AR22" s="5" t="s">
        <v>23</v>
      </c>
      <c r="AS22" s="5">
        <v>1</v>
      </c>
      <c r="AT22" s="5">
        <v>1</v>
      </c>
      <c r="AU22" s="5">
        <v>1</v>
      </c>
      <c r="AV22" s="5">
        <v>1</v>
      </c>
      <c r="AW22" s="5">
        <v>1</v>
      </c>
      <c r="AX22" s="2"/>
      <c r="AY22" s="5" t="s">
        <v>30</v>
      </c>
      <c r="AZ22" s="5">
        <v>1</v>
      </c>
      <c r="BA22" s="5">
        <v>1</v>
      </c>
      <c r="BB22" s="5">
        <v>1</v>
      </c>
      <c r="BC22" s="5">
        <v>1</v>
      </c>
      <c r="BD22" s="5">
        <v>1</v>
      </c>
      <c r="BE22" s="5">
        <v>1</v>
      </c>
      <c r="BF22" s="5">
        <v>1</v>
      </c>
      <c r="BG22" s="5">
        <v>1</v>
      </c>
      <c r="BH22" s="5">
        <v>1</v>
      </c>
    </row>
    <row r="23" spans="1:60" ht="14.25" customHeight="1">
      <c r="A23" s="2"/>
      <c r="B23" s="2"/>
      <c r="C23" s="2"/>
      <c r="D23" s="2"/>
      <c r="E23" s="2"/>
      <c r="F23" s="2"/>
      <c r="G23" s="4" t="str">
        <f>V7</f>
        <v>twenty 2</v>
      </c>
      <c r="H23" s="5">
        <v>22</v>
      </c>
      <c r="I23" s="5">
        <v>1</v>
      </c>
      <c r="J23" s="5">
        <v>1</v>
      </c>
      <c r="K23" s="5">
        <v>1</v>
      </c>
      <c r="L23" s="5">
        <v>1</v>
      </c>
      <c r="M23" s="5">
        <v>1</v>
      </c>
      <c r="N23" s="2"/>
      <c r="O23" s="5">
        <v>22</v>
      </c>
      <c r="P23" s="5">
        <v>1</v>
      </c>
      <c r="Q23" s="5">
        <v>1</v>
      </c>
      <c r="R23" s="5">
        <v>1</v>
      </c>
      <c r="S23" s="5">
        <v>1</v>
      </c>
      <c r="T23" s="5">
        <v>1</v>
      </c>
      <c r="U23" s="2"/>
      <c r="V23" s="5">
        <v>22</v>
      </c>
      <c r="W23" s="5">
        <v>1</v>
      </c>
      <c r="X23" s="5">
        <v>1</v>
      </c>
      <c r="Y23" s="5">
        <v>1</v>
      </c>
      <c r="Z23" s="5">
        <v>1</v>
      </c>
      <c r="AA23" s="5">
        <v>1</v>
      </c>
      <c r="AB23" s="2"/>
      <c r="AC23" s="2"/>
      <c r="AD23" s="2"/>
      <c r="AE23" s="2"/>
      <c r="AF23" s="2"/>
      <c r="AG23" s="2"/>
      <c r="AH23" s="2"/>
      <c r="AI23" s="2"/>
      <c r="AJ23" s="4" t="str">
        <f>AY7</f>
        <v>twenty 2</v>
      </c>
      <c r="AK23" s="5">
        <v>22</v>
      </c>
      <c r="AL23" s="5">
        <v>1</v>
      </c>
      <c r="AM23" s="5">
        <v>1</v>
      </c>
      <c r="AN23" s="5">
        <v>1</v>
      </c>
      <c r="AO23" s="5">
        <v>1</v>
      </c>
      <c r="AP23" s="5">
        <v>1</v>
      </c>
      <c r="AQ23" s="2"/>
      <c r="AR23" s="5">
        <v>22</v>
      </c>
      <c r="AS23" s="5">
        <v>1</v>
      </c>
      <c r="AT23" s="5">
        <v>1</v>
      </c>
      <c r="AU23" s="5">
        <v>1</v>
      </c>
      <c r="AV23" s="5">
        <v>1</v>
      </c>
      <c r="AW23" s="5">
        <v>1</v>
      </c>
      <c r="AX23" s="2"/>
      <c r="AY23" s="5">
        <v>22</v>
      </c>
      <c r="AZ23" s="5">
        <v>1</v>
      </c>
      <c r="BA23" s="5">
        <v>1</v>
      </c>
      <c r="BB23" s="5">
        <v>1</v>
      </c>
      <c r="BC23" s="5">
        <v>1</v>
      </c>
      <c r="BD23" s="5">
        <v>1</v>
      </c>
      <c r="BE23" s="5">
        <v>1</v>
      </c>
      <c r="BF23" s="5">
        <v>1</v>
      </c>
      <c r="BG23" s="5">
        <v>1</v>
      </c>
      <c r="BH23" s="5">
        <v>1</v>
      </c>
    </row>
    <row r="24" spans="1:60" ht="14.25" customHeight="1">
      <c r="A24" s="2"/>
      <c r="B24" s="2"/>
      <c r="C24" s="2"/>
      <c r="D24" s="2"/>
      <c r="E24" s="2"/>
      <c r="F24" s="2"/>
      <c r="G24" s="4" t="str">
        <f>V12</f>
        <v>twenty 3</v>
      </c>
      <c r="H24" s="5">
        <v>23</v>
      </c>
      <c r="I24" s="5">
        <v>1</v>
      </c>
      <c r="J24" s="5">
        <v>1</v>
      </c>
      <c r="K24" s="5">
        <v>1</v>
      </c>
      <c r="L24" s="5">
        <v>1</v>
      </c>
      <c r="M24" s="5">
        <v>1</v>
      </c>
      <c r="N24" s="2"/>
      <c r="O24" s="5">
        <v>23</v>
      </c>
      <c r="P24" s="5">
        <v>1</v>
      </c>
      <c r="Q24" s="5">
        <v>1</v>
      </c>
      <c r="R24" s="5">
        <v>1</v>
      </c>
      <c r="S24" s="5">
        <v>1</v>
      </c>
      <c r="T24" s="5">
        <v>1</v>
      </c>
      <c r="U24" s="2"/>
      <c r="V24" s="5">
        <v>23</v>
      </c>
      <c r="W24" s="5">
        <v>1</v>
      </c>
      <c r="X24" s="5">
        <v>1</v>
      </c>
      <c r="Y24" s="5">
        <v>1</v>
      </c>
      <c r="Z24" s="5">
        <v>1</v>
      </c>
      <c r="AA24" s="5">
        <v>1</v>
      </c>
      <c r="AB24" s="2"/>
      <c r="AC24" s="2"/>
      <c r="AD24" s="2"/>
      <c r="AE24" s="2"/>
      <c r="AF24" s="2"/>
      <c r="AG24" s="2"/>
      <c r="AH24" s="2"/>
      <c r="AI24" s="2"/>
      <c r="AJ24" s="4" t="str">
        <f>AY12</f>
        <v>twenty 3</v>
      </c>
      <c r="AK24" s="5">
        <v>23</v>
      </c>
      <c r="AL24" s="5">
        <v>1</v>
      </c>
      <c r="AM24" s="5">
        <v>1</v>
      </c>
      <c r="AN24" s="5">
        <v>1</v>
      </c>
      <c r="AO24" s="5">
        <v>1</v>
      </c>
      <c r="AP24" s="5">
        <v>1</v>
      </c>
      <c r="AQ24" s="2"/>
      <c r="AR24" s="5">
        <v>23</v>
      </c>
      <c r="AS24" s="5">
        <v>1</v>
      </c>
      <c r="AT24" s="5">
        <v>1</v>
      </c>
      <c r="AU24" s="5">
        <v>1</v>
      </c>
      <c r="AV24" s="5">
        <v>1</v>
      </c>
      <c r="AW24" s="5">
        <v>1</v>
      </c>
      <c r="AX24" s="2"/>
      <c r="AY24" s="5">
        <v>23</v>
      </c>
      <c r="AZ24" s="5">
        <v>1</v>
      </c>
      <c r="BA24" s="5">
        <v>1</v>
      </c>
      <c r="BB24" s="5">
        <v>1</v>
      </c>
      <c r="BC24" s="5">
        <v>1</v>
      </c>
      <c r="BD24" s="5">
        <v>1</v>
      </c>
      <c r="BE24" s="5">
        <v>1</v>
      </c>
      <c r="BF24" s="5">
        <v>1</v>
      </c>
      <c r="BG24" s="5">
        <v>1</v>
      </c>
      <c r="BH24" s="5">
        <v>1</v>
      </c>
    </row>
    <row r="25" spans="1:60" ht="14.25" customHeight="1">
      <c r="A25" s="2"/>
      <c r="B25" s="2"/>
      <c r="C25" s="2"/>
      <c r="D25" s="2"/>
      <c r="E25" s="2"/>
      <c r="F25" s="2"/>
      <c r="G25" s="4" t="str">
        <f>V17</f>
        <v>twenty 4</v>
      </c>
      <c r="H25" s="5">
        <v>24</v>
      </c>
      <c r="I25" s="5">
        <v>1</v>
      </c>
      <c r="J25" s="5">
        <v>1</v>
      </c>
      <c r="K25" s="5">
        <v>1</v>
      </c>
      <c r="L25" s="5">
        <v>1</v>
      </c>
      <c r="M25" s="5">
        <v>1</v>
      </c>
      <c r="N25" s="2"/>
      <c r="O25" s="5">
        <v>24</v>
      </c>
      <c r="P25" s="5">
        <v>1</v>
      </c>
      <c r="Q25" s="5">
        <v>1</v>
      </c>
      <c r="R25" s="5">
        <v>1</v>
      </c>
      <c r="S25" s="5">
        <v>1</v>
      </c>
      <c r="T25" s="5">
        <v>1</v>
      </c>
      <c r="U25" s="2"/>
      <c r="V25" s="5">
        <v>24</v>
      </c>
      <c r="W25" s="5">
        <v>1</v>
      </c>
      <c r="X25" s="5">
        <v>1</v>
      </c>
      <c r="Y25" s="5">
        <v>1</v>
      </c>
      <c r="Z25" s="5">
        <v>1</v>
      </c>
      <c r="AA25" s="5">
        <v>1</v>
      </c>
      <c r="AB25" s="2"/>
      <c r="AC25" s="2"/>
      <c r="AD25" s="2"/>
      <c r="AE25" s="2"/>
      <c r="AF25" s="2"/>
      <c r="AG25" s="2"/>
      <c r="AH25" s="2"/>
      <c r="AI25" s="2"/>
      <c r="AJ25" s="4" t="str">
        <f>AY17</f>
        <v>twenty 4</v>
      </c>
      <c r="AK25" s="5">
        <v>24</v>
      </c>
      <c r="AL25" s="5">
        <v>1</v>
      </c>
      <c r="AM25" s="5">
        <v>1</v>
      </c>
      <c r="AN25" s="5">
        <v>1</v>
      </c>
      <c r="AO25" s="5">
        <v>1</v>
      </c>
      <c r="AP25" s="5">
        <v>1</v>
      </c>
      <c r="AQ25" s="2"/>
      <c r="AR25" s="5">
        <v>24</v>
      </c>
      <c r="AS25" s="5">
        <v>1</v>
      </c>
      <c r="AT25" s="5">
        <v>1</v>
      </c>
      <c r="AU25" s="5">
        <v>1</v>
      </c>
      <c r="AV25" s="5">
        <v>1</v>
      </c>
      <c r="AW25" s="5">
        <v>1</v>
      </c>
      <c r="AX25" s="2"/>
      <c r="AY25" s="5">
        <v>24</v>
      </c>
      <c r="AZ25" s="5">
        <v>1</v>
      </c>
      <c r="BA25" s="5">
        <v>1</v>
      </c>
      <c r="BB25" s="5">
        <v>1</v>
      </c>
      <c r="BC25" s="5">
        <v>1</v>
      </c>
      <c r="BD25" s="5">
        <v>1</v>
      </c>
      <c r="BE25" s="5">
        <v>1</v>
      </c>
      <c r="BF25" s="5">
        <v>1</v>
      </c>
      <c r="BG25" s="5">
        <v>1</v>
      </c>
      <c r="BH25" s="5">
        <v>1</v>
      </c>
    </row>
    <row r="26" spans="1:60" ht="14.25" customHeight="1">
      <c r="A26" s="2"/>
      <c r="B26" s="2"/>
      <c r="C26" s="2"/>
      <c r="D26" s="2"/>
      <c r="E26" s="2"/>
      <c r="F26" s="2"/>
      <c r="G26" s="4" t="str">
        <f>V22</f>
        <v>twenty 5</v>
      </c>
      <c r="H26" s="5">
        <v>25</v>
      </c>
      <c r="I26" s="5">
        <v>1</v>
      </c>
      <c r="J26" s="5">
        <v>1</v>
      </c>
      <c r="K26" s="5">
        <v>1</v>
      </c>
      <c r="L26" s="5">
        <v>1</v>
      </c>
      <c r="M26" s="5">
        <v>1</v>
      </c>
      <c r="N26" s="2"/>
      <c r="O26" s="5">
        <v>25</v>
      </c>
      <c r="P26" s="5">
        <v>1</v>
      </c>
      <c r="Q26" s="5">
        <v>1</v>
      </c>
      <c r="R26" s="5">
        <v>1</v>
      </c>
      <c r="S26" s="5">
        <v>1</v>
      </c>
      <c r="T26" s="5">
        <v>1</v>
      </c>
      <c r="U26" s="2"/>
      <c r="V26" s="5">
        <v>25</v>
      </c>
      <c r="W26" s="5">
        <v>1</v>
      </c>
      <c r="X26" s="5">
        <v>1</v>
      </c>
      <c r="Y26" s="5">
        <v>1</v>
      </c>
      <c r="Z26" s="5">
        <v>1</v>
      </c>
      <c r="AA26" s="5">
        <v>1</v>
      </c>
      <c r="AB26" s="2"/>
      <c r="AC26" s="2"/>
      <c r="AD26" s="2"/>
      <c r="AE26" s="2"/>
      <c r="AF26" s="2"/>
      <c r="AG26" s="2"/>
      <c r="AH26" s="2"/>
      <c r="AI26" s="2"/>
      <c r="AJ26" s="4" t="str">
        <f>AY22</f>
        <v>twenty 5</v>
      </c>
      <c r="AK26" s="5">
        <v>25</v>
      </c>
      <c r="AL26" s="5">
        <v>1</v>
      </c>
      <c r="AM26" s="5">
        <v>1</v>
      </c>
      <c r="AN26" s="5">
        <v>1</v>
      </c>
      <c r="AO26" s="5">
        <v>1</v>
      </c>
      <c r="AP26" s="5">
        <v>1</v>
      </c>
      <c r="AQ26" s="2"/>
      <c r="AR26" s="5">
        <v>25</v>
      </c>
      <c r="AS26" s="5">
        <v>1</v>
      </c>
      <c r="AT26" s="5">
        <v>1</v>
      </c>
      <c r="AU26" s="5">
        <v>1</v>
      </c>
      <c r="AV26" s="5">
        <v>1</v>
      </c>
      <c r="AW26" s="5">
        <v>1</v>
      </c>
      <c r="AX26" s="2"/>
      <c r="AY26" s="5">
        <v>25</v>
      </c>
      <c r="AZ26" s="5">
        <v>1</v>
      </c>
      <c r="BA26" s="5">
        <v>1</v>
      </c>
      <c r="BB26" s="5">
        <v>1</v>
      </c>
      <c r="BC26" s="5">
        <v>1</v>
      </c>
      <c r="BD26" s="5">
        <v>1</v>
      </c>
      <c r="BE26" s="5">
        <v>1</v>
      </c>
      <c r="BF26" s="5">
        <v>1</v>
      </c>
      <c r="BG26" s="5">
        <v>1</v>
      </c>
      <c r="BH26" s="5">
        <v>1</v>
      </c>
    </row>
    <row r="27" spans="1:60" ht="14.25" customHeight="1">
      <c r="A27" s="2"/>
      <c r="B27" s="2"/>
      <c r="C27" s="2"/>
      <c r="D27" s="2"/>
      <c r="E27" s="2"/>
      <c r="F27" s="2"/>
      <c r="G27" s="4" t="str">
        <f>V27</f>
        <v>twenty 6</v>
      </c>
      <c r="H27" s="5" t="s">
        <v>7</v>
      </c>
      <c r="I27" s="5">
        <v>1</v>
      </c>
      <c r="J27" s="5">
        <v>1</v>
      </c>
      <c r="K27" s="5">
        <v>1</v>
      </c>
      <c r="L27" s="5">
        <v>1</v>
      </c>
      <c r="M27" s="5">
        <v>1</v>
      </c>
      <c r="N27" s="2"/>
      <c r="O27" s="5" t="s">
        <v>24</v>
      </c>
      <c r="P27" s="5">
        <v>1</v>
      </c>
      <c r="Q27" s="5">
        <v>1</v>
      </c>
      <c r="R27" s="5">
        <v>1</v>
      </c>
      <c r="S27" s="5">
        <v>1</v>
      </c>
      <c r="T27" s="5">
        <v>1</v>
      </c>
      <c r="U27" s="2"/>
      <c r="V27" s="5" t="s">
        <v>31</v>
      </c>
      <c r="W27" s="5">
        <v>1</v>
      </c>
      <c r="X27" s="5">
        <v>1</v>
      </c>
      <c r="Y27" s="5">
        <v>1</v>
      </c>
      <c r="Z27" s="5">
        <v>1</v>
      </c>
      <c r="AA27" s="5">
        <v>1</v>
      </c>
      <c r="AB27" s="2"/>
      <c r="AC27" s="2"/>
      <c r="AD27" s="2"/>
      <c r="AE27" s="2"/>
      <c r="AF27" s="2"/>
      <c r="AG27" s="2"/>
      <c r="AH27" s="2"/>
      <c r="AI27" s="2"/>
      <c r="AJ27" s="4" t="str">
        <f>AY27</f>
        <v>twenty 6</v>
      </c>
      <c r="AK27" s="5" t="s">
        <v>7</v>
      </c>
      <c r="AL27" s="5">
        <v>1</v>
      </c>
      <c r="AM27" s="5">
        <v>1</v>
      </c>
      <c r="AN27" s="5">
        <v>1</v>
      </c>
      <c r="AO27" s="5">
        <v>1</v>
      </c>
      <c r="AP27" s="5">
        <v>1</v>
      </c>
      <c r="AQ27" s="2"/>
      <c r="AR27" s="5" t="s">
        <v>24</v>
      </c>
      <c r="AS27" s="5">
        <v>1</v>
      </c>
      <c r="AT27" s="5">
        <v>1</v>
      </c>
      <c r="AU27" s="5">
        <v>1</v>
      </c>
      <c r="AV27" s="5">
        <v>1</v>
      </c>
      <c r="AW27" s="5">
        <v>1</v>
      </c>
      <c r="AX27" s="2"/>
      <c r="AY27" s="5" t="s">
        <v>31</v>
      </c>
      <c r="AZ27" s="5">
        <v>1</v>
      </c>
      <c r="BA27" s="5">
        <v>1</v>
      </c>
      <c r="BB27" s="5">
        <v>1</v>
      </c>
      <c r="BC27" s="5">
        <v>1</v>
      </c>
      <c r="BD27" s="5">
        <v>1</v>
      </c>
      <c r="BE27" s="5">
        <v>1</v>
      </c>
      <c r="BF27" s="5">
        <v>1</v>
      </c>
      <c r="BG27" s="5">
        <v>1</v>
      </c>
      <c r="BH27" s="5">
        <v>1</v>
      </c>
    </row>
    <row r="28" spans="1:60" ht="14.25" customHeight="1">
      <c r="A28" s="2"/>
      <c r="B28" s="2"/>
      <c r="C28" s="2"/>
      <c r="D28" s="2"/>
      <c r="E28" s="2"/>
      <c r="F28" s="2"/>
      <c r="G28" s="4" t="str">
        <f>V32</f>
        <v>twenty 7</v>
      </c>
      <c r="H28" s="5">
        <v>27</v>
      </c>
      <c r="I28" s="5">
        <v>1</v>
      </c>
      <c r="J28" s="5">
        <v>1</v>
      </c>
      <c r="K28" s="5">
        <v>1</v>
      </c>
      <c r="L28" s="5">
        <v>1</v>
      </c>
      <c r="M28" s="5">
        <v>1</v>
      </c>
      <c r="N28" s="2"/>
      <c r="O28" s="5">
        <v>27</v>
      </c>
      <c r="P28" s="5">
        <v>1</v>
      </c>
      <c r="Q28" s="5">
        <v>1</v>
      </c>
      <c r="R28" s="5">
        <v>1</v>
      </c>
      <c r="S28" s="5">
        <v>1</v>
      </c>
      <c r="T28" s="5">
        <v>1</v>
      </c>
      <c r="U28" s="2"/>
      <c r="V28" s="5">
        <v>27</v>
      </c>
      <c r="W28" s="5">
        <v>1</v>
      </c>
      <c r="X28" s="5">
        <v>1</v>
      </c>
      <c r="Y28" s="5">
        <v>1</v>
      </c>
      <c r="Z28" s="5">
        <v>1</v>
      </c>
      <c r="AA28" s="5">
        <v>1</v>
      </c>
      <c r="AB28" s="2"/>
      <c r="AC28" s="2"/>
      <c r="AD28" s="2"/>
      <c r="AE28" s="2"/>
      <c r="AF28" s="2"/>
      <c r="AG28" s="2"/>
      <c r="AH28" s="2"/>
      <c r="AI28" s="2"/>
      <c r="AJ28" s="4" t="str">
        <f>AY32</f>
        <v>twenty 7</v>
      </c>
      <c r="AK28" s="5">
        <v>27</v>
      </c>
      <c r="AL28" s="5">
        <v>1</v>
      </c>
      <c r="AM28" s="5">
        <v>1</v>
      </c>
      <c r="AN28" s="5">
        <v>1</v>
      </c>
      <c r="AO28" s="5">
        <v>1</v>
      </c>
      <c r="AP28" s="5">
        <v>1</v>
      </c>
      <c r="AQ28" s="2"/>
      <c r="AR28" s="5">
        <v>27</v>
      </c>
      <c r="AS28" s="5">
        <v>1</v>
      </c>
      <c r="AT28" s="5">
        <v>1</v>
      </c>
      <c r="AU28" s="5">
        <v>1</v>
      </c>
      <c r="AV28" s="5">
        <v>1</v>
      </c>
      <c r="AW28" s="5">
        <v>1</v>
      </c>
      <c r="AX28" s="2"/>
      <c r="AY28" s="5">
        <v>27</v>
      </c>
      <c r="AZ28" s="5">
        <v>1</v>
      </c>
      <c r="BA28" s="5">
        <v>1</v>
      </c>
      <c r="BB28" s="5">
        <v>1</v>
      </c>
      <c r="BC28" s="5">
        <v>1</v>
      </c>
      <c r="BD28" s="5">
        <v>1</v>
      </c>
      <c r="BE28" s="5">
        <v>1</v>
      </c>
      <c r="BF28" s="5">
        <v>1</v>
      </c>
      <c r="BG28" s="5">
        <v>1</v>
      </c>
      <c r="BH28" s="5">
        <v>1</v>
      </c>
    </row>
    <row r="29" spans="1:60" ht="14.25" customHeight="1">
      <c r="A29" s="2"/>
      <c r="B29" s="2"/>
      <c r="C29" s="2"/>
      <c r="D29" s="2"/>
      <c r="E29" s="2"/>
      <c r="F29" s="2"/>
      <c r="G29" s="4" t="str">
        <f>V37</f>
        <v>twenty 8</v>
      </c>
      <c r="H29" s="5">
        <v>28</v>
      </c>
      <c r="I29" s="5">
        <v>1</v>
      </c>
      <c r="J29" s="5">
        <v>1</v>
      </c>
      <c r="K29" s="5">
        <v>1</v>
      </c>
      <c r="L29" s="5">
        <v>1</v>
      </c>
      <c r="M29" s="5">
        <v>1</v>
      </c>
      <c r="N29" s="2"/>
      <c r="O29" s="5">
        <v>28</v>
      </c>
      <c r="P29" s="5">
        <v>1</v>
      </c>
      <c r="Q29" s="5">
        <v>1</v>
      </c>
      <c r="R29" s="5">
        <v>1</v>
      </c>
      <c r="S29" s="5">
        <v>1</v>
      </c>
      <c r="T29" s="5">
        <v>1</v>
      </c>
      <c r="U29" s="2"/>
      <c r="V29" s="5">
        <v>28</v>
      </c>
      <c r="W29" s="5">
        <v>1</v>
      </c>
      <c r="X29" s="5">
        <v>1</v>
      </c>
      <c r="Y29" s="5">
        <v>1</v>
      </c>
      <c r="Z29" s="5">
        <v>1</v>
      </c>
      <c r="AA29" s="5">
        <v>1</v>
      </c>
      <c r="AB29" s="2"/>
      <c r="AC29" s="2"/>
      <c r="AD29" s="2"/>
      <c r="AE29" s="2"/>
      <c r="AF29" s="2"/>
      <c r="AG29" s="2"/>
      <c r="AH29" s="2"/>
      <c r="AI29" s="2"/>
      <c r="AJ29" s="4" t="str">
        <f>AY37</f>
        <v>twenty 8</v>
      </c>
      <c r="AK29" s="5">
        <v>28</v>
      </c>
      <c r="AL29" s="5">
        <v>1</v>
      </c>
      <c r="AM29" s="5">
        <v>1</v>
      </c>
      <c r="AN29" s="5">
        <v>1</v>
      </c>
      <c r="AO29" s="5">
        <v>1</v>
      </c>
      <c r="AP29" s="5">
        <v>1</v>
      </c>
      <c r="AQ29" s="2"/>
      <c r="AR29" s="5">
        <v>28</v>
      </c>
      <c r="AS29" s="5">
        <v>1</v>
      </c>
      <c r="AT29" s="5">
        <v>1</v>
      </c>
      <c r="AU29" s="5">
        <v>1</v>
      </c>
      <c r="AV29" s="5">
        <v>1</v>
      </c>
      <c r="AW29" s="5">
        <v>1</v>
      </c>
      <c r="AX29" s="2"/>
      <c r="AY29" s="5">
        <v>28</v>
      </c>
      <c r="AZ29" s="5">
        <v>1</v>
      </c>
      <c r="BA29" s="5">
        <v>1</v>
      </c>
      <c r="BB29" s="5">
        <v>1</v>
      </c>
      <c r="BC29" s="5">
        <v>1</v>
      </c>
      <c r="BD29" s="5">
        <v>1</v>
      </c>
      <c r="BE29" s="5">
        <v>1</v>
      </c>
      <c r="BF29" s="5">
        <v>1</v>
      </c>
      <c r="BG29" s="5">
        <v>1</v>
      </c>
      <c r="BH29" s="5">
        <v>1</v>
      </c>
    </row>
    <row r="30" spans="1:60" ht="14.25" customHeight="1">
      <c r="A30" s="2"/>
      <c r="B30" s="2"/>
      <c r="C30" s="2"/>
      <c r="D30" s="2"/>
      <c r="E30" s="2"/>
      <c r="F30" s="2"/>
      <c r="G30" s="4" t="str">
        <f>V42</f>
        <v>twnety 9</v>
      </c>
      <c r="H30" s="5">
        <v>29</v>
      </c>
      <c r="I30" s="5">
        <v>1</v>
      </c>
      <c r="J30" s="5">
        <v>1</v>
      </c>
      <c r="K30" s="5">
        <v>1</v>
      </c>
      <c r="L30" s="5">
        <v>1</v>
      </c>
      <c r="M30" s="5">
        <v>1</v>
      </c>
      <c r="N30" s="2"/>
      <c r="O30" s="5">
        <v>29</v>
      </c>
      <c r="P30" s="5">
        <v>1</v>
      </c>
      <c r="Q30" s="5">
        <v>1</v>
      </c>
      <c r="R30" s="5">
        <v>1</v>
      </c>
      <c r="S30" s="5">
        <v>1</v>
      </c>
      <c r="T30" s="5">
        <v>1</v>
      </c>
      <c r="U30" s="2"/>
      <c r="V30" s="5">
        <v>29</v>
      </c>
      <c r="W30" s="5">
        <v>1</v>
      </c>
      <c r="X30" s="5">
        <v>1</v>
      </c>
      <c r="Y30" s="5">
        <v>1</v>
      </c>
      <c r="Z30" s="5">
        <v>1</v>
      </c>
      <c r="AA30" s="5">
        <v>1</v>
      </c>
      <c r="AB30" s="2"/>
      <c r="AC30" s="2"/>
      <c r="AD30" s="2"/>
      <c r="AE30" s="2"/>
      <c r="AF30" s="2"/>
      <c r="AG30" s="2"/>
      <c r="AH30" s="2"/>
      <c r="AI30" s="2"/>
      <c r="AJ30" s="4" t="str">
        <f>AY42</f>
        <v>twnety 9</v>
      </c>
      <c r="AK30" s="5">
        <v>29</v>
      </c>
      <c r="AL30" s="5">
        <v>1</v>
      </c>
      <c r="AM30" s="5">
        <v>1</v>
      </c>
      <c r="AN30" s="5">
        <v>1</v>
      </c>
      <c r="AO30" s="5">
        <v>1</v>
      </c>
      <c r="AP30" s="5">
        <v>1</v>
      </c>
      <c r="AQ30" s="2"/>
      <c r="AR30" s="5">
        <v>29</v>
      </c>
      <c r="AS30" s="5">
        <v>1</v>
      </c>
      <c r="AT30" s="5">
        <v>1</v>
      </c>
      <c r="AU30" s="5">
        <v>1</v>
      </c>
      <c r="AV30" s="5">
        <v>1</v>
      </c>
      <c r="AW30" s="5">
        <v>1</v>
      </c>
      <c r="AX30" s="2"/>
      <c r="AY30" s="5">
        <v>29</v>
      </c>
      <c r="AZ30" s="5">
        <v>1</v>
      </c>
      <c r="BA30" s="5">
        <v>1</v>
      </c>
      <c r="BB30" s="5">
        <v>1</v>
      </c>
      <c r="BC30" s="5">
        <v>1</v>
      </c>
      <c r="BD30" s="5">
        <v>1</v>
      </c>
      <c r="BE30" s="5">
        <v>1</v>
      </c>
      <c r="BF30" s="5">
        <v>1</v>
      </c>
      <c r="BG30" s="5">
        <v>1</v>
      </c>
      <c r="BH30" s="5">
        <v>1</v>
      </c>
    </row>
    <row r="31" spans="1:60" ht="14.25" customHeight="1">
      <c r="A31" s="2"/>
      <c r="B31" s="2"/>
      <c r="C31" s="2"/>
      <c r="D31" s="2"/>
      <c r="E31" s="2"/>
      <c r="F31" s="2"/>
      <c r="G31" s="4" t="str">
        <f>V47</f>
        <v>thirty</v>
      </c>
      <c r="H31" s="5">
        <v>30</v>
      </c>
      <c r="I31" s="5">
        <v>1</v>
      </c>
      <c r="J31" s="5">
        <v>1</v>
      </c>
      <c r="K31" s="5">
        <v>1</v>
      </c>
      <c r="L31" s="5">
        <v>1</v>
      </c>
      <c r="M31" s="5">
        <v>1</v>
      </c>
      <c r="N31" s="2"/>
      <c r="O31" s="5">
        <v>30</v>
      </c>
      <c r="P31" s="5">
        <v>1</v>
      </c>
      <c r="Q31" s="5">
        <v>1</v>
      </c>
      <c r="R31" s="5">
        <v>1</v>
      </c>
      <c r="S31" s="5">
        <v>1</v>
      </c>
      <c r="T31" s="5">
        <v>1</v>
      </c>
      <c r="U31" s="2"/>
      <c r="V31" s="5">
        <v>30</v>
      </c>
      <c r="W31" s="5">
        <v>1</v>
      </c>
      <c r="X31" s="5">
        <v>1</v>
      </c>
      <c r="Y31" s="5">
        <v>1</v>
      </c>
      <c r="Z31" s="5">
        <v>1</v>
      </c>
      <c r="AA31" s="5">
        <v>1</v>
      </c>
      <c r="AB31" s="2"/>
      <c r="AC31" s="2"/>
      <c r="AD31" s="2"/>
      <c r="AE31" s="2"/>
      <c r="AF31" s="2"/>
      <c r="AG31" s="2"/>
      <c r="AH31" s="2"/>
      <c r="AI31" s="2"/>
      <c r="AJ31" s="4" t="str">
        <f>AY47</f>
        <v>thirty</v>
      </c>
      <c r="AK31" s="5">
        <v>30</v>
      </c>
      <c r="AL31" s="5">
        <v>1</v>
      </c>
      <c r="AM31" s="5">
        <v>1</v>
      </c>
      <c r="AN31" s="5">
        <v>1</v>
      </c>
      <c r="AO31" s="5">
        <v>1</v>
      </c>
      <c r="AP31" s="5">
        <v>1</v>
      </c>
      <c r="AQ31" s="2"/>
      <c r="AR31" s="5">
        <v>30</v>
      </c>
      <c r="AS31" s="5">
        <v>1</v>
      </c>
      <c r="AT31" s="5">
        <v>1</v>
      </c>
      <c r="AU31" s="5">
        <v>1</v>
      </c>
      <c r="AV31" s="5">
        <v>1</v>
      </c>
      <c r="AW31" s="5">
        <v>1</v>
      </c>
      <c r="AX31" s="2"/>
      <c r="AY31" s="5">
        <v>30</v>
      </c>
      <c r="AZ31" s="5">
        <v>1</v>
      </c>
      <c r="BA31" s="5">
        <v>1</v>
      </c>
      <c r="BB31" s="5">
        <v>1</v>
      </c>
      <c r="BC31" s="5">
        <v>1</v>
      </c>
      <c r="BD31" s="5">
        <v>1</v>
      </c>
      <c r="BE31" s="5">
        <v>1</v>
      </c>
      <c r="BF31" s="5">
        <v>1</v>
      </c>
      <c r="BG31" s="5">
        <v>1</v>
      </c>
      <c r="BH31" s="5">
        <v>1</v>
      </c>
    </row>
    <row r="32" spans="1:60" ht="14.25" customHeight="1">
      <c r="A32" s="2"/>
      <c r="B32" s="2"/>
      <c r="C32" s="2"/>
      <c r="D32" s="2"/>
      <c r="E32" s="2"/>
      <c r="F32" s="2"/>
      <c r="G32" s="2"/>
      <c r="H32" s="5" t="s">
        <v>10</v>
      </c>
      <c r="I32" s="5">
        <v>1</v>
      </c>
      <c r="J32" s="5">
        <v>1</v>
      </c>
      <c r="K32" s="5">
        <v>1</v>
      </c>
      <c r="L32" s="5">
        <v>1</v>
      </c>
      <c r="M32" s="5">
        <v>1</v>
      </c>
      <c r="N32" s="2"/>
      <c r="O32" s="5" t="s">
        <v>26</v>
      </c>
      <c r="P32" s="5">
        <v>1</v>
      </c>
      <c r="Q32" s="5">
        <v>1</v>
      </c>
      <c r="R32" s="5">
        <v>1</v>
      </c>
      <c r="S32" s="5">
        <v>1</v>
      </c>
      <c r="T32" s="5">
        <v>1</v>
      </c>
      <c r="U32" s="2"/>
      <c r="V32" s="5" t="s">
        <v>32</v>
      </c>
      <c r="W32" s="5">
        <v>1</v>
      </c>
      <c r="X32" s="5">
        <v>1</v>
      </c>
      <c r="Y32" s="5">
        <v>1</v>
      </c>
      <c r="Z32" s="5">
        <v>1</v>
      </c>
      <c r="AA32" s="5">
        <v>1</v>
      </c>
      <c r="AB32" s="2"/>
      <c r="AC32" s="2"/>
      <c r="AD32" s="2"/>
      <c r="AE32" s="2"/>
      <c r="AF32" s="2"/>
      <c r="AG32" s="2"/>
      <c r="AH32" s="2"/>
      <c r="AI32" s="2"/>
      <c r="AJ32" s="2"/>
      <c r="AK32" s="5" t="s">
        <v>10</v>
      </c>
      <c r="AL32" s="5">
        <v>1</v>
      </c>
      <c r="AM32" s="5">
        <v>1</v>
      </c>
      <c r="AN32" s="5">
        <v>1</v>
      </c>
      <c r="AO32" s="5">
        <v>1</v>
      </c>
      <c r="AP32" s="5">
        <v>1</v>
      </c>
      <c r="AQ32" s="2"/>
      <c r="AR32" s="5" t="s">
        <v>26</v>
      </c>
      <c r="AS32" s="5">
        <v>1</v>
      </c>
      <c r="AT32" s="5">
        <v>1</v>
      </c>
      <c r="AU32" s="5">
        <v>1</v>
      </c>
      <c r="AV32" s="5">
        <v>1</v>
      </c>
      <c r="AW32" s="5">
        <v>1</v>
      </c>
      <c r="AX32" s="2"/>
      <c r="AY32" s="5" t="s">
        <v>32</v>
      </c>
      <c r="AZ32" s="5">
        <v>1</v>
      </c>
      <c r="BA32" s="5">
        <v>1</v>
      </c>
      <c r="BB32" s="5">
        <v>1</v>
      </c>
      <c r="BC32" s="5">
        <v>1</v>
      </c>
      <c r="BD32" s="5">
        <v>1</v>
      </c>
      <c r="BE32" s="5">
        <v>1</v>
      </c>
      <c r="BF32" s="5">
        <v>1</v>
      </c>
      <c r="BG32" s="5">
        <v>1</v>
      </c>
      <c r="BH32" s="5">
        <v>1</v>
      </c>
    </row>
    <row r="33" spans="1:60" ht="14.25" customHeight="1">
      <c r="A33" s="2"/>
      <c r="B33" s="2"/>
      <c r="C33" s="2"/>
      <c r="D33" s="2"/>
      <c r="E33" s="2"/>
      <c r="F33" s="2"/>
      <c r="G33" s="2"/>
      <c r="H33" s="5">
        <v>32</v>
      </c>
      <c r="I33" s="5">
        <v>1</v>
      </c>
      <c r="J33" s="5">
        <v>1</v>
      </c>
      <c r="K33" s="5">
        <v>1</v>
      </c>
      <c r="L33" s="5">
        <v>1</v>
      </c>
      <c r="M33" s="5">
        <v>1</v>
      </c>
      <c r="N33" s="2"/>
      <c r="O33" s="5">
        <v>32</v>
      </c>
      <c r="P33" s="5">
        <v>1</v>
      </c>
      <c r="Q33" s="5">
        <v>1</v>
      </c>
      <c r="R33" s="5">
        <v>1</v>
      </c>
      <c r="S33" s="5">
        <v>1</v>
      </c>
      <c r="T33" s="5">
        <v>1</v>
      </c>
      <c r="U33" s="2"/>
      <c r="V33" s="5">
        <v>32</v>
      </c>
      <c r="W33" s="5">
        <v>1</v>
      </c>
      <c r="X33" s="5">
        <v>1</v>
      </c>
      <c r="Y33" s="5">
        <v>1</v>
      </c>
      <c r="Z33" s="5">
        <v>1</v>
      </c>
      <c r="AA33" s="5">
        <v>1</v>
      </c>
      <c r="AB33" s="2"/>
      <c r="AC33" s="2"/>
      <c r="AD33" s="2"/>
      <c r="AE33" s="2"/>
      <c r="AF33" s="2"/>
      <c r="AG33" s="2"/>
      <c r="AH33" s="2"/>
      <c r="AI33" s="2"/>
      <c r="AJ33" s="2"/>
      <c r="AK33" s="5">
        <v>32</v>
      </c>
      <c r="AL33" s="5">
        <v>1</v>
      </c>
      <c r="AM33" s="5">
        <v>1</v>
      </c>
      <c r="AN33" s="5">
        <v>1</v>
      </c>
      <c r="AO33" s="5">
        <v>1</v>
      </c>
      <c r="AP33" s="5">
        <v>1</v>
      </c>
      <c r="AQ33" s="2"/>
      <c r="AR33" s="5">
        <v>32</v>
      </c>
      <c r="AS33" s="5">
        <v>1</v>
      </c>
      <c r="AT33" s="5">
        <v>1</v>
      </c>
      <c r="AU33" s="5">
        <v>1</v>
      </c>
      <c r="AV33" s="5">
        <v>1</v>
      </c>
      <c r="AW33" s="5">
        <v>1</v>
      </c>
      <c r="AX33" s="2"/>
      <c r="AY33" s="5">
        <v>32</v>
      </c>
      <c r="AZ33" s="5">
        <v>1</v>
      </c>
      <c r="BA33" s="5">
        <v>1</v>
      </c>
      <c r="BB33" s="5">
        <v>1</v>
      </c>
      <c r="BC33" s="5">
        <v>1</v>
      </c>
      <c r="BD33" s="5">
        <v>1</v>
      </c>
      <c r="BE33" s="5">
        <v>1</v>
      </c>
      <c r="BF33" s="5">
        <v>1</v>
      </c>
      <c r="BG33" s="5">
        <v>1</v>
      </c>
      <c r="BH33" s="5">
        <v>1</v>
      </c>
    </row>
    <row r="34" spans="1:60" ht="14.25" customHeight="1">
      <c r="A34" s="2"/>
      <c r="B34" s="2"/>
      <c r="C34" s="2"/>
      <c r="D34" s="2"/>
      <c r="E34" s="2"/>
      <c r="F34" s="2"/>
      <c r="G34" s="2"/>
      <c r="H34" s="5">
        <v>33</v>
      </c>
      <c r="I34" s="5">
        <v>1</v>
      </c>
      <c r="J34" s="5">
        <v>1</v>
      </c>
      <c r="K34" s="5">
        <v>1</v>
      </c>
      <c r="L34" s="5">
        <v>1</v>
      </c>
      <c r="M34" s="5">
        <v>1</v>
      </c>
      <c r="N34" s="2"/>
      <c r="O34" s="5">
        <v>33</v>
      </c>
      <c r="P34" s="5">
        <v>1</v>
      </c>
      <c r="Q34" s="5">
        <v>1</v>
      </c>
      <c r="R34" s="5">
        <v>1</v>
      </c>
      <c r="S34" s="5">
        <v>1</v>
      </c>
      <c r="T34" s="5">
        <v>1</v>
      </c>
      <c r="U34" s="2"/>
      <c r="V34" s="5">
        <v>33</v>
      </c>
      <c r="W34" s="5">
        <v>1</v>
      </c>
      <c r="X34" s="5">
        <v>1</v>
      </c>
      <c r="Y34" s="5">
        <v>1</v>
      </c>
      <c r="Z34" s="5">
        <v>1</v>
      </c>
      <c r="AA34" s="5">
        <v>1</v>
      </c>
      <c r="AB34" s="2"/>
      <c r="AC34" s="2"/>
      <c r="AD34" s="2"/>
      <c r="AE34" s="2"/>
      <c r="AF34" s="2"/>
      <c r="AG34" s="2"/>
      <c r="AH34" s="2"/>
      <c r="AI34" s="2"/>
      <c r="AJ34" s="2"/>
      <c r="AK34" s="5">
        <v>33</v>
      </c>
      <c r="AL34" s="5">
        <v>1</v>
      </c>
      <c r="AM34" s="5">
        <v>1</v>
      </c>
      <c r="AN34" s="5">
        <v>1</v>
      </c>
      <c r="AO34" s="5">
        <v>1</v>
      </c>
      <c r="AP34" s="5">
        <v>1</v>
      </c>
      <c r="AQ34" s="2"/>
      <c r="AR34" s="5">
        <v>33</v>
      </c>
      <c r="AS34" s="5">
        <v>1</v>
      </c>
      <c r="AT34" s="5">
        <v>1</v>
      </c>
      <c r="AU34" s="5">
        <v>1</v>
      </c>
      <c r="AV34" s="5">
        <v>1</v>
      </c>
      <c r="AW34" s="5">
        <v>1</v>
      </c>
      <c r="AX34" s="2"/>
      <c r="AY34" s="5">
        <v>33</v>
      </c>
      <c r="AZ34" s="5">
        <v>1</v>
      </c>
      <c r="BA34" s="5">
        <v>1</v>
      </c>
      <c r="BB34" s="5">
        <v>1</v>
      </c>
      <c r="BC34" s="5">
        <v>1</v>
      </c>
      <c r="BD34" s="5">
        <v>1</v>
      </c>
      <c r="BE34" s="5">
        <v>1</v>
      </c>
      <c r="BF34" s="5">
        <v>1</v>
      </c>
      <c r="BG34" s="5">
        <v>1</v>
      </c>
      <c r="BH34" s="5">
        <v>1</v>
      </c>
    </row>
    <row r="35" spans="1:60" ht="14.25" customHeight="1">
      <c r="A35" s="2"/>
      <c r="B35" s="2"/>
      <c r="C35" s="2"/>
      <c r="D35" s="2"/>
      <c r="E35" s="2"/>
      <c r="F35" s="2"/>
      <c r="G35" s="2"/>
      <c r="H35" s="5">
        <v>34</v>
      </c>
      <c r="I35" s="5">
        <v>1</v>
      </c>
      <c r="J35" s="5">
        <v>1</v>
      </c>
      <c r="K35" s="5">
        <v>1</v>
      </c>
      <c r="L35" s="5">
        <v>1</v>
      </c>
      <c r="M35" s="5">
        <v>1</v>
      </c>
      <c r="N35" s="2"/>
      <c r="O35" s="5">
        <v>34</v>
      </c>
      <c r="P35" s="5">
        <v>1</v>
      </c>
      <c r="Q35" s="5">
        <v>1</v>
      </c>
      <c r="R35" s="5">
        <v>1</v>
      </c>
      <c r="S35" s="5">
        <v>1</v>
      </c>
      <c r="T35" s="5">
        <v>1</v>
      </c>
      <c r="U35" s="2"/>
      <c r="V35" s="5">
        <v>34</v>
      </c>
      <c r="W35" s="5">
        <v>1</v>
      </c>
      <c r="X35" s="5">
        <v>1</v>
      </c>
      <c r="Y35" s="5">
        <v>1</v>
      </c>
      <c r="Z35" s="5">
        <v>1</v>
      </c>
      <c r="AA35" s="5">
        <v>1</v>
      </c>
      <c r="AB35" s="2"/>
      <c r="AC35" s="2"/>
      <c r="AD35" s="2"/>
      <c r="AE35" s="2"/>
      <c r="AF35" s="2"/>
      <c r="AG35" s="2"/>
      <c r="AH35" s="2"/>
      <c r="AI35" s="2"/>
      <c r="AJ35" s="2"/>
      <c r="AK35" s="5">
        <v>34</v>
      </c>
      <c r="AL35" s="5">
        <v>1</v>
      </c>
      <c r="AM35" s="5">
        <v>1</v>
      </c>
      <c r="AN35" s="5">
        <v>1</v>
      </c>
      <c r="AO35" s="5">
        <v>1</v>
      </c>
      <c r="AP35" s="5">
        <v>1</v>
      </c>
      <c r="AQ35" s="2"/>
      <c r="AR35" s="5">
        <v>34</v>
      </c>
      <c r="AS35" s="5">
        <v>1</v>
      </c>
      <c r="AT35" s="5">
        <v>1</v>
      </c>
      <c r="AU35" s="5">
        <v>1</v>
      </c>
      <c r="AV35" s="5">
        <v>1</v>
      </c>
      <c r="AW35" s="5">
        <v>1</v>
      </c>
      <c r="AX35" s="2"/>
      <c r="AY35" s="5">
        <v>34</v>
      </c>
      <c r="AZ35" s="5">
        <v>1</v>
      </c>
      <c r="BA35" s="5">
        <v>1</v>
      </c>
      <c r="BB35" s="5">
        <v>1</v>
      </c>
      <c r="BC35" s="5">
        <v>1</v>
      </c>
      <c r="BD35" s="5">
        <v>1</v>
      </c>
      <c r="BE35" s="5">
        <v>1</v>
      </c>
      <c r="BF35" s="5">
        <v>1</v>
      </c>
      <c r="BG35" s="5">
        <v>1</v>
      </c>
      <c r="BH35" s="5">
        <v>1</v>
      </c>
    </row>
    <row r="36" spans="1:60" ht="14.25" customHeight="1">
      <c r="A36" s="2"/>
      <c r="B36" s="2"/>
      <c r="C36" s="2"/>
      <c r="D36" s="2"/>
      <c r="E36" s="2"/>
      <c r="F36" s="2"/>
      <c r="G36" s="2"/>
      <c r="H36" s="5">
        <v>35</v>
      </c>
      <c r="I36" s="5">
        <v>1</v>
      </c>
      <c r="J36" s="5">
        <v>1</v>
      </c>
      <c r="K36" s="5">
        <v>1</v>
      </c>
      <c r="L36" s="5">
        <v>1</v>
      </c>
      <c r="M36" s="5">
        <v>1</v>
      </c>
      <c r="N36" s="2"/>
      <c r="O36" s="5">
        <v>35</v>
      </c>
      <c r="P36" s="5">
        <v>1</v>
      </c>
      <c r="Q36" s="5">
        <v>1</v>
      </c>
      <c r="R36" s="5">
        <v>1</v>
      </c>
      <c r="S36" s="5">
        <v>1</v>
      </c>
      <c r="T36" s="5">
        <v>1</v>
      </c>
      <c r="U36" s="2"/>
      <c r="V36" s="5">
        <v>35</v>
      </c>
      <c r="W36" s="5">
        <v>1</v>
      </c>
      <c r="X36" s="5">
        <v>1</v>
      </c>
      <c r="Y36" s="5">
        <v>1</v>
      </c>
      <c r="Z36" s="5">
        <v>1</v>
      </c>
      <c r="AA36" s="5">
        <v>1</v>
      </c>
      <c r="AB36" s="2"/>
      <c r="AC36" s="2"/>
      <c r="AD36" s="2"/>
      <c r="AE36" s="2"/>
      <c r="AF36" s="2"/>
      <c r="AG36" s="2"/>
      <c r="AH36" s="2"/>
      <c r="AI36" s="2"/>
      <c r="AJ36" s="2"/>
      <c r="AK36" s="5">
        <v>35</v>
      </c>
      <c r="AL36" s="5">
        <v>1</v>
      </c>
      <c r="AM36" s="5">
        <v>1</v>
      </c>
      <c r="AN36" s="5">
        <v>1</v>
      </c>
      <c r="AO36" s="5">
        <v>1</v>
      </c>
      <c r="AP36" s="5">
        <v>1</v>
      </c>
      <c r="AQ36" s="2"/>
      <c r="AR36" s="5">
        <v>35</v>
      </c>
      <c r="AS36" s="5">
        <v>1</v>
      </c>
      <c r="AT36" s="5">
        <v>1</v>
      </c>
      <c r="AU36" s="5">
        <v>1</v>
      </c>
      <c r="AV36" s="5">
        <v>1</v>
      </c>
      <c r="AW36" s="5">
        <v>1</v>
      </c>
      <c r="AX36" s="2"/>
      <c r="AY36" s="5">
        <v>35</v>
      </c>
      <c r="AZ36" s="5">
        <v>1</v>
      </c>
      <c r="BA36" s="5">
        <v>1</v>
      </c>
      <c r="BB36" s="5">
        <v>1</v>
      </c>
      <c r="BC36" s="5">
        <v>1</v>
      </c>
      <c r="BD36" s="5">
        <v>1</v>
      </c>
      <c r="BE36" s="5">
        <v>1</v>
      </c>
      <c r="BF36" s="5">
        <v>1</v>
      </c>
      <c r="BG36" s="5">
        <v>1</v>
      </c>
      <c r="BH36" s="5">
        <v>1</v>
      </c>
    </row>
    <row r="37" spans="1:60" ht="14.25" customHeight="1">
      <c r="A37" s="2"/>
      <c r="B37" s="2"/>
      <c r="C37" s="2"/>
      <c r="D37" s="2"/>
      <c r="E37" s="2"/>
      <c r="F37" s="2"/>
      <c r="G37" s="2"/>
      <c r="H37" s="5" t="s">
        <v>11</v>
      </c>
      <c r="I37" s="5">
        <v>1</v>
      </c>
      <c r="J37" s="5">
        <v>1</v>
      </c>
      <c r="K37" s="5">
        <v>1</v>
      </c>
      <c r="L37" s="5">
        <v>1</v>
      </c>
      <c r="M37" s="5">
        <v>1</v>
      </c>
      <c r="N37" s="2"/>
      <c r="O37" s="5" t="s">
        <v>27</v>
      </c>
      <c r="P37" s="5">
        <v>1</v>
      </c>
      <c r="Q37" s="5">
        <v>1</v>
      </c>
      <c r="R37" s="5">
        <v>1</v>
      </c>
      <c r="S37" s="5">
        <v>1</v>
      </c>
      <c r="T37" s="5">
        <v>1</v>
      </c>
      <c r="U37" s="2"/>
      <c r="V37" s="5" t="s">
        <v>33</v>
      </c>
      <c r="W37" s="5">
        <v>1</v>
      </c>
      <c r="X37" s="5">
        <v>1</v>
      </c>
      <c r="Y37" s="5">
        <v>1</v>
      </c>
      <c r="Z37" s="5">
        <v>1</v>
      </c>
      <c r="AA37" s="5">
        <v>1</v>
      </c>
      <c r="AB37" s="2"/>
      <c r="AC37" s="2"/>
      <c r="AD37" s="2"/>
      <c r="AE37" s="2"/>
      <c r="AF37" s="2"/>
      <c r="AG37" s="2"/>
      <c r="AH37" s="2"/>
      <c r="AI37" s="2"/>
      <c r="AJ37" s="2"/>
      <c r="AK37" s="5" t="s">
        <v>11</v>
      </c>
      <c r="AL37" s="5">
        <v>1</v>
      </c>
      <c r="AM37" s="5">
        <v>1</v>
      </c>
      <c r="AN37" s="5">
        <v>1</v>
      </c>
      <c r="AO37" s="5">
        <v>1</v>
      </c>
      <c r="AP37" s="5">
        <v>1</v>
      </c>
      <c r="AQ37" s="2"/>
      <c r="AR37" s="5" t="s">
        <v>27</v>
      </c>
      <c r="AS37" s="5">
        <v>1</v>
      </c>
      <c r="AT37" s="5">
        <v>1</v>
      </c>
      <c r="AU37" s="5">
        <v>1</v>
      </c>
      <c r="AV37" s="5">
        <v>1</v>
      </c>
      <c r="AW37" s="5">
        <v>1</v>
      </c>
      <c r="AX37" s="2"/>
      <c r="AY37" s="5" t="s">
        <v>33</v>
      </c>
      <c r="AZ37" s="5">
        <v>1</v>
      </c>
      <c r="BA37" s="5">
        <v>1</v>
      </c>
      <c r="BB37" s="5">
        <v>1</v>
      </c>
      <c r="BC37" s="5">
        <v>1</v>
      </c>
      <c r="BD37" s="5">
        <v>1</v>
      </c>
      <c r="BE37" s="5">
        <v>1</v>
      </c>
      <c r="BF37" s="5">
        <v>1</v>
      </c>
      <c r="BG37" s="5">
        <v>1</v>
      </c>
      <c r="BH37" s="5">
        <v>1</v>
      </c>
    </row>
    <row r="38" spans="1:60" ht="14.25" customHeight="1">
      <c r="A38" s="2"/>
      <c r="B38" s="2"/>
      <c r="C38" s="2"/>
      <c r="D38" s="2"/>
      <c r="E38" s="2"/>
      <c r="F38" s="2"/>
      <c r="G38" s="2"/>
      <c r="H38" s="5">
        <v>37</v>
      </c>
      <c r="I38" s="5">
        <v>1</v>
      </c>
      <c r="J38" s="5">
        <v>1</v>
      </c>
      <c r="K38" s="5">
        <v>1</v>
      </c>
      <c r="L38" s="5">
        <v>1</v>
      </c>
      <c r="M38" s="5">
        <v>1</v>
      </c>
      <c r="N38" s="2"/>
      <c r="O38" s="5">
        <v>37</v>
      </c>
      <c r="P38" s="5">
        <v>1</v>
      </c>
      <c r="Q38" s="5">
        <v>1</v>
      </c>
      <c r="R38" s="5">
        <v>1</v>
      </c>
      <c r="S38" s="5">
        <v>1</v>
      </c>
      <c r="T38" s="5">
        <v>1</v>
      </c>
      <c r="U38" s="2"/>
      <c r="V38" s="5">
        <v>37</v>
      </c>
      <c r="W38" s="5">
        <v>1</v>
      </c>
      <c r="X38" s="5">
        <v>1</v>
      </c>
      <c r="Y38" s="5">
        <v>1</v>
      </c>
      <c r="Z38" s="5">
        <v>1</v>
      </c>
      <c r="AA38" s="5">
        <v>1</v>
      </c>
      <c r="AB38" s="2"/>
      <c r="AC38" s="2"/>
      <c r="AD38" s="2"/>
      <c r="AE38" s="2"/>
      <c r="AF38" s="2"/>
      <c r="AG38" s="2"/>
      <c r="AH38" s="2"/>
      <c r="AI38" s="2"/>
      <c r="AJ38" s="2"/>
      <c r="AK38" s="5">
        <v>37</v>
      </c>
      <c r="AL38" s="5">
        <v>1</v>
      </c>
      <c r="AM38" s="5">
        <v>1</v>
      </c>
      <c r="AN38" s="5">
        <v>1</v>
      </c>
      <c r="AO38" s="5">
        <v>1</v>
      </c>
      <c r="AP38" s="5">
        <v>1</v>
      </c>
      <c r="AQ38" s="2"/>
      <c r="AR38" s="5">
        <v>37</v>
      </c>
      <c r="AS38" s="5">
        <v>1</v>
      </c>
      <c r="AT38" s="5">
        <v>1</v>
      </c>
      <c r="AU38" s="5">
        <v>1</v>
      </c>
      <c r="AV38" s="5">
        <v>1</v>
      </c>
      <c r="AW38" s="5">
        <v>1</v>
      </c>
      <c r="AX38" s="2"/>
      <c r="AY38" s="5">
        <v>37</v>
      </c>
      <c r="AZ38" s="5">
        <v>1</v>
      </c>
      <c r="BA38" s="5">
        <v>1</v>
      </c>
      <c r="BB38" s="5">
        <v>1</v>
      </c>
      <c r="BC38" s="5">
        <v>1</v>
      </c>
      <c r="BD38" s="5">
        <v>1</v>
      </c>
      <c r="BE38" s="5">
        <v>1</v>
      </c>
      <c r="BF38" s="5">
        <v>1</v>
      </c>
      <c r="BG38" s="5">
        <v>1</v>
      </c>
      <c r="BH38" s="5">
        <v>1</v>
      </c>
    </row>
    <row r="39" spans="1:60" ht="14.25" customHeight="1">
      <c r="A39" s="2"/>
      <c r="B39" s="2"/>
      <c r="C39" s="2"/>
      <c r="D39" s="2"/>
      <c r="E39" s="2"/>
      <c r="F39" s="2"/>
      <c r="G39" s="2"/>
      <c r="H39" s="5">
        <v>38</v>
      </c>
      <c r="I39" s="5">
        <v>1</v>
      </c>
      <c r="J39" s="5">
        <v>1</v>
      </c>
      <c r="K39" s="5">
        <v>1</v>
      </c>
      <c r="L39" s="5">
        <v>1</v>
      </c>
      <c r="M39" s="5">
        <v>1</v>
      </c>
      <c r="N39" s="2"/>
      <c r="O39" s="5">
        <v>38</v>
      </c>
      <c r="P39" s="5">
        <v>1</v>
      </c>
      <c r="Q39" s="5">
        <v>1</v>
      </c>
      <c r="R39" s="5">
        <v>1</v>
      </c>
      <c r="S39" s="5">
        <v>1</v>
      </c>
      <c r="T39" s="5">
        <v>1</v>
      </c>
      <c r="U39" s="2"/>
      <c r="V39" s="5">
        <v>38</v>
      </c>
      <c r="W39" s="5">
        <v>1</v>
      </c>
      <c r="X39" s="5">
        <v>1</v>
      </c>
      <c r="Y39" s="5">
        <v>1</v>
      </c>
      <c r="Z39" s="5">
        <v>1</v>
      </c>
      <c r="AA39" s="5">
        <v>1</v>
      </c>
      <c r="AB39" s="2"/>
      <c r="AC39" s="2"/>
      <c r="AD39" s="2"/>
      <c r="AE39" s="2"/>
      <c r="AF39" s="2"/>
      <c r="AG39" s="2"/>
      <c r="AH39" s="2"/>
      <c r="AI39" s="2"/>
      <c r="AJ39" s="2"/>
      <c r="AK39" s="5">
        <v>38</v>
      </c>
      <c r="AL39" s="5">
        <v>1</v>
      </c>
      <c r="AM39" s="5">
        <v>1</v>
      </c>
      <c r="AN39" s="5">
        <v>1</v>
      </c>
      <c r="AO39" s="5">
        <v>1</v>
      </c>
      <c r="AP39" s="5">
        <v>1</v>
      </c>
      <c r="AQ39" s="2"/>
      <c r="AR39" s="5">
        <v>38</v>
      </c>
      <c r="AS39" s="5">
        <v>1</v>
      </c>
      <c r="AT39" s="5">
        <v>1</v>
      </c>
      <c r="AU39" s="5">
        <v>1</v>
      </c>
      <c r="AV39" s="5">
        <v>1</v>
      </c>
      <c r="AW39" s="5">
        <v>1</v>
      </c>
      <c r="AX39" s="2"/>
      <c r="AY39" s="5">
        <v>38</v>
      </c>
      <c r="AZ39" s="5">
        <v>1</v>
      </c>
      <c r="BA39" s="5">
        <v>1</v>
      </c>
      <c r="BB39" s="5">
        <v>1</v>
      </c>
      <c r="BC39" s="5">
        <v>1</v>
      </c>
      <c r="BD39" s="5">
        <v>1</v>
      </c>
      <c r="BE39" s="5">
        <v>1</v>
      </c>
      <c r="BF39" s="5">
        <v>1</v>
      </c>
      <c r="BG39" s="5">
        <v>1</v>
      </c>
      <c r="BH39" s="5">
        <v>1</v>
      </c>
    </row>
    <row r="40" spans="1:60" ht="14.25" customHeight="1">
      <c r="A40" s="2"/>
      <c r="B40" s="2"/>
      <c r="C40" s="2"/>
      <c r="D40" s="2"/>
      <c r="E40" s="2"/>
      <c r="F40" s="2"/>
      <c r="G40" s="2"/>
      <c r="H40" s="5">
        <v>39</v>
      </c>
      <c r="I40" s="5">
        <v>1</v>
      </c>
      <c r="J40" s="5">
        <v>1</v>
      </c>
      <c r="K40" s="5">
        <v>1</v>
      </c>
      <c r="L40" s="5">
        <v>1</v>
      </c>
      <c r="M40" s="5">
        <v>1</v>
      </c>
      <c r="N40" s="2"/>
      <c r="O40" s="5">
        <v>39</v>
      </c>
      <c r="P40" s="5">
        <v>1</v>
      </c>
      <c r="Q40" s="5">
        <v>1</v>
      </c>
      <c r="R40" s="5">
        <v>1</v>
      </c>
      <c r="S40" s="5">
        <v>1</v>
      </c>
      <c r="T40" s="5">
        <v>1</v>
      </c>
      <c r="U40" s="2"/>
      <c r="V40" s="5">
        <v>39</v>
      </c>
      <c r="W40" s="5">
        <v>1</v>
      </c>
      <c r="X40" s="5">
        <v>1</v>
      </c>
      <c r="Y40" s="5">
        <v>1</v>
      </c>
      <c r="Z40" s="5">
        <v>1</v>
      </c>
      <c r="AA40" s="5">
        <v>1</v>
      </c>
      <c r="AB40" s="2"/>
      <c r="AC40" s="2"/>
      <c r="AD40" s="2"/>
      <c r="AE40" s="2"/>
      <c r="AF40" s="2"/>
      <c r="AG40" s="2"/>
      <c r="AH40" s="2"/>
      <c r="AI40" s="2"/>
      <c r="AJ40" s="2"/>
      <c r="AK40" s="5">
        <v>39</v>
      </c>
      <c r="AL40" s="5">
        <v>1</v>
      </c>
      <c r="AM40" s="5">
        <v>1</v>
      </c>
      <c r="AN40" s="5">
        <v>1</v>
      </c>
      <c r="AO40" s="5">
        <v>1</v>
      </c>
      <c r="AP40" s="5">
        <v>1</v>
      </c>
      <c r="AQ40" s="2"/>
      <c r="AR40" s="5">
        <v>39</v>
      </c>
      <c r="AS40" s="5">
        <v>1</v>
      </c>
      <c r="AT40" s="5">
        <v>1</v>
      </c>
      <c r="AU40" s="5">
        <v>1</v>
      </c>
      <c r="AV40" s="5">
        <v>1</v>
      </c>
      <c r="AW40" s="5">
        <v>1</v>
      </c>
      <c r="AX40" s="2"/>
      <c r="AY40" s="5">
        <v>39</v>
      </c>
      <c r="AZ40" s="5">
        <v>1</v>
      </c>
      <c r="BA40" s="5">
        <v>1</v>
      </c>
      <c r="BB40" s="5">
        <v>1</v>
      </c>
      <c r="BC40" s="5">
        <v>1</v>
      </c>
      <c r="BD40" s="5">
        <v>1</v>
      </c>
      <c r="BE40" s="5">
        <v>1</v>
      </c>
      <c r="BF40" s="5">
        <v>1</v>
      </c>
      <c r="BG40" s="5">
        <v>1</v>
      </c>
      <c r="BH40" s="5">
        <v>1</v>
      </c>
    </row>
    <row r="41" spans="1:60" ht="14.25" customHeight="1">
      <c r="A41" s="2"/>
      <c r="B41" s="2"/>
      <c r="C41" s="2"/>
      <c r="D41" s="2"/>
      <c r="E41" s="2"/>
      <c r="F41" s="2"/>
      <c r="G41" s="2"/>
      <c r="H41" s="5">
        <v>40</v>
      </c>
      <c r="I41" s="5">
        <v>1</v>
      </c>
      <c r="J41" s="5">
        <v>1</v>
      </c>
      <c r="K41" s="5">
        <v>1</v>
      </c>
      <c r="L41" s="5">
        <v>1</v>
      </c>
      <c r="M41" s="5">
        <v>1</v>
      </c>
      <c r="N41" s="2"/>
      <c r="O41" s="5">
        <v>40</v>
      </c>
      <c r="P41" s="5">
        <v>1</v>
      </c>
      <c r="Q41" s="5">
        <v>1</v>
      </c>
      <c r="R41" s="5">
        <v>1</v>
      </c>
      <c r="S41" s="5">
        <v>1</v>
      </c>
      <c r="T41" s="5">
        <v>1</v>
      </c>
      <c r="U41" s="2"/>
      <c r="V41" s="5">
        <v>40</v>
      </c>
      <c r="W41" s="5">
        <v>1</v>
      </c>
      <c r="X41" s="5">
        <v>1</v>
      </c>
      <c r="Y41" s="5">
        <v>1</v>
      </c>
      <c r="Z41" s="5">
        <v>1</v>
      </c>
      <c r="AA41" s="5">
        <v>1</v>
      </c>
      <c r="AB41" s="2"/>
      <c r="AC41" s="2"/>
      <c r="AD41" s="2"/>
      <c r="AE41" s="2"/>
      <c r="AF41" s="2"/>
      <c r="AG41" s="2"/>
      <c r="AH41" s="2"/>
      <c r="AI41" s="2"/>
      <c r="AJ41" s="2"/>
      <c r="AK41" s="5">
        <v>40</v>
      </c>
      <c r="AL41" s="5">
        <v>1</v>
      </c>
      <c r="AM41" s="5">
        <v>1</v>
      </c>
      <c r="AN41" s="5">
        <v>1</v>
      </c>
      <c r="AO41" s="5">
        <v>1</v>
      </c>
      <c r="AP41" s="5">
        <v>1</v>
      </c>
      <c r="AQ41" s="2"/>
      <c r="AR41" s="5">
        <v>40</v>
      </c>
      <c r="AS41" s="5">
        <v>1</v>
      </c>
      <c r="AT41" s="5">
        <v>1</v>
      </c>
      <c r="AU41" s="5">
        <v>1</v>
      </c>
      <c r="AV41" s="5">
        <v>1</v>
      </c>
      <c r="AW41" s="5">
        <v>1</v>
      </c>
      <c r="AX41" s="2"/>
      <c r="AY41" s="5">
        <v>40</v>
      </c>
      <c r="AZ41" s="5">
        <v>1</v>
      </c>
      <c r="BA41" s="5">
        <v>1</v>
      </c>
      <c r="BB41" s="5">
        <v>1</v>
      </c>
      <c r="BC41" s="5">
        <v>1</v>
      </c>
      <c r="BD41" s="5">
        <v>1</v>
      </c>
      <c r="BE41" s="5">
        <v>1</v>
      </c>
      <c r="BF41" s="5">
        <v>1</v>
      </c>
      <c r="BG41" s="5">
        <v>1</v>
      </c>
      <c r="BH41" s="5">
        <v>1</v>
      </c>
    </row>
    <row r="42" spans="1:60" ht="14.25" customHeight="1">
      <c r="A42" s="2"/>
      <c r="B42" s="2"/>
      <c r="C42" s="2"/>
      <c r="D42" s="2"/>
      <c r="E42" s="2"/>
      <c r="F42" s="2"/>
      <c r="G42" s="2"/>
      <c r="H42" s="5" t="s">
        <v>12</v>
      </c>
      <c r="I42" s="5">
        <v>1</v>
      </c>
      <c r="J42" s="5">
        <v>1</v>
      </c>
      <c r="K42" s="5">
        <v>1</v>
      </c>
      <c r="L42" s="5">
        <v>1</v>
      </c>
      <c r="M42" s="5">
        <v>1</v>
      </c>
      <c r="N42" s="2"/>
      <c r="O42" s="5" t="s">
        <v>28</v>
      </c>
      <c r="P42" s="5">
        <v>1</v>
      </c>
      <c r="Q42" s="5">
        <v>1</v>
      </c>
      <c r="R42" s="5">
        <v>1</v>
      </c>
      <c r="S42" s="5">
        <v>1</v>
      </c>
      <c r="T42" s="5">
        <v>1</v>
      </c>
      <c r="U42" s="2"/>
      <c r="V42" s="5" t="s">
        <v>34</v>
      </c>
      <c r="W42" s="5">
        <v>1</v>
      </c>
      <c r="X42" s="5">
        <v>1</v>
      </c>
      <c r="Y42" s="5">
        <v>1</v>
      </c>
      <c r="Z42" s="5">
        <v>1</v>
      </c>
      <c r="AA42" s="5">
        <v>1</v>
      </c>
      <c r="AB42" s="2"/>
      <c r="AC42" s="2"/>
      <c r="AD42" s="2"/>
      <c r="AE42" s="2"/>
      <c r="AF42" s="2"/>
      <c r="AG42" s="2"/>
      <c r="AH42" s="2"/>
      <c r="AI42" s="2"/>
      <c r="AJ42" s="2"/>
      <c r="AK42" s="5" t="s">
        <v>12</v>
      </c>
      <c r="AL42" s="5">
        <v>1</v>
      </c>
      <c r="AM42" s="5">
        <v>1</v>
      </c>
      <c r="AN42" s="5">
        <v>1</v>
      </c>
      <c r="AO42" s="5">
        <v>1</v>
      </c>
      <c r="AP42" s="5">
        <v>1</v>
      </c>
      <c r="AQ42" s="2"/>
      <c r="AR42" s="5" t="s">
        <v>28</v>
      </c>
      <c r="AS42" s="5">
        <v>1</v>
      </c>
      <c r="AT42" s="5">
        <v>1</v>
      </c>
      <c r="AU42" s="5">
        <v>1</v>
      </c>
      <c r="AV42" s="5">
        <v>1</v>
      </c>
      <c r="AW42" s="5">
        <v>1</v>
      </c>
      <c r="AX42" s="2"/>
      <c r="AY42" s="5" t="s">
        <v>34</v>
      </c>
      <c r="AZ42" s="5">
        <v>1</v>
      </c>
      <c r="BA42" s="5">
        <v>1</v>
      </c>
      <c r="BB42" s="5">
        <v>1</v>
      </c>
      <c r="BC42" s="5">
        <v>1</v>
      </c>
      <c r="BD42" s="5">
        <v>1</v>
      </c>
      <c r="BE42" s="5">
        <v>1</v>
      </c>
      <c r="BF42" s="5">
        <v>1</v>
      </c>
      <c r="BG42" s="5">
        <v>1</v>
      </c>
      <c r="BH42" s="5">
        <v>1</v>
      </c>
    </row>
    <row r="43" spans="1:60" ht="14.25" customHeight="1">
      <c r="A43" s="2"/>
      <c r="B43" s="2"/>
      <c r="C43" s="2"/>
      <c r="D43" s="2"/>
      <c r="E43" s="2"/>
      <c r="F43" s="2"/>
      <c r="G43" s="2"/>
      <c r="H43" s="5">
        <v>42</v>
      </c>
      <c r="I43" s="5">
        <v>1</v>
      </c>
      <c r="J43" s="5">
        <v>1</v>
      </c>
      <c r="K43" s="5">
        <v>1</v>
      </c>
      <c r="L43" s="5">
        <v>1</v>
      </c>
      <c r="M43" s="5">
        <v>1</v>
      </c>
      <c r="N43" s="2"/>
      <c r="O43" s="5">
        <v>42</v>
      </c>
      <c r="P43" s="5">
        <v>1</v>
      </c>
      <c r="Q43" s="5">
        <v>1</v>
      </c>
      <c r="R43" s="5">
        <v>1</v>
      </c>
      <c r="S43" s="5">
        <v>1</v>
      </c>
      <c r="T43" s="5">
        <v>1</v>
      </c>
      <c r="U43" s="2"/>
      <c r="V43" s="5">
        <v>42</v>
      </c>
      <c r="W43" s="5">
        <v>1</v>
      </c>
      <c r="X43" s="5">
        <v>1</v>
      </c>
      <c r="Y43" s="5">
        <v>1</v>
      </c>
      <c r="Z43" s="5">
        <v>1</v>
      </c>
      <c r="AA43" s="5">
        <v>1</v>
      </c>
      <c r="AB43" s="2"/>
      <c r="AC43" s="2"/>
      <c r="AD43" s="2"/>
      <c r="AE43" s="2"/>
      <c r="AF43" s="2"/>
      <c r="AG43" s="2"/>
      <c r="AH43" s="2"/>
      <c r="AI43" s="2"/>
      <c r="AJ43" s="2"/>
      <c r="AK43" s="5">
        <v>42</v>
      </c>
      <c r="AL43" s="5">
        <v>1</v>
      </c>
      <c r="AM43" s="5">
        <v>1</v>
      </c>
      <c r="AN43" s="5">
        <v>1</v>
      </c>
      <c r="AO43" s="5">
        <v>1</v>
      </c>
      <c r="AP43" s="5">
        <v>1</v>
      </c>
      <c r="AQ43" s="2"/>
      <c r="AR43" s="5">
        <v>42</v>
      </c>
      <c r="AS43" s="5">
        <v>1</v>
      </c>
      <c r="AT43" s="5">
        <v>1</v>
      </c>
      <c r="AU43" s="5">
        <v>1</v>
      </c>
      <c r="AV43" s="5">
        <v>1</v>
      </c>
      <c r="AW43" s="5">
        <v>1</v>
      </c>
      <c r="AX43" s="2"/>
      <c r="AY43" s="5">
        <v>42</v>
      </c>
      <c r="AZ43" s="5">
        <v>1</v>
      </c>
      <c r="BA43" s="5">
        <v>1</v>
      </c>
      <c r="BB43" s="5">
        <v>1</v>
      </c>
      <c r="BC43" s="5">
        <v>1</v>
      </c>
      <c r="BD43" s="5">
        <v>1</v>
      </c>
      <c r="BE43" s="5">
        <v>1</v>
      </c>
      <c r="BF43" s="5">
        <v>1</v>
      </c>
      <c r="BG43" s="5">
        <v>1</v>
      </c>
      <c r="BH43" s="5">
        <v>1</v>
      </c>
    </row>
    <row r="44" spans="1:60" ht="14.25" customHeight="1">
      <c r="A44" s="2"/>
      <c r="B44" s="2"/>
      <c r="C44" s="2"/>
      <c r="D44" s="2"/>
      <c r="E44" s="2"/>
      <c r="F44" s="2"/>
      <c r="G44" s="2"/>
      <c r="H44" s="5">
        <v>43</v>
      </c>
      <c r="I44" s="5">
        <v>1</v>
      </c>
      <c r="J44" s="5">
        <v>1</v>
      </c>
      <c r="K44" s="5">
        <v>1</v>
      </c>
      <c r="L44" s="5">
        <v>1</v>
      </c>
      <c r="M44" s="5">
        <v>1</v>
      </c>
      <c r="N44" s="2"/>
      <c r="O44" s="5">
        <v>43</v>
      </c>
      <c r="P44" s="5">
        <v>1</v>
      </c>
      <c r="Q44" s="5">
        <v>1</v>
      </c>
      <c r="R44" s="5">
        <v>1</v>
      </c>
      <c r="S44" s="5">
        <v>1</v>
      </c>
      <c r="T44" s="5">
        <v>1</v>
      </c>
      <c r="U44" s="2"/>
      <c r="V44" s="5">
        <v>43</v>
      </c>
      <c r="W44" s="5">
        <v>1</v>
      </c>
      <c r="X44" s="5">
        <v>1</v>
      </c>
      <c r="Y44" s="5">
        <v>1</v>
      </c>
      <c r="Z44" s="5">
        <v>1</v>
      </c>
      <c r="AA44" s="5">
        <v>1</v>
      </c>
      <c r="AB44" s="2"/>
      <c r="AC44" s="2"/>
      <c r="AD44" s="2"/>
      <c r="AE44" s="2"/>
      <c r="AF44" s="2"/>
      <c r="AG44" s="2"/>
      <c r="AH44" s="2"/>
      <c r="AI44" s="2"/>
      <c r="AJ44" s="2"/>
      <c r="AK44" s="5">
        <v>43</v>
      </c>
      <c r="AL44" s="5">
        <v>1</v>
      </c>
      <c r="AM44" s="5">
        <v>1</v>
      </c>
      <c r="AN44" s="5">
        <v>1</v>
      </c>
      <c r="AO44" s="5">
        <v>1</v>
      </c>
      <c r="AP44" s="5">
        <v>1</v>
      </c>
      <c r="AQ44" s="2"/>
      <c r="AR44" s="5">
        <v>43</v>
      </c>
      <c r="AS44" s="5">
        <v>1</v>
      </c>
      <c r="AT44" s="5">
        <v>1</v>
      </c>
      <c r="AU44" s="5">
        <v>1</v>
      </c>
      <c r="AV44" s="5">
        <v>1</v>
      </c>
      <c r="AW44" s="5">
        <v>1</v>
      </c>
      <c r="AX44" s="2"/>
      <c r="AY44" s="5">
        <v>43</v>
      </c>
      <c r="AZ44" s="5">
        <v>1</v>
      </c>
      <c r="BA44" s="5">
        <v>1</v>
      </c>
      <c r="BB44" s="5">
        <v>1</v>
      </c>
      <c r="BC44" s="5">
        <v>1</v>
      </c>
      <c r="BD44" s="5">
        <v>1</v>
      </c>
      <c r="BE44" s="5">
        <v>1</v>
      </c>
      <c r="BF44" s="5">
        <v>1</v>
      </c>
      <c r="BG44" s="5">
        <v>1</v>
      </c>
      <c r="BH44" s="5">
        <v>1</v>
      </c>
    </row>
    <row r="45" spans="1:60" ht="14.25" customHeight="1">
      <c r="A45" s="2"/>
      <c r="B45" s="2"/>
      <c r="C45" s="2"/>
      <c r="D45" s="2"/>
      <c r="E45" s="2"/>
      <c r="F45" s="2"/>
      <c r="G45" s="2"/>
      <c r="H45" s="5">
        <v>44</v>
      </c>
      <c r="I45" s="5">
        <v>1</v>
      </c>
      <c r="J45" s="5">
        <v>1</v>
      </c>
      <c r="K45" s="5">
        <v>1</v>
      </c>
      <c r="L45" s="5">
        <v>1</v>
      </c>
      <c r="M45" s="5">
        <v>1</v>
      </c>
      <c r="N45" s="2"/>
      <c r="O45" s="5">
        <v>44</v>
      </c>
      <c r="P45" s="5">
        <v>1</v>
      </c>
      <c r="Q45" s="5">
        <v>1</v>
      </c>
      <c r="R45" s="5">
        <v>1</v>
      </c>
      <c r="S45" s="5">
        <v>1</v>
      </c>
      <c r="T45" s="5">
        <v>1</v>
      </c>
      <c r="U45" s="2"/>
      <c r="V45" s="5">
        <v>44</v>
      </c>
      <c r="W45" s="5">
        <v>1</v>
      </c>
      <c r="X45" s="5">
        <v>1</v>
      </c>
      <c r="Y45" s="5">
        <v>1</v>
      </c>
      <c r="Z45" s="5">
        <v>1</v>
      </c>
      <c r="AA45" s="5">
        <v>1</v>
      </c>
      <c r="AB45" s="2"/>
      <c r="AC45" s="2"/>
      <c r="AD45" s="2"/>
      <c r="AE45" s="2"/>
      <c r="AF45" s="2"/>
      <c r="AG45" s="2"/>
      <c r="AH45" s="2"/>
      <c r="AI45" s="2"/>
      <c r="AJ45" s="2"/>
      <c r="AK45" s="5">
        <v>44</v>
      </c>
      <c r="AL45" s="5">
        <v>1</v>
      </c>
      <c r="AM45" s="5">
        <v>1</v>
      </c>
      <c r="AN45" s="5">
        <v>1</v>
      </c>
      <c r="AO45" s="5">
        <v>1</v>
      </c>
      <c r="AP45" s="5">
        <v>1</v>
      </c>
      <c r="AQ45" s="2"/>
      <c r="AR45" s="5">
        <v>44</v>
      </c>
      <c r="AS45" s="5">
        <v>1</v>
      </c>
      <c r="AT45" s="5">
        <v>1</v>
      </c>
      <c r="AU45" s="5">
        <v>1</v>
      </c>
      <c r="AV45" s="5">
        <v>1</v>
      </c>
      <c r="AW45" s="5">
        <v>1</v>
      </c>
      <c r="AX45" s="2"/>
      <c r="AY45" s="5">
        <v>44</v>
      </c>
      <c r="AZ45" s="5">
        <v>1</v>
      </c>
      <c r="BA45" s="5">
        <v>1</v>
      </c>
      <c r="BB45" s="5">
        <v>1</v>
      </c>
      <c r="BC45" s="5">
        <v>1</v>
      </c>
      <c r="BD45" s="5">
        <v>1</v>
      </c>
      <c r="BE45" s="5">
        <v>1</v>
      </c>
      <c r="BF45" s="5">
        <v>1</v>
      </c>
      <c r="BG45" s="5">
        <v>1</v>
      </c>
      <c r="BH45" s="5">
        <v>1</v>
      </c>
    </row>
    <row r="46" spans="1:60" ht="14.25" customHeight="1">
      <c r="A46" s="2"/>
      <c r="B46" s="2"/>
      <c r="C46" s="2"/>
      <c r="D46" s="2"/>
      <c r="E46" s="2"/>
      <c r="F46" s="2"/>
      <c r="G46" s="2"/>
      <c r="H46" s="5">
        <v>45</v>
      </c>
      <c r="I46" s="5">
        <v>1</v>
      </c>
      <c r="J46" s="5">
        <v>1</v>
      </c>
      <c r="K46" s="5">
        <v>1</v>
      </c>
      <c r="L46" s="5">
        <v>1</v>
      </c>
      <c r="M46" s="5">
        <v>1</v>
      </c>
      <c r="N46" s="2"/>
      <c r="O46" s="5">
        <v>45</v>
      </c>
      <c r="P46" s="5">
        <v>1</v>
      </c>
      <c r="Q46" s="5">
        <v>1</v>
      </c>
      <c r="R46" s="5">
        <v>1</v>
      </c>
      <c r="S46" s="5">
        <v>1</v>
      </c>
      <c r="T46" s="5">
        <v>1</v>
      </c>
      <c r="U46" s="2"/>
      <c r="V46" s="5">
        <v>45</v>
      </c>
      <c r="W46" s="5">
        <v>1</v>
      </c>
      <c r="X46" s="5">
        <v>1</v>
      </c>
      <c r="Y46" s="5">
        <v>1</v>
      </c>
      <c r="Z46" s="5">
        <v>1</v>
      </c>
      <c r="AA46" s="5">
        <v>1</v>
      </c>
      <c r="AB46" s="2"/>
      <c r="AC46" s="2"/>
      <c r="AD46" s="2"/>
      <c r="AE46" s="2"/>
      <c r="AF46" s="2"/>
      <c r="AG46" s="2"/>
      <c r="AH46" s="2"/>
      <c r="AI46" s="2"/>
      <c r="AJ46" s="2"/>
      <c r="AK46" s="5">
        <v>45</v>
      </c>
      <c r="AL46" s="5">
        <v>1</v>
      </c>
      <c r="AM46" s="5">
        <v>1</v>
      </c>
      <c r="AN46" s="5">
        <v>1</v>
      </c>
      <c r="AO46" s="5">
        <v>1</v>
      </c>
      <c r="AP46" s="5">
        <v>1</v>
      </c>
      <c r="AQ46" s="2"/>
      <c r="AR46" s="5">
        <v>45</v>
      </c>
      <c r="AS46" s="5">
        <v>1</v>
      </c>
      <c r="AT46" s="5">
        <v>1</v>
      </c>
      <c r="AU46" s="5">
        <v>1</v>
      </c>
      <c r="AV46" s="5">
        <v>1</v>
      </c>
      <c r="AW46" s="5">
        <v>1</v>
      </c>
      <c r="AX46" s="2"/>
      <c r="AY46" s="5">
        <v>45</v>
      </c>
      <c r="AZ46" s="5">
        <v>1</v>
      </c>
      <c r="BA46" s="5">
        <v>1</v>
      </c>
      <c r="BB46" s="5">
        <v>1</v>
      </c>
      <c r="BC46" s="5">
        <v>1</v>
      </c>
      <c r="BD46" s="5">
        <v>1</v>
      </c>
      <c r="BE46" s="5">
        <v>1</v>
      </c>
      <c r="BF46" s="5">
        <v>1</v>
      </c>
      <c r="BG46" s="5">
        <v>1</v>
      </c>
      <c r="BH46" s="5">
        <v>1</v>
      </c>
    </row>
    <row r="47" spans="1:60" ht="14.25" customHeight="1">
      <c r="A47" s="2"/>
      <c r="B47" s="2"/>
      <c r="C47" s="2"/>
      <c r="D47" s="2"/>
      <c r="E47" s="2"/>
      <c r="F47" s="2"/>
      <c r="G47" s="2"/>
      <c r="H47" s="5" t="s">
        <v>19</v>
      </c>
      <c r="I47" s="5">
        <v>1</v>
      </c>
      <c r="J47" s="5">
        <v>1</v>
      </c>
      <c r="K47" s="5">
        <v>1</v>
      </c>
      <c r="L47" s="5">
        <v>1</v>
      </c>
      <c r="M47" s="5">
        <v>1</v>
      </c>
      <c r="N47" s="2"/>
      <c r="O47" s="5" t="s">
        <v>29</v>
      </c>
      <c r="P47" s="5">
        <v>1</v>
      </c>
      <c r="Q47" s="5">
        <v>1</v>
      </c>
      <c r="R47" s="5">
        <v>1</v>
      </c>
      <c r="S47" s="5">
        <v>1</v>
      </c>
      <c r="T47" s="5">
        <v>1</v>
      </c>
      <c r="U47" s="2"/>
      <c r="V47" s="5" t="s">
        <v>35</v>
      </c>
      <c r="W47" s="5">
        <v>1</v>
      </c>
      <c r="X47" s="5">
        <v>1</v>
      </c>
      <c r="Y47" s="5">
        <v>1</v>
      </c>
      <c r="Z47" s="5">
        <v>1</v>
      </c>
      <c r="AA47" s="5">
        <v>1</v>
      </c>
      <c r="AB47" s="2"/>
      <c r="AC47" s="2"/>
      <c r="AD47" s="2"/>
      <c r="AE47" s="2"/>
      <c r="AF47" s="2"/>
      <c r="AG47" s="2"/>
      <c r="AH47" s="2"/>
      <c r="AI47" s="2"/>
      <c r="AJ47" s="2"/>
      <c r="AK47" s="5" t="s">
        <v>19</v>
      </c>
      <c r="AL47" s="5">
        <v>1</v>
      </c>
      <c r="AM47" s="5">
        <v>1</v>
      </c>
      <c r="AN47" s="5">
        <v>1</v>
      </c>
      <c r="AO47" s="5">
        <v>1</v>
      </c>
      <c r="AP47" s="5">
        <v>1</v>
      </c>
      <c r="AQ47" s="2"/>
      <c r="AR47" s="5" t="s">
        <v>29</v>
      </c>
      <c r="AS47" s="5">
        <v>1</v>
      </c>
      <c r="AT47" s="5">
        <v>1</v>
      </c>
      <c r="AU47" s="5">
        <v>1</v>
      </c>
      <c r="AV47" s="5">
        <v>1</v>
      </c>
      <c r="AW47" s="5">
        <v>1</v>
      </c>
      <c r="AX47" s="2"/>
      <c r="AY47" s="5" t="s">
        <v>35</v>
      </c>
      <c r="AZ47" s="5">
        <v>1</v>
      </c>
      <c r="BA47" s="5">
        <v>1</v>
      </c>
      <c r="BB47" s="5">
        <v>1</v>
      </c>
      <c r="BC47" s="5">
        <v>1</v>
      </c>
      <c r="BD47" s="5">
        <v>1</v>
      </c>
      <c r="BE47" s="5">
        <v>1</v>
      </c>
      <c r="BF47" s="5">
        <v>1</v>
      </c>
      <c r="BG47" s="5">
        <v>1</v>
      </c>
      <c r="BH47" s="5">
        <v>1</v>
      </c>
    </row>
    <row r="48" spans="1:60" ht="14.25" customHeight="1">
      <c r="A48" s="2"/>
      <c r="B48" s="2"/>
      <c r="C48" s="2"/>
      <c r="D48" s="2"/>
      <c r="E48" s="2"/>
      <c r="F48" s="2"/>
      <c r="G48" s="2"/>
      <c r="H48" s="5">
        <v>47</v>
      </c>
      <c r="I48" s="5">
        <v>1</v>
      </c>
      <c r="J48" s="5">
        <v>1</v>
      </c>
      <c r="K48" s="5">
        <v>1</v>
      </c>
      <c r="L48" s="5">
        <v>1</v>
      </c>
      <c r="M48" s="5">
        <v>1</v>
      </c>
      <c r="N48" s="2"/>
      <c r="O48" s="5">
        <v>47</v>
      </c>
      <c r="P48" s="5">
        <v>1</v>
      </c>
      <c r="Q48" s="5">
        <v>1</v>
      </c>
      <c r="R48" s="5">
        <v>1</v>
      </c>
      <c r="S48" s="5">
        <v>1</v>
      </c>
      <c r="T48" s="5">
        <v>1</v>
      </c>
      <c r="U48" s="2"/>
      <c r="V48" s="5">
        <v>47</v>
      </c>
      <c r="W48" s="5">
        <v>1</v>
      </c>
      <c r="X48" s="5">
        <v>1</v>
      </c>
      <c r="Y48" s="5">
        <v>1</v>
      </c>
      <c r="Z48" s="5">
        <v>1</v>
      </c>
      <c r="AA48" s="5">
        <v>1</v>
      </c>
      <c r="AB48" s="2"/>
      <c r="AC48" s="2"/>
      <c r="AD48" s="2"/>
      <c r="AE48" s="2"/>
      <c r="AF48" s="2"/>
      <c r="AG48" s="2"/>
      <c r="AH48" s="2"/>
      <c r="AI48" s="2"/>
      <c r="AJ48" s="2"/>
      <c r="AK48" s="5">
        <v>47</v>
      </c>
      <c r="AL48" s="5">
        <v>1</v>
      </c>
      <c r="AM48" s="5">
        <v>1</v>
      </c>
      <c r="AN48" s="5">
        <v>1</v>
      </c>
      <c r="AO48" s="5">
        <v>1</v>
      </c>
      <c r="AP48" s="5">
        <v>1</v>
      </c>
      <c r="AQ48" s="2"/>
      <c r="AR48" s="5">
        <v>47</v>
      </c>
      <c r="AS48" s="5">
        <v>1</v>
      </c>
      <c r="AT48" s="5">
        <v>1</v>
      </c>
      <c r="AU48" s="5">
        <v>1</v>
      </c>
      <c r="AV48" s="5">
        <v>1</v>
      </c>
      <c r="AW48" s="5">
        <v>1</v>
      </c>
      <c r="AX48" s="2"/>
      <c r="AY48" s="5">
        <v>47</v>
      </c>
      <c r="AZ48" s="5">
        <v>1</v>
      </c>
      <c r="BA48" s="5">
        <v>1</v>
      </c>
      <c r="BB48" s="5">
        <v>1</v>
      </c>
      <c r="BC48" s="5">
        <v>1</v>
      </c>
      <c r="BD48" s="5">
        <v>1</v>
      </c>
      <c r="BE48" s="5">
        <v>1</v>
      </c>
      <c r="BF48" s="5">
        <v>1</v>
      </c>
      <c r="BG48" s="5">
        <v>1</v>
      </c>
      <c r="BH48" s="5">
        <v>1</v>
      </c>
    </row>
    <row r="49" spans="1:60" ht="14.25" customHeight="1">
      <c r="A49" s="2"/>
      <c r="B49" s="2"/>
      <c r="C49" s="2"/>
      <c r="D49" s="2"/>
      <c r="E49" s="2"/>
      <c r="F49" s="2"/>
      <c r="G49" s="2"/>
      <c r="H49" s="5">
        <v>48</v>
      </c>
      <c r="I49" s="5">
        <v>1</v>
      </c>
      <c r="J49" s="5">
        <v>1</v>
      </c>
      <c r="K49" s="5">
        <v>1</v>
      </c>
      <c r="L49" s="5">
        <v>1</v>
      </c>
      <c r="M49" s="5">
        <v>1</v>
      </c>
      <c r="N49" s="2"/>
      <c r="O49" s="5">
        <v>48</v>
      </c>
      <c r="P49" s="5">
        <v>1</v>
      </c>
      <c r="Q49" s="5">
        <v>1</v>
      </c>
      <c r="R49" s="5">
        <v>1</v>
      </c>
      <c r="S49" s="5">
        <v>1</v>
      </c>
      <c r="T49" s="5">
        <v>1</v>
      </c>
      <c r="U49" s="2"/>
      <c r="V49" s="5">
        <v>48</v>
      </c>
      <c r="W49" s="5">
        <v>1</v>
      </c>
      <c r="X49" s="5">
        <v>1</v>
      </c>
      <c r="Y49" s="5">
        <v>1</v>
      </c>
      <c r="Z49" s="5">
        <v>1</v>
      </c>
      <c r="AA49" s="5">
        <v>1</v>
      </c>
      <c r="AB49" s="2"/>
      <c r="AC49" s="2"/>
      <c r="AD49" s="2"/>
      <c r="AE49" s="2"/>
      <c r="AF49" s="2"/>
      <c r="AG49" s="2"/>
      <c r="AH49" s="2"/>
      <c r="AI49" s="2"/>
      <c r="AJ49" s="2"/>
      <c r="AK49" s="5">
        <v>48</v>
      </c>
      <c r="AL49" s="5">
        <v>1</v>
      </c>
      <c r="AM49" s="5">
        <v>1</v>
      </c>
      <c r="AN49" s="5">
        <v>1</v>
      </c>
      <c r="AO49" s="5">
        <v>1</v>
      </c>
      <c r="AP49" s="5">
        <v>1</v>
      </c>
      <c r="AQ49" s="2"/>
      <c r="AR49" s="5">
        <v>48</v>
      </c>
      <c r="AS49" s="5">
        <v>1</v>
      </c>
      <c r="AT49" s="5">
        <v>1</v>
      </c>
      <c r="AU49" s="5">
        <v>1</v>
      </c>
      <c r="AV49" s="5">
        <v>1</v>
      </c>
      <c r="AW49" s="5">
        <v>1</v>
      </c>
      <c r="AX49" s="2"/>
      <c r="AY49" s="5">
        <v>48</v>
      </c>
      <c r="AZ49" s="5">
        <v>1</v>
      </c>
      <c r="BA49" s="5">
        <v>1</v>
      </c>
      <c r="BB49" s="5">
        <v>1</v>
      </c>
      <c r="BC49" s="5">
        <v>1</v>
      </c>
      <c r="BD49" s="5">
        <v>1</v>
      </c>
      <c r="BE49" s="5">
        <v>1</v>
      </c>
      <c r="BF49" s="5">
        <v>1</v>
      </c>
      <c r="BG49" s="5">
        <v>1</v>
      </c>
      <c r="BH49" s="5">
        <v>1</v>
      </c>
    </row>
    <row r="50" spans="1:60" ht="14.25" customHeight="1">
      <c r="A50" s="2"/>
      <c r="B50" s="2"/>
      <c r="C50" s="2"/>
      <c r="D50" s="2"/>
      <c r="E50" s="2"/>
      <c r="F50" s="2"/>
      <c r="G50" s="2"/>
      <c r="H50" s="5">
        <v>49</v>
      </c>
      <c r="I50" s="5">
        <v>1</v>
      </c>
      <c r="J50" s="5">
        <v>1</v>
      </c>
      <c r="K50" s="5">
        <v>1</v>
      </c>
      <c r="L50" s="5">
        <v>1</v>
      </c>
      <c r="M50" s="5">
        <v>1</v>
      </c>
      <c r="N50" s="2"/>
      <c r="O50" s="5">
        <v>49</v>
      </c>
      <c r="P50" s="5">
        <v>1</v>
      </c>
      <c r="Q50" s="5">
        <v>1</v>
      </c>
      <c r="R50" s="5">
        <v>1</v>
      </c>
      <c r="S50" s="5">
        <v>1</v>
      </c>
      <c r="T50" s="5">
        <v>1</v>
      </c>
      <c r="U50" s="2"/>
      <c r="V50" s="5">
        <v>49</v>
      </c>
      <c r="W50" s="5">
        <v>1</v>
      </c>
      <c r="X50" s="5">
        <v>1</v>
      </c>
      <c r="Y50" s="5">
        <v>1</v>
      </c>
      <c r="Z50" s="5">
        <v>1</v>
      </c>
      <c r="AA50" s="5">
        <v>1</v>
      </c>
      <c r="AB50" s="2"/>
      <c r="AC50" s="2"/>
      <c r="AD50" s="2"/>
      <c r="AE50" s="2"/>
      <c r="AF50" s="2"/>
      <c r="AG50" s="2"/>
      <c r="AH50" s="2"/>
      <c r="AI50" s="2"/>
      <c r="AJ50" s="2"/>
      <c r="AK50" s="5">
        <v>49</v>
      </c>
      <c r="AL50" s="5">
        <v>1</v>
      </c>
      <c r="AM50" s="5">
        <v>1</v>
      </c>
      <c r="AN50" s="5">
        <v>1</v>
      </c>
      <c r="AO50" s="5">
        <v>1</v>
      </c>
      <c r="AP50" s="5">
        <v>1</v>
      </c>
      <c r="AQ50" s="2"/>
      <c r="AR50" s="5">
        <v>49</v>
      </c>
      <c r="AS50" s="5">
        <v>1</v>
      </c>
      <c r="AT50" s="5">
        <v>1</v>
      </c>
      <c r="AU50" s="5">
        <v>1</v>
      </c>
      <c r="AV50" s="5">
        <v>1</v>
      </c>
      <c r="AW50" s="5">
        <v>1</v>
      </c>
      <c r="AX50" s="2"/>
      <c r="AY50" s="5">
        <v>49</v>
      </c>
      <c r="AZ50" s="5">
        <v>1</v>
      </c>
      <c r="BA50" s="5">
        <v>1</v>
      </c>
      <c r="BB50" s="5">
        <v>1</v>
      </c>
      <c r="BC50" s="5">
        <v>1</v>
      </c>
      <c r="BD50" s="5">
        <v>1</v>
      </c>
      <c r="BE50" s="5">
        <v>1</v>
      </c>
      <c r="BF50" s="5">
        <v>1</v>
      </c>
      <c r="BG50" s="5">
        <v>1</v>
      </c>
      <c r="BH50" s="5">
        <v>1</v>
      </c>
    </row>
    <row r="51" spans="1:60" ht="14.25" customHeight="1">
      <c r="A51" s="2"/>
      <c r="B51" s="2"/>
      <c r="C51" s="2"/>
      <c r="D51" s="2"/>
      <c r="E51" s="2"/>
      <c r="F51" s="2"/>
      <c r="G51" s="2"/>
      <c r="H51" s="5">
        <v>50</v>
      </c>
      <c r="I51" s="5">
        <v>1</v>
      </c>
      <c r="J51" s="5">
        <v>1</v>
      </c>
      <c r="K51" s="5">
        <v>1</v>
      </c>
      <c r="L51" s="5">
        <v>1</v>
      </c>
      <c r="M51" s="5">
        <v>1</v>
      </c>
      <c r="N51" s="2"/>
      <c r="O51" s="5">
        <v>50</v>
      </c>
      <c r="P51" s="5">
        <v>1</v>
      </c>
      <c r="Q51" s="5">
        <v>1</v>
      </c>
      <c r="R51" s="5">
        <v>1</v>
      </c>
      <c r="S51" s="5">
        <v>1</v>
      </c>
      <c r="T51" s="5">
        <v>1</v>
      </c>
      <c r="U51" s="2"/>
      <c r="V51" s="5">
        <v>50</v>
      </c>
      <c r="W51" s="5">
        <v>1</v>
      </c>
      <c r="X51" s="5">
        <v>1</v>
      </c>
      <c r="Y51" s="5">
        <v>1</v>
      </c>
      <c r="Z51" s="5">
        <v>1</v>
      </c>
      <c r="AA51" s="5">
        <v>1</v>
      </c>
      <c r="AB51" s="2"/>
      <c r="AC51" s="2"/>
      <c r="AD51" s="2"/>
      <c r="AE51" s="2"/>
      <c r="AF51" s="2"/>
      <c r="AG51" s="2"/>
      <c r="AH51" s="2"/>
      <c r="AI51" s="2"/>
      <c r="AJ51" s="2"/>
      <c r="AK51" s="5">
        <v>50</v>
      </c>
      <c r="AL51" s="5">
        <v>1</v>
      </c>
      <c r="AM51" s="5">
        <v>1</v>
      </c>
      <c r="AN51" s="5">
        <v>1</v>
      </c>
      <c r="AO51" s="5">
        <v>1</v>
      </c>
      <c r="AP51" s="5">
        <v>1</v>
      </c>
      <c r="AQ51" s="2"/>
      <c r="AR51" s="5">
        <v>50</v>
      </c>
      <c r="AS51" s="5">
        <v>1</v>
      </c>
      <c r="AT51" s="5">
        <v>1</v>
      </c>
      <c r="AU51" s="5">
        <v>1</v>
      </c>
      <c r="AV51" s="5">
        <v>1</v>
      </c>
      <c r="AW51" s="5">
        <v>1</v>
      </c>
      <c r="AX51" s="2"/>
      <c r="AY51" s="5">
        <v>50</v>
      </c>
      <c r="AZ51" s="5">
        <v>1</v>
      </c>
      <c r="BA51" s="5">
        <v>1</v>
      </c>
      <c r="BB51" s="5">
        <v>1</v>
      </c>
      <c r="BC51" s="5">
        <v>1</v>
      </c>
      <c r="BD51" s="5">
        <v>1</v>
      </c>
      <c r="BE51" s="5">
        <v>1</v>
      </c>
      <c r="BF51" s="5">
        <v>1</v>
      </c>
      <c r="BG51" s="5">
        <v>1</v>
      </c>
      <c r="BH51" s="5">
        <v>1</v>
      </c>
    </row>
    <row r="52" spans="1:60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</row>
    <row r="53" spans="1:60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</row>
    <row r="54" spans="1:60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</row>
    <row r="55" spans="1:60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</row>
    <row r="56" spans="1:60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</row>
    <row r="57" spans="1:60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>
        <f>IF($AD$1=$AJ$2,AK2,IF($AD$1=$AJ$3,AK7,IF($AD$1=$AJ$4,AK12,IF($AD$1=$AJ$5,AK17,IF($AD$1=$AJ$6,AK22,IF($AD$1=$AJ$7,AK27,IF($AD$1=$AJ$8,AK32,IF($AD$1=$AJ$9,AK37,IF($AD$1=$AJ$10,AK42,IF($AD$1=$AJ$11,AK47,IF($AD$1=$AJ$12,AR2,IF($AD$1=$AJ$13,AR7,IF($AD$1=$AJ$14,AR12,IF($AD$1=$AJ$15,AR17,IF($AD$1=$AJ$16,AR22,IF($AD$1=$AJ$17,AR27,IF($AD$1=$AJ$18,AR32,IF($AD$1=$AJ$19,AR37,IF($AD$1=$AJ$20,AR42,IF($AD$1=$AJ$21,AR47,IF($AD$1=$AJ$22,AR52,IF($AD$1=$AJ$22,AY2,IF($AD$1=$AJ$23,AY7,IF($AD$1=$AJ$24,AY12,IF($AD$1=$AJ$25,AY17,IF($AD$1=$AJ$26,AY22,IF($AD$1=$AJ$27,AY27,IF($AD$1=$AJ$28,AY32,IF($AD$1=$AJ$29,AY37,IF($AD$1=$AJ$30,AY42,IF($AD$1=$AJ$31,AY47)))))))))))))))))))))))))))))))</f>
        <v>0</v>
      </c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</row>
    <row r="58" spans="1:60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</row>
    <row r="59" spans="1:60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</row>
    <row r="60" spans="1: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</row>
    <row r="61" spans="1:60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</row>
    <row r="62" spans="1:60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</row>
    <row r="63" spans="1:60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</row>
    <row r="64" spans="1:60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</row>
    <row r="65" spans="1:60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</row>
    <row r="66" spans="1:60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6"/>
      <c r="AE66" s="6"/>
      <c r="AF66" s="6"/>
      <c r="AG66" s="6"/>
      <c r="AH66" s="6"/>
      <c r="AI66" s="6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</row>
    <row r="67" spans="1:60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6"/>
      <c r="AE67" s="6"/>
      <c r="AF67" s="6"/>
      <c r="AG67" s="6"/>
      <c r="AH67" s="6"/>
      <c r="AI67" s="6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</row>
    <row r="68" spans="1:60" ht="14.25" customHeight="1">
      <c r="A68" s="6"/>
      <c r="B68" s="6"/>
      <c r="C68" s="6"/>
      <c r="D68" s="6"/>
      <c r="E68" s="6"/>
      <c r="F68" s="6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6"/>
      <c r="AE68" s="6"/>
      <c r="AF68" s="6"/>
      <c r="AG68" s="6"/>
      <c r="AH68" s="6"/>
      <c r="AI68" s="6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</row>
    <row r="69" spans="1:60" ht="14.25" customHeight="1">
      <c r="A69" s="6"/>
      <c r="B69" s="6"/>
      <c r="C69" s="6"/>
      <c r="D69" s="6"/>
      <c r="E69" s="6"/>
      <c r="F69" s="6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6"/>
      <c r="AE69" s="6"/>
      <c r="AF69" s="6"/>
      <c r="AG69" s="6"/>
      <c r="AH69" s="6"/>
      <c r="AI69" s="6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</row>
    <row r="70" spans="1:60" ht="14.25" customHeight="1">
      <c r="A70" s="6"/>
      <c r="B70" s="6"/>
      <c r="C70" s="6"/>
      <c r="D70" s="6"/>
      <c r="E70" s="6"/>
      <c r="F70" s="6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6"/>
      <c r="AE70" s="6"/>
      <c r="AF70" s="6"/>
      <c r="AG70" s="6"/>
      <c r="AH70" s="6"/>
      <c r="AI70" s="6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</row>
    <row r="71" spans="1:60" ht="14.25" customHeight="1">
      <c r="A71" s="6"/>
      <c r="B71" s="6"/>
      <c r="C71" s="6"/>
      <c r="D71" s="6"/>
      <c r="E71" s="6"/>
      <c r="F71" s="6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6"/>
      <c r="AE71" s="6"/>
      <c r="AF71" s="6"/>
      <c r="AG71" s="6"/>
      <c r="AH71" s="6"/>
      <c r="AI71" s="6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</row>
    <row r="72" spans="1:60" ht="14.25" customHeight="1">
      <c r="A72" s="6"/>
      <c r="B72" s="6"/>
      <c r="C72" s="6"/>
      <c r="D72" s="6"/>
      <c r="E72" s="6"/>
      <c r="F72" s="6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6"/>
      <c r="AE72" s="6"/>
      <c r="AF72" s="6"/>
      <c r="AG72" s="6"/>
      <c r="AH72" s="6"/>
      <c r="AI72" s="6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</row>
    <row r="73" spans="1:60" ht="14.25" customHeight="1">
      <c r="A73" s="6"/>
      <c r="B73" s="6"/>
      <c r="C73" s="6"/>
      <c r="D73" s="6"/>
      <c r="E73" s="6"/>
      <c r="F73" s="6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6"/>
      <c r="AE73" s="6"/>
      <c r="AF73" s="6"/>
      <c r="AG73" s="6"/>
      <c r="AH73" s="6"/>
      <c r="AI73" s="6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</row>
    <row r="74" spans="1:60" ht="14.25" customHeight="1">
      <c r="A74" s="6"/>
      <c r="B74" s="6"/>
      <c r="C74" s="6"/>
      <c r="D74" s="6"/>
      <c r="E74" s="6"/>
      <c r="F74" s="6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6"/>
      <c r="AE74" s="6"/>
      <c r="AF74" s="6"/>
      <c r="AG74" s="6"/>
      <c r="AH74" s="6"/>
      <c r="AI74" s="6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</row>
    <row r="75" spans="1:60" ht="14.25" customHeight="1">
      <c r="A75" s="6"/>
      <c r="B75" s="6"/>
      <c r="C75" s="6"/>
      <c r="D75" s="6"/>
      <c r="E75" s="6"/>
      <c r="F75" s="6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6"/>
      <c r="AE75" s="6"/>
      <c r="AF75" s="6"/>
      <c r="AG75" s="6"/>
      <c r="AH75" s="6"/>
      <c r="AI75" s="6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</row>
    <row r="76" spans="1:60" ht="14.25" customHeight="1">
      <c r="A76" s="6"/>
      <c r="B76" s="6"/>
      <c r="C76" s="6"/>
      <c r="D76" s="6"/>
      <c r="E76" s="6"/>
      <c r="F76" s="6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6"/>
      <c r="AE76" s="6"/>
      <c r="AF76" s="6"/>
      <c r="AG76" s="6"/>
      <c r="AH76" s="6"/>
      <c r="AI76" s="6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</row>
    <row r="77" spans="1:60" ht="14.25" customHeight="1">
      <c r="A77" s="6"/>
      <c r="B77" s="6"/>
      <c r="C77" s="6"/>
      <c r="D77" s="6"/>
      <c r="E77" s="6"/>
      <c r="F77" s="6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6"/>
      <c r="AE77" s="6"/>
      <c r="AF77" s="6"/>
      <c r="AG77" s="6"/>
      <c r="AH77" s="6"/>
      <c r="AI77" s="6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</row>
    <row r="78" spans="1:60" ht="14.25" customHeight="1">
      <c r="A78" s="6">
        <f>IF(A1=G12,O2,IF(A1=G13,O7,IF(A1=G14,O12,IF(A1=G15,O17,IF(A1=G16,O22,IF(A1=G17,O27,IF(A1=G18,O32,IF(A1=G19,O37,IF(A1=G20,O42,IF(A1=G21,O47,IF(A1=G22,O52)))))))))))</f>
        <v>0</v>
      </c>
      <c r="B78" s="6"/>
      <c r="C78" s="6"/>
      <c r="D78" s="6"/>
      <c r="E78" s="6"/>
      <c r="F78" s="6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6"/>
      <c r="AE78" s="6"/>
      <c r="AF78" s="6"/>
      <c r="AG78" s="6"/>
      <c r="AH78" s="6"/>
      <c r="AI78" s="6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</row>
    <row r="79" spans="1:60" ht="14.25" customHeight="1">
      <c r="A79" s="6" t="str">
        <f>IF(A1=G22,V2,IF(A1=G23,V7,IF(A1=G24,V12,IF(A1=G25,V17,IF(A1=G26,V22,IF(A1=G27,V27,IF(A1=G28,V32,IF(A1=G29,V37,IF(A1=G30,V42,IF(A1=G31,V47))))))))))</f>
        <v>sona</v>
      </c>
      <c r="B79" s="6"/>
      <c r="C79" s="6"/>
      <c r="D79" s="6"/>
      <c r="E79" s="6"/>
      <c r="F79" s="6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6"/>
      <c r="AE79" s="6"/>
      <c r="AF79" s="6"/>
      <c r="AG79" s="6"/>
      <c r="AH79" s="6"/>
      <c r="AI79" s="6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</row>
    <row r="80" spans="1:60" ht="14.25" customHeight="1">
      <c r="A80" s="6"/>
      <c r="B80" s="6"/>
      <c r="C80" s="6"/>
      <c r="D80" s="6"/>
      <c r="E80" s="6"/>
      <c r="F80" s="6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6"/>
      <c r="AE80" s="6"/>
      <c r="AF80" s="6"/>
      <c r="AG80" s="6"/>
      <c r="AH80" s="6"/>
      <c r="AI80" s="6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</row>
    <row r="81" spans="1:60" ht="14.25" customHeight="1">
      <c r="A81" s="6"/>
      <c r="B81" s="6"/>
      <c r="C81" s="6"/>
      <c r="D81" s="6"/>
      <c r="E81" s="6"/>
      <c r="F81" s="6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6"/>
      <c r="AE81" s="6"/>
      <c r="AF81" s="6"/>
      <c r="AG81" s="6"/>
      <c r="AH81" s="6"/>
      <c r="AI81" s="6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</row>
    <row r="82" spans="1:60" ht="14.25" customHeight="1">
      <c r="A82" s="6"/>
      <c r="B82" s="6"/>
      <c r="C82" s="6"/>
      <c r="D82" s="6"/>
      <c r="E82" s="6"/>
      <c r="F82" s="6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6"/>
      <c r="AE82" s="6"/>
      <c r="AF82" s="6"/>
      <c r="AG82" s="6"/>
      <c r="AH82" s="6"/>
      <c r="AI82" s="6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</row>
    <row r="83" spans="1:60" ht="14.25" customHeight="1">
      <c r="A83" s="6"/>
      <c r="B83" s="6"/>
      <c r="C83" s="6"/>
      <c r="D83" s="6"/>
      <c r="E83" s="6"/>
      <c r="F83" s="6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6"/>
      <c r="AE83" s="6"/>
      <c r="AF83" s="6"/>
      <c r="AG83" s="6"/>
      <c r="AH83" s="6"/>
      <c r="AI83" s="6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</row>
    <row r="84" spans="1:60" ht="14.25" customHeight="1">
      <c r="A84" s="6"/>
      <c r="B84" s="6"/>
      <c r="C84" s="6"/>
      <c r="D84" s="6"/>
      <c r="E84" s="6"/>
      <c r="F84" s="6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6"/>
      <c r="AE84" s="6"/>
      <c r="AF84" s="6"/>
      <c r="AG84" s="6"/>
      <c r="AH84" s="6"/>
      <c r="AI84" s="6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</row>
    <row r="85" spans="1:60" ht="14.25" customHeight="1">
      <c r="A85" s="6"/>
      <c r="B85" s="6"/>
      <c r="C85" s="6"/>
      <c r="D85" s="6"/>
      <c r="E85" s="6"/>
      <c r="F85" s="6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6"/>
      <c r="AE85" s="6"/>
      <c r="AF85" s="6"/>
      <c r="AG85" s="6"/>
      <c r="AH85" s="6"/>
      <c r="AI85" s="6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</row>
    <row r="86" spans="1:60" ht="14.25" customHeight="1">
      <c r="A86" s="6"/>
      <c r="B86" s="6"/>
      <c r="C86" s="6"/>
      <c r="D86" s="6"/>
      <c r="E86" s="6"/>
      <c r="F86" s="6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6"/>
      <c r="AE86" s="6"/>
      <c r="AF86" s="6"/>
      <c r="AG86" s="6"/>
      <c r="AH86" s="6"/>
      <c r="AI86" s="6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</row>
    <row r="87" spans="1:60" ht="14.25" customHeight="1">
      <c r="A87" s="6"/>
      <c r="B87" s="6"/>
      <c r="C87" s="6"/>
      <c r="D87" s="6"/>
      <c r="E87" s="6"/>
      <c r="F87" s="6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6"/>
      <c r="AE87" s="6"/>
      <c r="AF87" s="6"/>
      <c r="AG87" s="6"/>
      <c r="AH87" s="6"/>
      <c r="AI87" s="6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</row>
    <row r="88" spans="1:60" ht="14.25" customHeight="1">
      <c r="A88" s="6"/>
      <c r="B88" s="6"/>
      <c r="C88" s="6"/>
      <c r="D88" s="6"/>
      <c r="E88" s="6"/>
      <c r="F88" s="6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6"/>
      <c r="AE88" s="6"/>
      <c r="AF88" s="6"/>
      <c r="AG88" s="6"/>
      <c r="AH88" s="6"/>
      <c r="AI88" s="6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</row>
    <row r="89" spans="1:60" ht="14.25" customHeight="1">
      <c r="A89" s="6"/>
      <c r="B89" s="6"/>
      <c r="C89" s="6"/>
      <c r="D89" s="6"/>
      <c r="E89" s="6"/>
      <c r="F89" s="6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6"/>
      <c r="AE89" s="6"/>
      <c r="AF89" s="6"/>
      <c r="AG89" s="6"/>
      <c r="AH89" s="6"/>
      <c r="AI89" s="6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</row>
    <row r="90" spans="1:60" ht="14.25" customHeight="1">
      <c r="A90" s="6"/>
      <c r="B90" s="6"/>
      <c r="C90" s="6"/>
      <c r="D90" s="6"/>
      <c r="E90" s="6"/>
      <c r="F90" s="6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6"/>
      <c r="AE90" s="6"/>
      <c r="AF90" s="6"/>
      <c r="AG90" s="6"/>
      <c r="AH90" s="6"/>
      <c r="AI90" s="6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</row>
    <row r="91" spans="1:60" ht="14.25" customHeight="1">
      <c r="A91" s="6"/>
      <c r="B91" s="6"/>
      <c r="C91" s="6"/>
      <c r="D91" s="6"/>
      <c r="E91" s="6"/>
      <c r="F91" s="6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6"/>
      <c r="AE91" s="6"/>
      <c r="AF91" s="6"/>
      <c r="AG91" s="6"/>
      <c r="AH91" s="6"/>
      <c r="AI91" s="6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</row>
    <row r="92" spans="1:60" ht="14.25" customHeight="1">
      <c r="A92" s="6"/>
      <c r="B92" s="6"/>
      <c r="C92" s="6"/>
      <c r="D92" s="6"/>
      <c r="E92" s="6"/>
      <c r="F92" s="6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6"/>
      <c r="AE92" s="6"/>
      <c r="AF92" s="6"/>
      <c r="AG92" s="6"/>
      <c r="AH92" s="6"/>
      <c r="AI92" s="6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</row>
    <row r="93" spans="1:60" ht="14.25" customHeight="1">
      <c r="A93" s="6"/>
      <c r="B93" s="6"/>
      <c r="C93" s="6"/>
      <c r="D93" s="6"/>
      <c r="E93" s="6"/>
      <c r="F93" s="6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6"/>
      <c r="AE93" s="6"/>
      <c r="AF93" s="6"/>
      <c r="AG93" s="6"/>
      <c r="AH93" s="6"/>
      <c r="AI93" s="6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</row>
    <row r="94" spans="1:60" ht="14.25" customHeight="1">
      <c r="A94" s="6"/>
      <c r="B94" s="6"/>
      <c r="C94" s="6"/>
      <c r="D94" s="6"/>
      <c r="E94" s="6"/>
      <c r="F94" s="6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6"/>
      <c r="AE94" s="6"/>
      <c r="AF94" s="6"/>
      <c r="AG94" s="6"/>
      <c r="AH94" s="6"/>
      <c r="AI94" s="6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</row>
    <row r="95" spans="1:60" ht="14.25" customHeight="1">
      <c r="A95" s="6"/>
      <c r="B95" s="6"/>
      <c r="C95" s="6"/>
      <c r="D95" s="6"/>
      <c r="E95" s="6"/>
      <c r="F95" s="6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6"/>
      <c r="AE95" s="6"/>
      <c r="AF95" s="6"/>
      <c r="AG95" s="6"/>
      <c r="AH95" s="6"/>
      <c r="AI95" s="6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</row>
    <row r="96" spans="1:60" ht="14.25" customHeight="1">
      <c r="A96" s="6"/>
      <c r="B96" s="6"/>
      <c r="C96" s="6"/>
      <c r="D96" s="6"/>
      <c r="E96" s="6"/>
      <c r="F96" s="6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6"/>
      <c r="AE96" s="6"/>
      <c r="AF96" s="6"/>
      <c r="AG96" s="6"/>
      <c r="AH96" s="6"/>
      <c r="AI96" s="6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</row>
    <row r="97" spans="1:60" ht="14.25" customHeight="1">
      <c r="A97" s="6"/>
      <c r="B97" s="6"/>
      <c r="C97" s="6"/>
      <c r="D97" s="6"/>
      <c r="E97" s="6"/>
      <c r="F97" s="6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6"/>
      <c r="AE97" s="6"/>
      <c r="AF97" s="6"/>
      <c r="AG97" s="6"/>
      <c r="AH97" s="6"/>
      <c r="AI97" s="6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</row>
    <row r="98" spans="1:60" ht="14.25" customHeight="1">
      <c r="A98" s="6"/>
      <c r="B98" s="6"/>
      <c r="C98" s="6"/>
      <c r="D98" s="6"/>
      <c r="E98" s="6"/>
      <c r="F98" s="6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6"/>
      <c r="AE98" s="6"/>
      <c r="AF98" s="6"/>
      <c r="AG98" s="6"/>
      <c r="AH98" s="6"/>
      <c r="AI98" s="6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</row>
    <row r="99" spans="1:60" ht="14.25" customHeight="1">
      <c r="A99" s="6"/>
      <c r="B99" s="6"/>
      <c r="C99" s="6"/>
      <c r="D99" s="6"/>
      <c r="E99" s="6"/>
      <c r="F99" s="6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6"/>
      <c r="AE99" s="6"/>
      <c r="AF99" s="6"/>
      <c r="AG99" s="6"/>
      <c r="AH99" s="6"/>
      <c r="AI99" s="6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</row>
    <row r="100" spans="1:60" ht="14.25" customHeight="1">
      <c r="A100" s="6"/>
      <c r="B100" s="6"/>
      <c r="C100" s="6"/>
      <c r="D100" s="6"/>
      <c r="E100" s="6"/>
      <c r="F100" s="6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6"/>
      <c r="AE100" s="6"/>
      <c r="AF100" s="6"/>
      <c r="AG100" s="6"/>
      <c r="AH100" s="6"/>
      <c r="AI100" s="6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</row>
  </sheetData>
  <sheetProtection sheet="1"/>
  <dataValidations count="2">
    <dataValidation type="list" allowBlank="1" showErrorMessage="1" sqref="AD1">
      <formula1>$AJ$2:$AJ$31</formula1>
    </dataValidation>
    <dataValidation type="list" allowBlank="1" showErrorMessage="1" sqref="A1">
      <formula1>$G$2:$G$31</formula1>
    </dataValidation>
  </dataValidations>
  <pageMargins left="0.7" right="0.7" top="0.75" bottom="0.75" header="0" footer="0"/>
  <pageSetup orientation="portrait" useFirstPageNumber="1"/>
  <headerFooter>
    <oddHeader>&amp;L&amp;C&amp;R</oddHeader>
    <oddFooter>&amp;L&amp;C&amp;R</oddFooter>
  </headerFooter>
  <extLst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0000"/>
  </sheetPr>
  <dimension ref="A1:BF100"/>
  <sheetViews>
    <sheetView workbookViewId="0">
      <selection activeCell="D17" sqref="D17"/>
    </sheetView>
  </sheetViews>
  <sheetFormatPr defaultColWidth="8.85546875" defaultRowHeight="15" customHeight="1"/>
  <cols>
    <col min="1" max="1" width="21.85546875" style="25" customWidth="1"/>
    <col min="2" max="2" width="15.7109375" style="25" customWidth="1"/>
    <col min="3" max="6" width="8.85546875" style="25" customWidth="1"/>
    <col min="7" max="7" width="8.85546875" style="25" hidden="1" customWidth="1"/>
    <col min="8" max="8" width="25" style="26" hidden="1" customWidth="1"/>
    <col min="9" max="9" width="20.42578125" style="27" hidden="1" customWidth="1"/>
    <col min="10" max="13" width="8.85546875" style="27" hidden="1" customWidth="1"/>
    <col min="14" max="14" width="8.85546875" style="16" hidden="1" customWidth="1"/>
    <col min="15" max="15" width="8.85546875" style="25" hidden="1" customWidth="1"/>
    <col min="16" max="16" width="15.5703125" style="27" hidden="1" customWidth="1"/>
    <col min="17" max="21" width="8.85546875" style="27" hidden="1" customWidth="1"/>
    <col min="22" max="22" width="8.85546875" style="25" hidden="1" customWidth="1"/>
    <col min="23" max="23" width="11.7109375" style="27" hidden="1" customWidth="1"/>
    <col min="24" max="27" width="8.85546875" style="27" hidden="1" customWidth="1"/>
    <col min="28" max="28" width="8.85546875" style="16" hidden="1" customWidth="1"/>
    <col min="29" max="30" width="8.85546875" style="27" hidden="1" customWidth="1"/>
    <col min="31" max="36" width="8.85546875" style="25" hidden="1" customWidth="1"/>
    <col min="37" max="37" width="8.85546875" style="27" hidden="1" customWidth="1"/>
    <col min="38" max="42" width="8.5703125" style="27" hidden="1" customWidth="1"/>
    <col min="43" max="43" width="8.5703125" style="16" hidden="1" customWidth="1"/>
    <col min="44" max="44" width="8.5703125" style="27" hidden="1" customWidth="1"/>
    <col min="45" max="45" width="17.7109375" style="27" hidden="1" customWidth="1"/>
    <col min="46" max="49" width="8.85546875" style="27" hidden="1" customWidth="1"/>
    <col min="50" max="50" width="8.85546875" style="16" hidden="1" customWidth="1"/>
    <col min="51" max="56" width="8.85546875" style="27" hidden="1" customWidth="1"/>
    <col min="57" max="57" width="8.85546875" style="16" hidden="1" customWidth="1"/>
    <col min="58" max="58" width="0" hidden="1" customWidth="1"/>
  </cols>
  <sheetData>
    <row r="1" spans="1:58" ht="24" customHeight="1" thickBot="1">
      <c r="A1" s="10" t="s">
        <v>144</v>
      </c>
      <c r="B1" s="11"/>
      <c r="C1" s="11"/>
      <c r="D1" s="11"/>
      <c r="E1" s="11"/>
      <c r="F1" s="11"/>
      <c r="G1" s="11"/>
      <c r="H1" s="12"/>
      <c r="I1" s="11">
        <v>1</v>
      </c>
      <c r="J1" s="11">
        <v>2</v>
      </c>
      <c r="K1" s="11">
        <v>3</v>
      </c>
      <c r="L1" s="11">
        <v>4</v>
      </c>
      <c r="M1" s="11">
        <v>5</v>
      </c>
      <c r="N1" s="187">
        <v>6</v>
      </c>
      <c r="O1" s="25">
        <v>7</v>
      </c>
      <c r="P1" s="11">
        <v>1</v>
      </c>
      <c r="Q1" s="11">
        <v>2</v>
      </c>
      <c r="R1" s="11">
        <v>3</v>
      </c>
      <c r="S1" s="11">
        <v>4</v>
      </c>
      <c r="T1" s="11">
        <v>5</v>
      </c>
      <c r="U1" s="187">
        <v>6</v>
      </c>
      <c r="V1" s="25">
        <v>7</v>
      </c>
      <c r="W1" s="11">
        <v>1</v>
      </c>
      <c r="X1" s="11">
        <v>2</v>
      </c>
      <c r="Y1" s="11">
        <v>3</v>
      </c>
      <c r="Z1" s="11">
        <v>4</v>
      </c>
      <c r="AA1" s="11">
        <v>5</v>
      </c>
      <c r="AB1" s="187">
        <v>6</v>
      </c>
      <c r="AC1" s="25">
        <v>7</v>
      </c>
      <c r="AD1" s="11"/>
      <c r="AE1" s="10" t="s">
        <v>37</v>
      </c>
      <c r="AF1" s="11"/>
      <c r="AG1" s="11"/>
      <c r="AH1" s="11"/>
      <c r="AI1" s="11"/>
      <c r="AJ1" s="11"/>
      <c r="AK1" s="11"/>
      <c r="AL1" s="11">
        <v>1</v>
      </c>
      <c r="AM1" s="11">
        <v>2</v>
      </c>
      <c r="AN1" s="11">
        <v>3</v>
      </c>
      <c r="AO1" s="11">
        <v>4</v>
      </c>
      <c r="AP1" s="11">
        <v>5</v>
      </c>
      <c r="AQ1" s="187">
        <v>6</v>
      </c>
      <c r="AR1" s="25">
        <v>7</v>
      </c>
      <c r="AS1" s="11">
        <v>1</v>
      </c>
      <c r="AT1" s="11">
        <v>2</v>
      </c>
      <c r="AU1" s="11">
        <v>3</v>
      </c>
      <c r="AV1" s="11">
        <v>4</v>
      </c>
      <c r="AW1" s="11">
        <v>5</v>
      </c>
      <c r="AX1" s="187">
        <v>6</v>
      </c>
      <c r="AY1" s="25">
        <v>7</v>
      </c>
      <c r="AZ1" s="11">
        <v>1</v>
      </c>
      <c r="BA1" s="11">
        <v>2</v>
      </c>
      <c r="BB1" s="11">
        <v>3</v>
      </c>
      <c r="BC1" s="11">
        <v>4</v>
      </c>
      <c r="BD1" s="11">
        <v>5</v>
      </c>
      <c r="BE1" s="187">
        <v>6</v>
      </c>
      <c r="BF1" s="25">
        <v>7</v>
      </c>
    </row>
    <row r="2" spans="1:58" ht="15" hidden="1" customHeight="1" thickBot="1">
      <c r="A2" s="13" t="str">
        <f t="shared" ref="A2:G2" si="0">IF($A$1=$H$2,I2,IF($A$1=$H$3,I7,IF($A$1=$H$4,I12,IF($A$1=$H$5,I17,IF($A$1=$H$6,I22,IF($A$1=$H$7,I27,IF($A$1=$H$8,I32,IF($A$1=$H$9,I37,IF($A$1=$H$10,I42,IF($A$1=$H$11,I47,IF($A$1=$H$12,P2,IF($A$1=$H$13,P7,IF($A$1=$H$14,P12,IF($A$1=$H$15,P17,IF($A$1=$H$16,P22,IF($A$1=$H$17,P27,IF($A$1=$H$18,P32,IF($A$1=$H$19,P37,IF($A$1=$H$20,P42,IF($A$1=$H$21,P47,IF($A$1=$H$21,P52,IF($A$1=$H$22,W2,IF($A$1=$H$23,W7,IF($A$1=$H$24,W12,IF($A$1=$H$25,W17,IF($A$1=$H$26,W22,IF($A$1=$H$27,W27,IF($A$1=$H$28,W32,IF($A$1=$H$29,W37,IF($A$1=$H$30,W42,IF($A$1=$H$31,W47,IF($A$1=$H$32,AL2,IF($A$1=$H$33,AL7,IF($A$1=$H$34,AL12,IF($A$1=$H$35,AL17,IF($A$1=$H$36,AL22,IF($A$1=$H$37,AL27,IF($A$1=$H$38,AL32,IF($A$1=$H$39,AL37,IF($A$1=$H$40,AL42,IF($A$1=$H$41,AL47,IF($A$1=$H$42,AS2,IF($A$1=$H$43,AS7,IF($A$1=$H$44,AS12,IF($A$1=$H$45,AS17,IF($A$1=$H$46,AS22,IF($A$1=$H$47,AS27,IF($A$1=$H$48,AS32,IF($A$1=$H$49,AS37,IF($A$1=$H$50,AS42,IF($A$1=$H$51,AS47,IF($A$1=$H$51,AS52,IF($A$1=$H$52,AZ2,IF($A$1=$H$53,AZ7,IF($A$1=$H$54,AZ12,IF($A$1=$H$55,AZ17,IF($A$1=$H$56,AZ22,IF($A$1=$H$57,AZ27,IF($A$1=$H$58,AZ32,IF($A$1=$H$59,AZ37,IF($A$1=$H$60,AZ42,IF($A$1=$H$61,AZ47))))))))))))))))))))))))))))))))))))))))))))))))))))))))))))))</f>
        <v>16 ਹੰਸ ਰਾਜ ਮੋਮੀ / ਸੱਤੀ ਰਾਮ</v>
      </c>
      <c r="B2" s="13" t="str">
        <f t="shared" si="0"/>
        <v>ਬਾਗਾਂ ਬਾਈ</v>
      </c>
      <c r="C2" s="13" t="str">
        <f t="shared" si="0"/>
        <v>ਪਵਨ ਕੁਮਾਰ (ਰਾਜੀਵ)</v>
      </c>
      <c r="D2" s="13">
        <f t="shared" si="0"/>
        <v>1</v>
      </c>
      <c r="E2" s="13">
        <f t="shared" si="0"/>
        <v>1</v>
      </c>
      <c r="F2" s="89">
        <f t="shared" si="0"/>
        <v>1</v>
      </c>
      <c r="G2" s="90" t="str">
        <f t="shared" si="0"/>
        <v>https://serving.photos.photobox.com/273289931620e928806b2ae4161ee3c26269334c2dcd152c467d6cf58c3e876ee20b0112.jpg</v>
      </c>
      <c r="H2" s="177" t="str">
        <f>I2</f>
        <v>1 ਹੀਰਾ ਲਾਲ ਮੋਮੀ / ਨਰਾਇਣ ਦਾਸ</v>
      </c>
      <c r="I2" s="189" t="s">
        <v>36</v>
      </c>
      <c r="J2" s="190" t="s">
        <v>38</v>
      </c>
      <c r="K2" s="190" t="s">
        <v>39</v>
      </c>
      <c r="L2" s="190"/>
      <c r="M2" s="191">
        <v>1</v>
      </c>
      <c r="N2" s="192">
        <v>1</v>
      </c>
      <c r="O2" s="197" t="s">
        <v>1094</v>
      </c>
      <c r="P2" s="189" t="s">
        <v>40</v>
      </c>
      <c r="Q2" s="190" t="s">
        <v>41</v>
      </c>
      <c r="R2" s="190">
        <v>1</v>
      </c>
      <c r="S2" s="190">
        <v>1</v>
      </c>
      <c r="T2" s="190">
        <v>1</v>
      </c>
      <c r="U2" s="190">
        <v>1</v>
      </c>
      <c r="V2" s="197" t="s">
        <v>1101</v>
      </c>
      <c r="W2" s="189" t="s">
        <v>42</v>
      </c>
      <c r="X2" s="190" t="s">
        <v>43</v>
      </c>
      <c r="Y2" s="190" t="s">
        <v>44</v>
      </c>
      <c r="Z2" s="190">
        <v>1</v>
      </c>
      <c r="AA2" s="191">
        <v>1</v>
      </c>
      <c r="AB2" s="192">
        <v>1</v>
      </c>
      <c r="AC2" s="200" t="s">
        <v>1108</v>
      </c>
      <c r="AD2" s="11"/>
      <c r="AE2" s="13" t="b">
        <f>IF($AE$1=$H$32,AL2,IF($AE$1=$H$33,AL7,IF($AE$1=$H$34,AL12,IF($AE$1=$H$35,AL17,IF($AE$1=$H$36,AL22,IF($AE$1=$H$37,AL27,IF($AE$1=$H$38,AL32,IF($AE$1=$H$39,AL37,IF($AE$1=$H$40,AL42,IF($AE$1=$H$41,AL47,IF($AE$1=$H$42,AS2,IF($AE$1=$H$43,AS7,IF($AE$1=$H$44,AS12,IF($AE$1=$H$45,AS17,IF($AE$1=$H$46,AS22,IF($AE$1=$H$47,AS27,IF($AE$1=$H$48,AS32,IF($AE$1=$H$49,AS37,IF($AE$1=$H$50,AS42,IF($AE$1=$H$51,AS47,IF($AE$1=$H$51,AS52,IF($AE$1=$H$52,AZ2,IF($AE$1=$H$53,AZ7,IF($AE$1=$H$54,AZ12,IF($AE$1=$H$55,AZ17,IF($AE$1=$H$56,AZ22,IF($AE$1=$H$57,AZ27,IF($AE$1=$H$58,AZ32,IF($AE$1=$H$59,AZ37,IF($AE$1=$H$60,AZ42,IF($AE$1=$H$61,AZ47)))))))))))))))))))))))))))))))</f>
        <v>0</v>
      </c>
      <c r="AF2" s="13" t="b">
        <f t="shared" ref="AF2:AJ6" si="1">IF($AE$1=$H$32,AM2,IF($AE$1=$H$33,AM7,IF($AE$1=$H$34,AM12,IF($AE$1=$H$35,AM17,IF($AE$1=$H$36,AM22,IF($AE$1=$H$37,AM27,IF($AE$1=$H$38,AM32,IF($AE$1=$H$39,AM37,IF($AE$1=$H$40,AM42,IF($AE$1=$H$41,AM47,IF($AE$1=$H$42,AT2,IF($AE$1=$H$43,AT7,IF($AE$1=$H$44,AT12,IF($AE$1=$H$45,AT17,IF($AE$1=$H$46,AT22,IF($AE$1=$H$47,AT27,IF($AE$1=$H$48,AT32,IF($AE$1=$H$49,AT37,IF($AE$1=$H$50,AT42,IF($AE$1=$H$51,AT47,IF($AE$1=$H$52,AT52,IF($AE$1=$H$52,BA2,IF($AE$1=$H$53,BA7,IF($AE$1=$H$54,BA12,IF($AE$1=$H$55,BA17,IF($AE$1=$H$56,BA22,IF($AE$1=$H$57,BA27,IF($AE$1=$H$58,BA32,IF($AE$1=$H$59,BA37,IF($AE$1=$H$60,BA42,IF($AE$1=$H$61,BA47)))))))))))))))))))))))))))))))</f>
        <v>0</v>
      </c>
      <c r="AG2" s="13" t="b">
        <f t="shared" si="1"/>
        <v>0</v>
      </c>
      <c r="AH2" s="13" t="b">
        <f t="shared" si="1"/>
        <v>0</v>
      </c>
      <c r="AI2" s="13" t="b">
        <f t="shared" si="1"/>
        <v>0</v>
      </c>
      <c r="AJ2" s="13" t="b">
        <f t="shared" si="1"/>
        <v>0</v>
      </c>
      <c r="AL2" s="189" t="s">
        <v>45</v>
      </c>
      <c r="AM2" s="190" t="s">
        <v>46</v>
      </c>
      <c r="AN2" s="190" t="s">
        <v>47</v>
      </c>
      <c r="AO2" s="190" t="s">
        <v>48</v>
      </c>
      <c r="AP2" s="191">
        <v>1</v>
      </c>
      <c r="AQ2" s="192">
        <v>1</v>
      </c>
      <c r="AR2" s="200" t="s">
        <v>1118</v>
      </c>
      <c r="AS2" s="189" t="s">
        <v>49</v>
      </c>
      <c r="AT2" s="190" t="s">
        <v>50</v>
      </c>
      <c r="AU2" s="190">
        <v>1</v>
      </c>
      <c r="AV2" s="190">
        <v>1</v>
      </c>
      <c r="AW2" s="191">
        <v>1</v>
      </c>
      <c r="AX2" s="192">
        <v>1</v>
      </c>
      <c r="AY2" s="200" t="s">
        <v>1127</v>
      </c>
      <c r="AZ2" s="139" t="s">
        <v>51</v>
      </c>
      <c r="BA2" s="173">
        <v>1</v>
      </c>
      <c r="BB2" s="173">
        <v>1</v>
      </c>
      <c r="BC2" s="173">
        <v>1</v>
      </c>
      <c r="BD2" s="173">
        <v>1</v>
      </c>
      <c r="BE2" s="192">
        <v>1</v>
      </c>
      <c r="BF2" s="203">
        <v>2</v>
      </c>
    </row>
    <row r="3" spans="1:58" ht="14.25" hidden="1" customHeight="1" thickBot="1">
      <c r="A3" s="13" t="str">
        <f t="shared" ref="A3:F6" si="2">IF($A$1=$H$2,I3,IF($A$1=$H$3,I8,IF($A$1=$H$4,I13,IF($A$1=$H$5,I18,IF($A$1=$H$6,I23,IF($A$1=$H$7,I28,IF($A$1=$H$8,I33,IF($A$1=$H$9,I38,IF($A$1=$H$10,I43,IF($A$1=$H$11,I48,IF($A$1=$H$12,P3,IF($A$1=$H$13,P8,IF($A$1=$H$14,P13,IF($A$1=$H$15,P18,IF($A$1=$H$16,P23,IF($A$1=$H$17,P28,IF($A$1=$H$18,P33,IF($A$1=$H$19,P38,IF($A$1=$H$20,P43,IF($A$1=$H$21,P48,IF($A$1=$H$21,P53,IF($A$1=$H$22,W3,IF($A$1=$H$23,W8,IF($A$1=$H$24,W13,IF($A$1=$H$25,W18,IF($A$1=$H$26,W23,IF($A$1=$H$27,W28,IF($A$1=$H$28,W33,IF($A$1=$H$29,W38,IF($A$1=$H$30,W43,IF($A$1=$H$31,W48,IF($A$1=$H$32,AL3,IF($A$1=$H$33,AL8,IF($A$1=$H$34,AL13,IF($A$1=$H$35,AL18,IF($A$1=$H$36,AL23,IF($A$1=$H$37,AL28,IF($A$1=$H$38,AL33,IF($A$1=$H$39,AL38,IF($A$1=$H$40,AL43,IF($A$1=$H$41,AL48,IF($A$1=$H$42,AS3,IF($A$1=$H$43,AS8,IF($A$1=$H$44,AS13,IF($A$1=$H$45,AS18,IF($A$1=$H$46,AS23,IF($A$1=$H$47,AS28,IF($A$1=$H$48,AS33,IF($A$1=$H$49,AS38,IF($A$1=$H$50,AS43,IF($A$1=$H$51,AS48,IF($A$1=$H$51,AS53,IF($A$1=$H$52,AZ3,IF($A$1=$H$53,AZ8,IF($A$1=$H$54,AZ13,IF($A$1=$H$55,AZ18,IF($A$1=$H$56,AZ23,IF($A$1=$H$57,AZ28,IF($A$1=$H$58,AZ33,IF($A$1=$H$59,AZ38,IF($A$1=$H$60,AZ43,IF($A$1=$H$61,AZ48))))))))))))))))))))))))))))))))))))))))))))))))))))))))))))))</f>
        <v>ਵਿਪਨ ਕੁਮਾਰ</v>
      </c>
      <c r="B3" s="13">
        <f t="shared" si="2"/>
        <v>1</v>
      </c>
      <c r="C3" s="13">
        <f t="shared" si="2"/>
        <v>1</v>
      </c>
      <c r="D3" s="13">
        <f t="shared" si="2"/>
        <v>1</v>
      </c>
      <c r="E3" s="13">
        <f t="shared" si="2"/>
        <v>1</v>
      </c>
      <c r="F3" s="13">
        <f t="shared" si="2"/>
        <v>1</v>
      </c>
      <c r="G3" s="88"/>
      <c r="H3" s="178" t="str">
        <f>I7</f>
        <v>2 ਸ਼ਾਮ ਲਾਲ ਮੋਮੀ / ਨਰੈਣ ਦਾਸ</v>
      </c>
      <c r="I3" s="152" t="s">
        <v>52</v>
      </c>
      <c r="J3" s="14" t="s">
        <v>53</v>
      </c>
      <c r="K3" s="208" t="s">
        <v>1332</v>
      </c>
      <c r="L3" s="208" t="s">
        <v>644</v>
      </c>
      <c r="M3" s="15">
        <v>1</v>
      </c>
      <c r="N3" s="16">
        <v>2</v>
      </c>
      <c r="O3" s="198">
        <v>1</v>
      </c>
      <c r="P3" s="152" t="s">
        <v>55</v>
      </c>
      <c r="Q3" s="208" t="s">
        <v>1326</v>
      </c>
      <c r="R3" s="14">
        <v>1</v>
      </c>
      <c r="S3" s="14">
        <v>1</v>
      </c>
      <c r="T3" s="14">
        <v>1</v>
      </c>
      <c r="U3" s="14">
        <v>1</v>
      </c>
      <c r="V3" s="198">
        <v>1</v>
      </c>
      <c r="W3" s="152" t="s">
        <v>56</v>
      </c>
      <c r="X3" s="14">
        <v>1</v>
      </c>
      <c r="Y3" s="14">
        <v>1</v>
      </c>
      <c r="Z3" s="14">
        <v>1</v>
      </c>
      <c r="AA3" s="15">
        <v>1</v>
      </c>
      <c r="AB3" s="16">
        <v>2</v>
      </c>
      <c r="AC3" s="14">
        <v>1</v>
      </c>
      <c r="AD3" s="11"/>
      <c r="AE3" s="13" t="b">
        <f>IF($AE$1=$H$32,AL3,IF($AE$1=$H$33,AL8,IF($AE$1=$H$34,AL13,IF($AE$1=$H$35,AL18,IF($AE$1=$H$36,AL23,IF($AE$1=$H$37,AL28,IF($AE$1=$H$38,AL33,IF($AE$1=$H$39,AL38,IF($AE$1=$H$40,AL43,IF($AE$1=$H$41,AL48,IF($AE$1=$H$42,AS3,IF($AE$1=$H$43,AS8,IF($AE$1=$H$44,AS13,IF($AE$1=$H$45,AS18,IF($AE$1=$H$46,AS23,IF($AE$1=$H$47,AS28,IF($AE$1=$H$48,AS33,IF($AE$1=$H$49,AS38,IF($AE$1=$H$50,AS43,IF($AE$1=$H$51,AS48,IF($AE$1=$H$52,AS53,IF($AE$1=$H$52,AZ3,IF($AE$1=$H$53,AZ8,IF($AE$1=$H$54,AZ13,IF($AE$1=$H$55,AZ18,IF($AE$1=$H$56,AZ23,IF($AE$1=$H$57,AZ28,IF($AE$1=$H$58,AZ33,IF($AE$1=$H$59,AZ38,IF($AE$1=$H$60,AZ43,IF($AE$1=$H$61,AZ48)))))))))))))))))))))))))))))))</f>
        <v>0</v>
      </c>
      <c r="AF3" s="13" t="b">
        <f t="shared" si="1"/>
        <v>0</v>
      </c>
      <c r="AG3" s="13" t="b">
        <f t="shared" si="1"/>
        <v>0</v>
      </c>
      <c r="AH3" s="13" t="b">
        <f t="shared" si="1"/>
        <v>0</v>
      </c>
      <c r="AI3" s="13" t="b">
        <f t="shared" si="1"/>
        <v>0</v>
      </c>
      <c r="AJ3" s="13" t="b">
        <f t="shared" si="1"/>
        <v>0</v>
      </c>
      <c r="AL3" s="152" t="s">
        <v>57</v>
      </c>
      <c r="AM3" s="14" t="s">
        <v>58</v>
      </c>
      <c r="AN3" s="14">
        <v>1</v>
      </c>
      <c r="AO3" s="14">
        <v>1</v>
      </c>
      <c r="AP3" s="15">
        <v>1</v>
      </c>
      <c r="AQ3" s="16">
        <v>2</v>
      </c>
      <c r="AR3" s="14">
        <v>1</v>
      </c>
      <c r="AS3" s="152" t="s">
        <v>59</v>
      </c>
      <c r="AT3" s="208" t="s">
        <v>1317</v>
      </c>
      <c r="AU3" s="14">
        <v>1</v>
      </c>
      <c r="AV3" s="14">
        <v>1</v>
      </c>
      <c r="AW3" s="15">
        <v>1</v>
      </c>
      <c r="AX3" s="16">
        <v>2</v>
      </c>
      <c r="AY3" s="15">
        <v>1</v>
      </c>
      <c r="AZ3" s="142">
        <v>2</v>
      </c>
      <c r="BA3" s="5">
        <v>1</v>
      </c>
      <c r="BB3" s="5">
        <v>1</v>
      </c>
      <c r="BC3" s="5">
        <v>1</v>
      </c>
      <c r="BD3" s="5">
        <v>1</v>
      </c>
      <c r="BE3" s="16">
        <v>2</v>
      </c>
      <c r="BF3" s="203">
        <v>2</v>
      </c>
    </row>
    <row r="4" spans="1:58" ht="14.25" hidden="1" customHeight="1" thickBot="1">
      <c r="A4" s="13">
        <f t="shared" si="2"/>
        <v>28</v>
      </c>
      <c r="B4" s="13">
        <f t="shared" si="2"/>
        <v>1</v>
      </c>
      <c r="C4" s="13">
        <f t="shared" si="2"/>
        <v>1</v>
      </c>
      <c r="D4" s="13">
        <f t="shared" si="2"/>
        <v>1</v>
      </c>
      <c r="E4" s="13">
        <f t="shared" si="2"/>
        <v>1</v>
      </c>
      <c r="F4" s="13">
        <f t="shared" si="2"/>
        <v>1</v>
      </c>
      <c r="G4" s="88"/>
      <c r="H4" s="178" t="str">
        <f>I12</f>
        <v>3 ਸਤਨਾਮ ਦਾਸ ਮੋਮੀ - ਨਰੈਣ ਦਾਸ</v>
      </c>
      <c r="I4" s="152" t="s">
        <v>60</v>
      </c>
      <c r="J4" s="14" t="s">
        <v>61</v>
      </c>
      <c r="K4" s="14">
        <v>1</v>
      </c>
      <c r="L4" s="14">
        <v>1</v>
      </c>
      <c r="M4" s="15">
        <v>1</v>
      </c>
      <c r="N4" s="16">
        <v>3</v>
      </c>
      <c r="O4" s="198">
        <v>1</v>
      </c>
      <c r="P4" s="209" t="s">
        <v>334</v>
      </c>
      <c r="Q4" s="14">
        <v>1</v>
      </c>
      <c r="R4" s="14">
        <v>1</v>
      </c>
      <c r="S4" s="14">
        <v>1</v>
      </c>
      <c r="T4" s="14">
        <v>1</v>
      </c>
      <c r="U4" s="14">
        <v>1</v>
      </c>
      <c r="V4" s="198">
        <v>1</v>
      </c>
      <c r="W4" s="152">
        <v>3</v>
      </c>
      <c r="X4" s="14">
        <v>1</v>
      </c>
      <c r="Y4" s="14">
        <v>1</v>
      </c>
      <c r="Z4" s="14">
        <v>1</v>
      </c>
      <c r="AA4" s="15">
        <v>1</v>
      </c>
      <c r="AB4" s="16">
        <v>3</v>
      </c>
      <c r="AC4" s="14">
        <v>1</v>
      </c>
      <c r="AD4" s="11"/>
      <c r="AE4" s="13" t="b">
        <f>IF($AE$1=$H$32,AL4,IF($AE$1=$H$33,AL9,IF($AE$1=$H$34,AL14,IF($AE$1=$H$35,AL19,IF($AE$1=$H$36,AL24,IF($AE$1=$H$37,AL29,IF($AE$1=$H$38,AL34,IF($AE$1=$H$39,AL39,IF($AE$1=$H$40,AL44,IF($AE$1=$H$41,AL49,IF($AE$1=$H$42,AS4,IF($AE$1=$H$43,AS9,IF($AE$1=$H$44,AS14,IF($AE$1=$H$45,AS19,IF($AE$1=$H$46,AS24,IF($AE$1=$H$47,AS29,IF($AE$1=$H$48,AS34,IF($AE$1=$H$49,AS39,IF($AE$1=$H$50,AS44,IF($AE$1=$H$51,AS49,IF($AE$1=$H$52,AS54,IF($AE$1=$H$52,AZ4,IF($AE$1=$H$53,AZ9,IF($AE$1=$H$54,AZ14,IF($AE$1=$H$55,AZ19,IF($AE$1=$H$56,AZ24,IF($AE$1=$H$57,AZ29,IF($AE$1=$H$58,AZ34,IF($AE$1=$H$59,AZ39,IF($AE$1=$H$60,AZ44,IF($AE$1=$H$61,AZ49)))))))))))))))))))))))))))))))</f>
        <v>0</v>
      </c>
      <c r="AF4" s="13" t="b">
        <f t="shared" si="1"/>
        <v>0</v>
      </c>
      <c r="AG4" s="13" t="b">
        <f t="shared" si="1"/>
        <v>0</v>
      </c>
      <c r="AH4" s="13" t="b">
        <f t="shared" si="1"/>
        <v>0</v>
      </c>
      <c r="AI4" s="13" t="b">
        <f t="shared" si="1"/>
        <v>0</v>
      </c>
      <c r="AJ4" s="13" t="b">
        <f t="shared" si="1"/>
        <v>0</v>
      </c>
      <c r="AL4" s="152" t="s">
        <v>63</v>
      </c>
      <c r="AM4" s="14">
        <v>1</v>
      </c>
      <c r="AN4" s="14">
        <v>1</v>
      </c>
      <c r="AO4" s="14">
        <v>1</v>
      </c>
      <c r="AP4" s="15">
        <v>1</v>
      </c>
      <c r="AQ4" s="16">
        <v>3</v>
      </c>
      <c r="AR4" s="14">
        <v>1</v>
      </c>
      <c r="AS4" s="152" t="s">
        <v>64</v>
      </c>
      <c r="AT4" s="208" t="s">
        <v>347</v>
      </c>
      <c r="AU4" s="14">
        <v>1</v>
      </c>
      <c r="AV4" s="14">
        <v>1</v>
      </c>
      <c r="AW4" s="15">
        <v>1</v>
      </c>
      <c r="AX4" s="16">
        <v>3</v>
      </c>
      <c r="AY4" s="15">
        <v>1</v>
      </c>
      <c r="AZ4" s="142">
        <v>3</v>
      </c>
      <c r="BA4" s="5">
        <v>1</v>
      </c>
      <c r="BB4" s="5">
        <v>1</v>
      </c>
      <c r="BC4" s="5">
        <v>1</v>
      </c>
      <c r="BD4" s="5">
        <v>1</v>
      </c>
      <c r="BE4" s="16">
        <v>3</v>
      </c>
      <c r="BF4" s="203">
        <v>2</v>
      </c>
    </row>
    <row r="5" spans="1:58" ht="14.25" hidden="1" customHeight="1" thickBot="1">
      <c r="A5" s="13">
        <f t="shared" si="2"/>
        <v>29</v>
      </c>
      <c r="B5" s="13">
        <f t="shared" si="2"/>
        <v>1</v>
      </c>
      <c r="C5" s="13">
        <f t="shared" si="2"/>
        <v>1</v>
      </c>
      <c r="D5" s="13">
        <f t="shared" si="2"/>
        <v>1</v>
      </c>
      <c r="E5" s="13">
        <f t="shared" si="2"/>
        <v>1</v>
      </c>
      <c r="F5" s="13">
        <f t="shared" si="2"/>
        <v>1</v>
      </c>
      <c r="G5" s="88"/>
      <c r="H5" s="178" t="str">
        <f>I17</f>
        <v>4 ਕਸ਼ਮੀਰ ਲਾਲ ਮੋਮੀ / ਨਰੈਣ ਦਾਸ</v>
      </c>
      <c r="I5" s="152" t="s">
        <v>65</v>
      </c>
      <c r="J5" s="208" t="s">
        <v>280</v>
      </c>
      <c r="K5" s="14">
        <v>1</v>
      </c>
      <c r="L5" s="14">
        <v>1</v>
      </c>
      <c r="M5" s="15">
        <v>1</v>
      </c>
      <c r="N5" s="16">
        <v>4</v>
      </c>
      <c r="O5" s="198">
        <v>1</v>
      </c>
      <c r="P5" s="209" t="s">
        <v>401</v>
      </c>
      <c r="Q5" s="208" t="s">
        <v>704</v>
      </c>
      <c r="R5" s="208" t="s">
        <v>175</v>
      </c>
      <c r="S5" s="208" t="s">
        <v>590</v>
      </c>
      <c r="T5" s="14">
        <v>1</v>
      </c>
      <c r="U5" s="14">
        <v>1</v>
      </c>
      <c r="V5" s="198">
        <v>1</v>
      </c>
      <c r="W5" s="152">
        <v>4</v>
      </c>
      <c r="X5" s="14">
        <v>1</v>
      </c>
      <c r="Y5" s="14">
        <v>1</v>
      </c>
      <c r="Z5" s="14">
        <v>1</v>
      </c>
      <c r="AA5" s="15">
        <v>1</v>
      </c>
      <c r="AB5" s="16">
        <v>4</v>
      </c>
      <c r="AC5" s="14">
        <v>1</v>
      </c>
      <c r="AD5" s="11"/>
      <c r="AE5" s="13" t="b">
        <f>IF($AE$1=$H$32,AL5,IF($AE$1=$H$33,AL10,IF($AE$1=$H$34,AL15,IF($AE$1=$H$35,AL20,IF($AE$1=$H$36,AL25,IF($AE$1=$H$37,AL30,IF($AE$1=$H$38,AL35,IF($AE$1=$H$39,AL40,IF($AE$1=$H$40,AL45,IF($AE$1=$H$41,AL50,IF($AE$1=$H$42,AS5,IF($AE$1=$H$43,AS10,IF($AE$1=$H$44,AS15,IF($AE$1=$H$45,AS20,IF($AE$1=$H$46,AS25,IF($AE$1=$H$47,AS30,IF($AE$1=$H$48,AS35,IF($AE$1=$H$49,AS40,IF($AE$1=$H$50,AS45,IF($AE$1=$H$51,AS50,IF($AE$1=$H$52,AS55,IF($AE$1=$H$52,AZ5,IF($AE$1=$H$53,AZ10,IF($AE$1=$H$54,AZ15,IF($AE$1=$H$55,AZ20,IF($AE$1=$H$56,AZ25,IF($AE$1=$H$57,AZ30,IF($AE$1=$H$58,AZ35,IF($AE$1=$H$59,AZ40,IF($AE$1=$H$60,AZ45,IF($AE$1=$H$61,AZ50)))))))))))))))))))))))))))))))</f>
        <v>0</v>
      </c>
      <c r="AF5" s="13" t="b">
        <f t="shared" si="1"/>
        <v>0</v>
      </c>
      <c r="AG5" s="13" t="b">
        <f t="shared" si="1"/>
        <v>0</v>
      </c>
      <c r="AH5" s="13" t="b">
        <f t="shared" si="1"/>
        <v>0</v>
      </c>
      <c r="AI5" s="13" t="b">
        <f t="shared" si="1"/>
        <v>0</v>
      </c>
      <c r="AJ5" s="13" t="b">
        <f t="shared" si="1"/>
        <v>0</v>
      </c>
      <c r="AL5" s="152" t="s">
        <v>67</v>
      </c>
      <c r="AM5" s="14" t="s">
        <v>68</v>
      </c>
      <c r="AN5" s="208" t="s">
        <v>275</v>
      </c>
      <c r="AO5" s="14">
        <v>1</v>
      </c>
      <c r="AP5" s="15">
        <v>1</v>
      </c>
      <c r="AQ5" s="16">
        <v>4</v>
      </c>
      <c r="AR5" s="14">
        <v>1</v>
      </c>
      <c r="AS5" s="152">
        <v>4</v>
      </c>
      <c r="AT5" s="14">
        <v>1</v>
      </c>
      <c r="AU5" s="14">
        <v>1</v>
      </c>
      <c r="AV5" s="14">
        <v>1</v>
      </c>
      <c r="AW5" s="15">
        <v>1</v>
      </c>
      <c r="AX5" s="16">
        <v>4</v>
      </c>
      <c r="AY5" s="15">
        <v>1</v>
      </c>
      <c r="AZ5" s="142">
        <v>4</v>
      </c>
      <c r="BA5" s="5">
        <v>1</v>
      </c>
      <c r="BB5" s="5">
        <v>1</v>
      </c>
      <c r="BC5" s="5">
        <v>1</v>
      </c>
      <c r="BD5" s="5">
        <v>1</v>
      </c>
      <c r="BE5" s="16">
        <v>4</v>
      </c>
      <c r="BF5" s="203">
        <v>2</v>
      </c>
    </row>
    <row r="6" spans="1:58" ht="14.25" hidden="1" customHeight="1" thickBot="1">
      <c r="A6" s="13">
        <f t="shared" si="2"/>
        <v>30</v>
      </c>
      <c r="B6" s="13">
        <f t="shared" si="2"/>
        <v>1</v>
      </c>
      <c r="C6" s="13">
        <f t="shared" si="2"/>
        <v>1</v>
      </c>
      <c r="D6" s="13">
        <f t="shared" si="2"/>
        <v>1</v>
      </c>
      <c r="E6" s="13">
        <f t="shared" si="2"/>
        <v>1</v>
      </c>
      <c r="F6" s="13">
        <f t="shared" si="2"/>
        <v>1</v>
      </c>
      <c r="G6" s="88"/>
      <c r="H6" s="179" t="str">
        <f>I22</f>
        <v>5 ਦਿਵਾਨ ਚੰਦ ਮੋਮੀ ਅਤੇ ਜੰਮੂ ਰਾਮ / ਚਾੰਦੀ ਰਾਮ</v>
      </c>
      <c r="I6" s="152" t="s">
        <v>69</v>
      </c>
      <c r="J6" s="14" t="s">
        <v>70</v>
      </c>
      <c r="K6" s="14" t="s">
        <v>71</v>
      </c>
      <c r="L6" s="208" t="s">
        <v>1333</v>
      </c>
      <c r="M6" s="15">
        <v>1</v>
      </c>
      <c r="N6" s="16">
        <v>5</v>
      </c>
      <c r="O6" s="198">
        <v>1</v>
      </c>
      <c r="P6" s="152">
        <v>5</v>
      </c>
      <c r="Q6" s="14">
        <v>1</v>
      </c>
      <c r="R6" s="14">
        <v>1</v>
      </c>
      <c r="S6" s="14">
        <v>1</v>
      </c>
      <c r="T6" s="14">
        <v>1</v>
      </c>
      <c r="U6" s="14">
        <v>1</v>
      </c>
      <c r="V6" s="198">
        <v>1</v>
      </c>
      <c r="W6" s="152">
        <v>5</v>
      </c>
      <c r="X6" s="14">
        <v>1</v>
      </c>
      <c r="Y6" s="14">
        <v>1</v>
      </c>
      <c r="Z6" s="14">
        <v>1</v>
      </c>
      <c r="AA6" s="15">
        <v>1</v>
      </c>
      <c r="AB6" s="16">
        <v>5</v>
      </c>
      <c r="AC6" s="14">
        <v>1</v>
      </c>
      <c r="AD6" s="11"/>
      <c r="AE6" s="13" t="b">
        <f>IF($AE$1=$H$32,AL6,IF($AE$1=$H$33,AL11,IF($AE$1=$H$34,AL16,IF($AE$1=$H$35,AL21,IF($AE$1=$H$36,AL26,IF($AE$1=$H$37,AL31,IF($AE$1=$H$38,AL36,IF($AE$1=$H$39,AL41,IF($AE$1=$H$40,AL46,IF($AE$1=$H$41,AL51,IF($AE$1=$H$42,AS6,IF($AE$1=$H$43,AS11,IF($AE$1=$H$44,AS16,IF($AE$1=$H$45,AS21,IF($AE$1=$H$46,AS26,IF($AE$1=$H$47,AS31,IF($AE$1=$H$48,AS36,IF($AE$1=$H$49,AS41,IF($AE$1=$H$50,AS46,IF($AE$1=$H$51,AS51,IF($AE$1=$H$52,AS56,IF($AE$1=$H$52,AZ6,IF($AE$1=$H$53,AZ11,IF($AE$1=$H$54,AZ16,IF($AE$1=$H$55,AZ21,IF($AE$1=$H$56,AZ26,IF($AE$1=$H$57,AZ31,IF($AE$1=$H$58,AZ36,IF($AE$1=$H$59,AZ41,IF($AE$1=$H$60,AZ46,IF($AE$1=$H$61,AZ51)))))))))))))))))))))))))))))))</f>
        <v>0</v>
      </c>
      <c r="AF6" s="13" t="b">
        <f t="shared" si="1"/>
        <v>0</v>
      </c>
      <c r="AG6" s="13" t="b">
        <f t="shared" si="1"/>
        <v>0</v>
      </c>
      <c r="AH6" s="13" t="b">
        <f t="shared" si="1"/>
        <v>0</v>
      </c>
      <c r="AI6" s="13" t="b">
        <f t="shared" si="1"/>
        <v>0</v>
      </c>
      <c r="AJ6" s="13" t="b">
        <f t="shared" si="1"/>
        <v>0</v>
      </c>
      <c r="AL6" s="152">
        <v>5</v>
      </c>
      <c r="AM6" s="14">
        <v>1</v>
      </c>
      <c r="AN6" s="14">
        <v>1</v>
      </c>
      <c r="AO6" s="14">
        <v>1</v>
      </c>
      <c r="AP6" s="15">
        <v>1</v>
      </c>
      <c r="AQ6" s="16">
        <v>5</v>
      </c>
      <c r="AR6" s="14">
        <v>1</v>
      </c>
      <c r="AS6" s="152">
        <v>5</v>
      </c>
      <c r="AT6" s="14">
        <v>1</v>
      </c>
      <c r="AU6" s="14">
        <v>1</v>
      </c>
      <c r="AV6" s="14">
        <v>1</v>
      </c>
      <c r="AW6" s="15">
        <v>1</v>
      </c>
      <c r="AX6" s="16">
        <v>5</v>
      </c>
      <c r="AY6" s="15">
        <v>1</v>
      </c>
      <c r="AZ6" s="142">
        <v>5</v>
      </c>
      <c r="BA6" s="5">
        <v>1</v>
      </c>
      <c r="BB6" s="5">
        <v>1</v>
      </c>
      <c r="BC6" s="5">
        <v>1</v>
      </c>
      <c r="BD6" s="5">
        <v>1</v>
      </c>
      <c r="BE6" s="16">
        <v>5</v>
      </c>
      <c r="BF6" s="203">
        <v>2</v>
      </c>
    </row>
    <row r="7" spans="1:58" ht="14.25" hidden="1" customHeight="1" thickBot="1">
      <c r="A7" s="19"/>
      <c r="B7" s="19"/>
      <c r="C7" s="19"/>
      <c r="D7" s="19"/>
      <c r="E7" s="19"/>
      <c r="F7" s="19"/>
      <c r="G7" s="19"/>
      <c r="H7" s="179" t="str">
        <f>I27</f>
        <v>6 ਸੋਮ ਪ੍ਰਕਾਸ਼ ਮੋਮੀ / ਚਾਂਦੀ ਰਾਮ</v>
      </c>
      <c r="I7" s="151" t="s">
        <v>54</v>
      </c>
      <c r="J7" s="14" t="s">
        <v>74</v>
      </c>
      <c r="K7" s="14" t="s">
        <v>75</v>
      </c>
      <c r="L7" s="14">
        <v>1</v>
      </c>
      <c r="M7" s="15">
        <v>1</v>
      </c>
      <c r="N7" s="16">
        <v>6</v>
      </c>
      <c r="O7" s="198" t="s">
        <v>1095</v>
      </c>
      <c r="P7" s="151" t="s">
        <v>76</v>
      </c>
      <c r="Q7" s="14" t="s">
        <v>77</v>
      </c>
      <c r="R7" s="14">
        <v>1</v>
      </c>
      <c r="S7" s="14">
        <v>1</v>
      </c>
      <c r="T7" s="14">
        <v>1</v>
      </c>
      <c r="U7" s="14">
        <v>1</v>
      </c>
      <c r="V7" s="198" t="s">
        <v>1102</v>
      </c>
      <c r="W7" s="151" t="s">
        <v>78</v>
      </c>
      <c r="X7" s="14" t="s">
        <v>79</v>
      </c>
      <c r="Y7" s="14">
        <v>1</v>
      </c>
      <c r="Z7" s="14">
        <v>1</v>
      </c>
      <c r="AA7" s="15">
        <v>1</v>
      </c>
      <c r="AB7" s="16">
        <v>6</v>
      </c>
      <c r="AC7" s="201" t="s">
        <v>1109</v>
      </c>
      <c r="AD7" s="11"/>
      <c r="AE7" s="19"/>
      <c r="AF7" s="19"/>
      <c r="AG7" s="19"/>
      <c r="AH7" s="19"/>
      <c r="AI7" s="19"/>
      <c r="AJ7" s="19"/>
      <c r="AL7" s="151" t="s">
        <v>80</v>
      </c>
      <c r="AM7" s="14" t="s">
        <v>81</v>
      </c>
      <c r="AN7" s="14" t="s">
        <v>82</v>
      </c>
      <c r="AO7" s="14">
        <v>1</v>
      </c>
      <c r="AP7" s="15">
        <v>1</v>
      </c>
      <c r="AQ7" s="16">
        <v>6</v>
      </c>
      <c r="AR7" s="201" t="s">
        <v>1137</v>
      </c>
      <c r="AS7" s="151" t="s">
        <v>1128</v>
      </c>
      <c r="AT7" s="14" t="s">
        <v>200</v>
      </c>
      <c r="AU7" s="14" t="s">
        <v>201</v>
      </c>
      <c r="AV7" s="14">
        <v>1</v>
      </c>
      <c r="AW7" s="15">
        <v>1</v>
      </c>
      <c r="AX7" s="16">
        <v>26</v>
      </c>
      <c r="AY7" s="202" t="s">
        <v>1131</v>
      </c>
      <c r="AZ7" s="144" t="s">
        <v>85</v>
      </c>
      <c r="BA7" s="5">
        <v>1</v>
      </c>
      <c r="BB7" s="5">
        <v>1</v>
      </c>
      <c r="BC7" s="5">
        <v>1</v>
      </c>
      <c r="BD7" s="5">
        <v>1</v>
      </c>
      <c r="BE7" s="16">
        <v>6</v>
      </c>
      <c r="BF7" s="203">
        <v>2</v>
      </c>
    </row>
    <row r="8" spans="1:58" ht="14.25" hidden="1" customHeight="1" thickBot="1">
      <c r="A8" s="19"/>
      <c r="B8" s="19"/>
      <c r="C8" s="19"/>
      <c r="D8" s="19"/>
      <c r="E8" s="19"/>
      <c r="F8" s="19"/>
      <c r="G8" s="19"/>
      <c r="H8" s="179" t="str">
        <f>I32</f>
        <v>7 ਓਮ,ਕ੍ਰਿਸ਼ਨ,ਰਮੇਸ/ਚਾਂਦੀ ਰਾਮ</v>
      </c>
      <c r="I8" s="152" t="s">
        <v>87</v>
      </c>
      <c r="J8" s="208" t="s">
        <v>485</v>
      </c>
      <c r="K8" s="14">
        <v>1</v>
      </c>
      <c r="L8" s="14">
        <v>1</v>
      </c>
      <c r="M8" s="15">
        <v>1</v>
      </c>
      <c r="N8" s="16">
        <v>7</v>
      </c>
      <c r="O8" s="198">
        <v>1</v>
      </c>
      <c r="P8" s="152" t="s">
        <v>88</v>
      </c>
      <c r="Q8" s="208" t="s">
        <v>1372</v>
      </c>
      <c r="R8" s="208" t="s">
        <v>876</v>
      </c>
      <c r="S8" s="208" t="s">
        <v>1374</v>
      </c>
      <c r="T8" s="208" t="s">
        <v>1375</v>
      </c>
      <c r="U8" s="14">
        <v>1</v>
      </c>
      <c r="V8" s="198">
        <v>1</v>
      </c>
      <c r="W8" s="152" t="s">
        <v>89</v>
      </c>
      <c r="X8" s="14" t="s">
        <v>79</v>
      </c>
      <c r="Y8" s="208" t="s">
        <v>587</v>
      </c>
      <c r="Z8" s="208" t="s">
        <v>1327</v>
      </c>
      <c r="AA8" s="210" t="s">
        <v>1328</v>
      </c>
      <c r="AB8" s="16">
        <v>7</v>
      </c>
      <c r="AC8" s="14">
        <v>1</v>
      </c>
      <c r="AD8" s="11"/>
      <c r="AE8" s="19"/>
      <c r="AF8" s="19"/>
      <c r="AG8" s="19"/>
      <c r="AH8" s="19"/>
      <c r="AI8" s="19"/>
      <c r="AJ8" s="19"/>
      <c r="AL8" s="152" t="s">
        <v>55</v>
      </c>
      <c r="AM8" s="14" t="s">
        <v>90</v>
      </c>
      <c r="AN8" s="14"/>
      <c r="AO8" s="14">
        <v>1</v>
      </c>
      <c r="AP8" s="15">
        <v>1</v>
      </c>
      <c r="AQ8" s="16">
        <v>7</v>
      </c>
      <c r="AR8" s="14">
        <v>1</v>
      </c>
      <c r="AS8" s="152" t="s">
        <v>208</v>
      </c>
      <c r="AT8" s="14" t="s">
        <v>143</v>
      </c>
      <c r="AU8" s="14" t="s">
        <v>209</v>
      </c>
      <c r="AV8" s="14">
        <v>1</v>
      </c>
      <c r="AW8" s="15">
        <v>1</v>
      </c>
      <c r="AX8" s="16">
        <v>27</v>
      </c>
      <c r="AY8" s="15">
        <v>1</v>
      </c>
      <c r="AZ8" s="142">
        <v>7</v>
      </c>
      <c r="BA8" s="5">
        <v>1</v>
      </c>
      <c r="BB8" s="5">
        <v>1</v>
      </c>
      <c r="BC8" s="5">
        <v>1</v>
      </c>
      <c r="BD8" s="5">
        <v>1</v>
      </c>
      <c r="BE8" s="16">
        <v>7</v>
      </c>
      <c r="BF8" s="203">
        <v>2</v>
      </c>
    </row>
    <row r="9" spans="1:58" ht="14.25" hidden="1" customHeight="1" thickBot="1">
      <c r="A9" s="19"/>
      <c r="B9" s="19"/>
      <c r="C9" s="19"/>
      <c r="D9" s="19"/>
      <c r="E9" s="19"/>
      <c r="F9" s="19"/>
      <c r="G9" s="19"/>
      <c r="H9" s="179" t="str">
        <f>I37</f>
        <v>8 ਰਾਮ ਲੁਭਾਇਆ / ਮੇਹਰਾ ਰਾਮ</v>
      </c>
      <c r="I9" s="152" t="s">
        <v>55</v>
      </c>
      <c r="J9" s="208" t="s">
        <v>704</v>
      </c>
      <c r="K9" s="14">
        <v>1</v>
      </c>
      <c r="L9" s="14">
        <v>1</v>
      </c>
      <c r="M9" s="15">
        <v>1</v>
      </c>
      <c r="N9" s="16">
        <v>8</v>
      </c>
      <c r="O9" s="198">
        <v>1</v>
      </c>
      <c r="P9" s="152" t="s">
        <v>96</v>
      </c>
      <c r="Q9" s="14" t="s">
        <v>97</v>
      </c>
      <c r="R9" s="14" t="s">
        <v>64</v>
      </c>
      <c r="S9" s="208" t="s">
        <v>1373</v>
      </c>
      <c r="T9" s="14">
        <v>1</v>
      </c>
      <c r="U9" s="14">
        <v>1</v>
      </c>
      <c r="V9" s="198">
        <v>1</v>
      </c>
      <c r="W9" s="152" t="s">
        <v>98</v>
      </c>
      <c r="X9" s="14" t="s">
        <v>99</v>
      </c>
      <c r="Y9" s="14">
        <v>1</v>
      </c>
      <c r="Z9" s="14">
        <v>1</v>
      </c>
      <c r="AA9" s="15">
        <v>1</v>
      </c>
      <c r="AB9" s="16">
        <v>8</v>
      </c>
      <c r="AC9" s="14">
        <v>1</v>
      </c>
      <c r="AD9" s="11"/>
      <c r="AE9" s="19"/>
      <c r="AF9" s="19"/>
      <c r="AG9" s="19"/>
      <c r="AH9" s="19"/>
      <c r="AI9" s="19"/>
      <c r="AJ9" s="19"/>
      <c r="AL9" s="152" t="s">
        <v>100</v>
      </c>
      <c r="AM9" s="14" t="s">
        <v>101</v>
      </c>
      <c r="AN9" s="14">
        <v>1</v>
      </c>
      <c r="AO9" s="14">
        <v>1</v>
      </c>
      <c r="AP9" s="15">
        <v>1</v>
      </c>
      <c r="AQ9" s="16">
        <v>8</v>
      </c>
      <c r="AR9" s="14">
        <v>1</v>
      </c>
      <c r="AS9" s="152" t="s">
        <v>212</v>
      </c>
      <c r="AT9" s="14">
        <v>1</v>
      </c>
      <c r="AU9" s="14">
        <v>1</v>
      </c>
      <c r="AV9" s="14">
        <v>1</v>
      </c>
      <c r="AW9" s="15">
        <v>1</v>
      </c>
      <c r="AX9" s="16">
        <v>28</v>
      </c>
      <c r="AY9" s="15">
        <v>1</v>
      </c>
      <c r="AZ9" s="142">
        <v>8</v>
      </c>
      <c r="BA9" s="5">
        <v>1</v>
      </c>
      <c r="BB9" s="5">
        <v>1</v>
      </c>
      <c r="BC9" s="5">
        <v>1</v>
      </c>
      <c r="BD9" s="5">
        <v>1</v>
      </c>
      <c r="BE9" s="16">
        <v>8</v>
      </c>
      <c r="BF9" s="203">
        <v>2</v>
      </c>
    </row>
    <row r="10" spans="1:58" ht="14.25" hidden="1" customHeight="1" thickBot="1">
      <c r="A10" s="19"/>
      <c r="B10" s="19"/>
      <c r="C10" s="19"/>
      <c r="D10" s="19"/>
      <c r="E10" s="19"/>
      <c r="F10" s="19"/>
      <c r="G10" s="91"/>
      <c r="H10" s="179" t="str">
        <f>I42</f>
        <v>9 ਲਛਮਣ ਰਾਮ (ਹਕੀਮ ਦੀ ਕੁਟੀਆ ਨਾਲ)</v>
      </c>
      <c r="I10" s="152">
        <v>9</v>
      </c>
      <c r="J10" s="14">
        <v>1</v>
      </c>
      <c r="K10" s="14">
        <v>1</v>
      </c>
      <c r="L10" s="14">
        <v>1</v>
      </c>
      <c r="M10" s="15">
        <v>1</v>
      </c>
      <c r="N10" s="16">
        <v>9</v>
      </c>
      <c r="O10" s="198">
        <v>1</v>
      </c>
      <c r="P10" s="152">
        <v>9</v>
      </c>
      <c r="Q10" s="14">
        <v>1</v>
      </c>
      <c r="R10" s="14">
        <v>1</v>
      </c>
      <c r="S10" s="14">
        <v>1</v>
      </c>
      <c r="T10" s="14">
        <v>1</v>
      </c>
      <c r="U10" s="14">
        <v>1</v>
      </c>
      <c r="V10" s="198">
        <v>1</v>
      </c>
      <c r="W10" s="152" t="s">
        <v>105</v>
      </c>
      <c r="X10" s="14">
        <v>1</v>
      </c>
      <c r="Y10" s="14">
        <v>1</v>
      </c>
      <c r="Z10" s="14">
        <v>1</v>
      </c>
      <c r="AA10" s="15">
        <v>1</v>
      </c>
      <c r="AB10" s="16">
        <v>9</v>
      </c>
      <c r="AC10" s="14">
        <v>1</v>
      </c>
      <c r="AD10" s="11"/>
      <c r="AE10" s="19"/>
      <c r="AF10" s="19"/>
      <c r="AG10" s="19"/>
      <c r="AH10" s="19"/>
      <c r="AI10" s="19"/>
      <c r="AJ10" s="19"/>
      <c r="AL10" s="152" t="s">
        <v>106</v>
      </c>
      <c r="AM10" s="14" t="s">
        <v>107</v>
      </c>
      <c r="AN10" s="14">
        <v>1</v>
      </c>
      <c r="AO10" s="14">
        <v>1</v>
      </c>
      <c r="AP10" s="15">
        <v>1</v>
      </c>
      <c r="AQ10" s="16">
        <v>9</v>
      </c>
      <c r="AR10" s="14">
        <v>1</v>
      </c>
      <c r="AS10" s="152" t="s">
        <v>185</v>
      </c>
      <c r="AT10" s="14" t="s">
        <v>92</v>
      </c>
      <c r="AU10" s="14" t="s">
        <v>216</v>
      </c>
      <c r="AV10" s="14">
        <v>1</v>
      </c>
      <c r="AW10" s="15">
        <v>1</v>
      </c>
      <c r="AX10" s="16">
        <v>29</v>
      </c>
      <c r="AY10" s="15">
        <v>1</v>
      </c>
      <c r="AZ10" s="142">
        <v>9</v>
      </c>
      <c r="BA10" s="5">
        <v>1</v>
      </c>
      <c r="BB10" s="5">
        <v>1</v>
      </c>
      <c r="BC10" s="5">
        <v>1</v>
      </c>
      <c r="BD10" s="5">
        <v>1</v>
      </c>
      <c r="BE10" s="16">
        <v>9</v>
      </c>
      <c r="BF10" s="203">
        <v>2</v>
      </c>
    </row>
    <row r="11" spans="1:58" ht="14.25" customHeight="1" thickBot="1">
      <c r="A11" s="251" t="s">
        <v>13</v>
      </c>
      <c r="B11" s="251" t="s">
        <v>14</v>
      </c>
      <c r="C11" s="251" t="s">
        <v>15</v>
      </c>
      <c r="D11" s="251" t="s">
        <v>16</v>
      </c>
      <c r="E11" s="251" t="s">
        <v>17</v>
      </c>
      <c r="F11" s="251" t="s">
        <v>18</v>
      </c>
      <c r="G11" s="92"/>
      <c r="H11" s="180" t="str">
        <f>I47</f>
        <v>10 ਵਰਿਆਮ ਚੰਦ ਮੋਮੀ / ਸੋਨਾ ਰਾਮ</v>
      </c>
      <c r="I11" s="152">
        <v>10</v>
      </c>
      <c r="J11" s="14">
        <v>1</v>
      </c>
      <c r="K11" s="14">
        <v>1</v>
      </c>
      <c r="L11" s="14">
        <v>1</v>
      </c>
      <c r="M11" s="15">
        <v>1</v>
      </c>
      <c r="N11" s="16">
        <v>10</v>
      </c>
      <c r="O11" s="198">
        <v>1</v>
      </c>
      <c r="P11" s="152">
        <v>10</v>
      </c>
      <c r="Q11" s="14">
        <v>1</v>
      </c>
      <c r="R11" s="14">
        <v>1</v>
      </c>
      <c r="S11" s="14">
        <v>1</v>
      </c>
      <c r="T11" s="14">
        <v>1</v>
      </c>
      <c r="U11" s="14">
        <v>1</v>
      </c>
      <c r="V11" s="198">
        <v>1</v>
      </c>
      <c r="W11" s="152" t="s">
        <v>110</v>
      </c>
      <c r="X11" s="208" t="s">
        <v>945</v>
      </c>
      <c r="Y11" s="208" t="s">
        <v>1308</v>
      </c>
      <c r="Z11" s="14">
        <v>1</v>
      </c>
      <c r="AA11" s="15">
        <v>1</v>
      </c>
      <c r="AB11" s="16">
        <v>10</v>
      </c>
      <c r="AC11" s="14">
        <v>1</v>
      </c>
      <c r="AD11" s="11"/>
      <c r="AE11" s="20" t="s">
        <v>13</v>
      </c>
      <c r="AF11" s="20" t="s">
        <v>14</v>
      </c>
      <c r="AG11" s="20" t="s">
        <v>15</v>
      </c>
      <c r="AH11" s="20" t="s">
        <v>16</v>
      </c>
      <c r="AI11" s="20" t="s">
        <v>17</v>
      </c>
      <c r="AJ11" s="20" t="s">
        <v>18</v>
      </c>
      <c r="AL11" s="152" t="s">
        <v>112</v>
      </c>
      <c r="AM11" s="14" t="s">
        <v>113</v>
      </c>
      <c r="AN11" s="14">
        <v>1</v>
      </c>
      <c r="AO11" s="14">
        <v>1</v>
      </c>
      <c r="AP11" s="15">
        <v>1</v>
      </c>
      <c r="AQ11" s="16">
        <v>10</v>
      </c>
      <c r="AR11" s="14">
        <v>1</v>
      </c>
      <c r="AS11" s="152" t="s">
        <v>220</v>
      </c>
      <c r="AT11" s="14">
        <v>1</v>
      </c>
      <c r="AU11" s="14">
        <v>1</v>
      </c>
      <c r="AV11" s="14">
        <v>1</v>
      </c>
      <c r="AW11" s="15">
        <v>1</v>
      </c>
      <c r="AX11" s="16">
        <v>30</v>
      </c>
      <c r="AY11" s="15">
        <v>1</v>
      </c>
      <c r="AZ11" s="142">
        <v>10</v>
      </c>
      <c r="BA11" s="14">
        <v>1</v>
      </c>
      <c r="BB11" s="14">
        <v>1</v>
      </c>
      <c r="BC11" s="14">
        <v>1</v>
      </c>
      <c r="BD11" s="15">
        <v>1</v>
      </c>
      <c r="BE11" s="16">
        <v>10</v>
      </c>
      <c r="BF11" s="203">
        <v>2</v>
      </c>
    </row>
    <row r="12" spans="1:58" ht="14.25" customHeight="1" thickBot="1">
      <c r="A12" s="21" t="str">
        <f t="shared" ref="A12:F16" si="3">IF(A2&lt;100,"",A2)</f>
        <v>16 ਹੰਸ ਰਾਜ ਮੋਮੀ / ਸੱਤੀ ਰਾਮ</v>
      </c>
      <c r="B12" s="21" t="str">
        <f t="shared" si="3"/>
        <v>ਬਾਗਾਂ ਬਾਈ</v>
      </c>
      <c r="C12" s="21" t="str">
        <f t="shared" si="3"/>
        <v>ਪਵਨ ਕੁਮਾਰ (ਰਾਜੀਵ)</v>
      </c>
      <c r="D12" s="21" t="str">
        <f t="shared" si="3"/>
        <v/>
      </c>
      <c r="E12" s="21" t="str">
        <f t="shared" si="3"/>
        <v/>
      </c>
      <c r="F12" s="21" t="str">
        <f t="shared" si="3"/>
        <v/>
      </c>
      <c r="G12" s="92"/>
      <c r="H12" s="180" t="str">
        <f>P2</f>
        <v>11 ਜੈ ਚੰਦ,ਪਰਮਾ/ਸੋਨਾ ਰਾਮ</v>
      </c>
      <c r="I12" s="151" t="s">
        <v>62</v>
      </c>
      <c r="J12" s="14" t="s">
        <v>74</v>
      </c>
      <c r="K12" s="14" t="s">
        <v>115</v>
      </c>
      <c r="L12" s="14" t="s">
        <v>116</v>
      </c>
      <c r="M12" s="15">
        <v>1</v>
      </c>
      <c r="N12" s="16">
        <v>11</v>
      </c>
      <c r="O12" s="199" t="s">
        <v>1096</v>
      </c>
      <c r="P12" s="151" t="s">
        <v>117</v>
      </c>
      <c r="Q12" s="14" t="s">
        <v>82</v>
      </c>
      <c r="R12" s="14">
        <v>1</v>
      </c>
      <c r="S12" s="14">
        <v>1</v>
      </c>
      <c r="T12" s="14">
        <v>1</v>
      </c>
      <c r="U12" s="14">
        <v>1</v>
      </c>
      <c r="V12" s="239" t="s">
        <v>1413</v>
      </c>
      <c r="W12" s="151" t="s">
        <v>1090</v>
      </c>
      <c r="X12" s="14" t="s">
        <v>245</v>
      </c>
      <c r="Y12" s="14" t="s">
        <v>246</v>
      </c>
      <c r="Z12" s="14">
        <v>1</v>
      </c>
      <c r="AA12" s="15">
        <v>1</v>
      </c>
      <c r="AB12" s="16">
        <v>36</v>
      </c>
      <c r="AC12" s="201" t="s">
        <v>1110</v>
      </c>
      <c r="AD12" s="11"/>
      <c r="AE12" s="21" t="b">
        <f t="shared" ref="AE12:AJ16" si="4">IF(AE2&lt;100,"",AE2)</f>
        <v>0</v>
      </c>
      <c r="AF12" s="21" t="b">
        <f t="shared" si="4"/>
        <v>0</v>
      </c>
      <c r="AG12" s="21" t="b">
        <f t="shared" si="4"/>
        <v>0</v>
      </c>
      <c r="AH12" s="21" t="b">
        <f t="shared" si="4"/>
        <v>0</v>
      </c>
      <c r="AI12" s="21" t="b">
        <f t="shared" si="4"/>
        <v>0</v>
      </c>
      <c r="AJ12" s="21" t="b">
        <f t="shared" si="4"/>
        <v>0</v>
      </c>
      <c r="AL12" s="151" t="s">
        <v>118</v>
      </c>
      <c r="AM12" s="14" t="s">
        <v>119</v>
      </c>
      <c r="AN12" s="14" t="s">
        <v>120</v>
      </c>
      <c r="AO12" s="14">
        <v>1</v>
      </c>
      <c r="AP12" s="14">
        <v>1</v>
      </c>
      <c r="AQ12" s="16">
        <v>11</v>
      </c>
      <c r="AR12" s="201" t="s">
        <v>1119</v>
      </c>
      <c r="AS12" s="151" t="s">
        <v>121</v>
      </c>
      <c r="AT12" s="14" t="s">
        <v>103</v>
      </c>
      <c r="AU12" s="14" t="s">
        <v>122</v>
      </c>
      <c r="AV12" s="14">
        <v>1</v>
      </c>
      <c r="AW12" s="15">
        <v>1</v>
      </c>
      <c r="AX12" s="16">
        <v>11</v>
      </c>
      <c r="AY12" s="201" t="s">
        <v>1132</v>
      </c>
      <c r="AZ12" s="144" t="s">
        <v>123</v>
      </c>
      <c r="BA12" s="14">
        <v>1</v>
      </c>
      <c r="BB12" s="14">
        <v>1</v>
      </c>
      <c r="BC12" s="14">
        <v>1</v>
      </c>
      <c r="BD12" s="15">
        <v>1</v>
      </c>
      <c r="BE12" s="16">
        <v>11</v>
      </c>
      <c r="BF12" s="203">
        <v>2</v>
      </c>
    </row>
    <row r="13" spans="1:58" ht="14.25" customHeight="1" thickBot="1">
      <c r="A13" s="21" t="str">
        <f t="shared" si="3"/>
        <v>ਵਿਪਨ ਕੁਮਾਰ</v>
      </c>
      <c r="B13" s="21" t="str">
        <f t="shared" si="3"/>
        <v/>
      </c>
      <c r="C13" s="21" t="str">
        <f t="shared" si="3"/>
        <v/>
      </c>
      <c r="D13" s="21" t="str">
        <f t="shared" si="3"/>
        <v/>
      </c>
      <c r="E13" s="21" t="str">
        <f t="shared" si="3"/>
        <v/>
      </c>
      <c r="F13" s="21" t="str">
        <f t="shared" si="3"/>
        <v/>
      </c>
      <c r="G13" s="92"/>
      <c r="H13" s="180" t="str">
        <f>P7</f>
        <v>13 ਸ਼ੇਰ ਚੰਦ ਮੋਮੀ ਅਤੇ ਤਿਲਕ ਰਾਜ/ ਸੋਨਾ ਰਾਮ</v>
      </c>
      <c r="I13" s="227" t="s">
        <v>124</v>
      </c>
      <c r="J13" s="14" t="s">
        <v>90</v>
      </c>
      <c r="K13" s="14">
        <v>1</v>
      </c>
      <c r="L13" s="14">
        <v>1</v>
      </c>
      <c r="M13" s="15">
        <v>1</v>
      </c>
      <c r="N13" s="16">
        <v>12</v>
      </c>
      <c r="O13" s="198">
        <v>1</v>
      </c>
      <c r="P13" s="152" t="s">
        <v>89</v>
      </c>
      <c r="Q13" s="14" t="s">
        <v>125</v>
      </c>
      <c r="R13" s="14" t="s">
        <v>126</v>
      </c>
      <c r="S13" s="14">
        <v>1</v>
      </c>
      <c r="T13" s="14">
        <v>1</v>
      </c>
      <c r="U13" s="14">
        <v>1</v>
      </c>
      <c r="V13" s="198">
        <v>1</v>
      </c>
      <c r="W13" s="152" t="s">
        <v>253</v>
      </c>
      <c r="X13" s="14" t="s">
        <v>254</v>
      </c>
      <c r="Y13" s="14" t="s">
        <v>131</v>
      </c>
      <c r="Z13" s="14" t="s">
        <v>255</v>
      </c>
      <c r="AA13" s="15">
        <v>1</v>
      </c>
      <c r="AB13" s="16">
        <v>37</v>
      </c>
      <c r="AC13" s="14">
        <v>1</v>
      </c>
      <c r="AD13" s="11"/>
      <c r="AE13" s="21" t="b">
        <f t="shared" si="4"/>
        <v>0</v>
      </c>
      <c r="AF13" s="21" t="b">
        <f t="shared" si="4"/>
        <v>0</v>
      </c>
      <c r="AG13" s="21" t="b">
        <f t="shared" si="4"/>
        <v>0</v>
      </c>
      <c r="AH13" s="21" t="b">
        <f t="shared" si="4"/>
        <v>0</v>
      </c>
      <c r="AI13" s="21" t="b">
        <f t="shared" si="4"/>
        <v>0</v>
      </c>
      <c r="AJ13" s="21" t="b">
        <f t="shared" si="4"/>
        <v>0</v>
      </c>
      <c r="AL13" s="152">
        <v>12</v>
      </c>
      <c r="AM13" s="14" t="s">
        <v>127</v>
      </c>
      <c r="AN13" s="208" t="s">
        <v>164</v>
      </c>
      <c r="AO13" s="14">
        <v>1</v>
      </c>
      <c r="AP13" s="15">
        <v>1</v>
      </c>
      <c r="AQ13" s="16">
        <v>12</v>
      </c>
      <c r="AR13" s="15">
        <v>1</v>
      </c>
      <c r="AS13" s="193" t="s">
        <v>128</v>
      </c>
      <c r="AT13" s="14" t="s">
        <v>129</v>
      </c>
      <c r="AU13" s="14" t="s">
        <v>130</v>
      </c>
      <c r="AV13" s="14">
        <v>1</v>
      </c>
      <c r="AW13" s="15">
        <v>1</v>
      </c>
      <c r="AX13" s="16">
        <v>12</v>
      </c>
      <c r="AY13" s="15">
        <v>1</v>
      </c>
      <c r="AZ13" s="142">
        <v>12</v>
      </c>
      <c r="BA13" s="14">
        <v>1</v>
      </c>
      <c r="BB13" s="14">
        <v>1</v>
      </c>
      <c r="BC13" s="14">
        <v>1</v>
      </c>
      <c r="BD13" s="15">
        <v>1</v>
      </c>
      <c r="BE13" s="16">
        <v>12</v>
      </c>
      <c r="BF13" s="203">
        <v>2</v>
      </c>
    </row>
    <row r="14" spans="1:58" ht="14.25" customHeight="1" thickBot="1">
      <c r="A14" s="21" t="str">
        <f t="shared" si="3"/>
        <v/>
      </c>
      <c r="B14" s="21" t="str">
        <f t="shared" si="3"/>
        <v/>
      </c>
      <c r="C14" s="21" t="str">
        <f t="shared" si="3"/>
        <v/>
      </c>
      <c r="D14" s="21" t="str">
        <f t="shared" si="3"/>
        <v/>
      </c>
      <c r="E14" s="21" t="str">
        <f t="shared" si="3"/>
        <v/>
      </c>
      <c r="F14" s="21" t="str">
        <f t="shared" si="3"/>
        <v/>
      </c>
      <c r="G14" s="92"/>
      <c r="H14" s="180" t="str">
        <f>P12</f>
        <v>13 ਮੁਨਸ਼ੀ ਰਾਮ ਵਣ ਵਾਲਾ</v>
      </c>
      <c r="I14" s="152">
        <v>13</v>
      </c>
      <c r="J14" s="14">
        <v>1</v>
      </c>
      <c r="K14" s="14">
        <v>1</v>
      </c>
      <c r="L14" s="14">
        <v>1</v>
      </c>
      <c r="M14" s="15">
        <v>1</v>
      </c>
      <c r="N14" s="16">
        <v>13</v>
      </c>
      <c r="O14" s="198">
        <v>1</v>
      </c>
      <c r="P14" s="152" t="s">
        <v>130</v>
      </c>
      <c r="Q14" s="14" t="s">
        <v>131</v>
      </c>
      <c r="R14" s="14">
        <v>1</v>
      </c>
      <c r="S14" s="14">
        <v>1</v>
      </c>
      <c r="T14" s="14">
        <v>1</v>
      </c>
      <c r="U14" s="14">
        <v>1</v>
      </c>
      <c r="V14" s="198">
        <v>1</v>
      </c>
      <c r="W14" s="152" t="s">
        <v>258</v>
      </c>
      <c r="X14" s="14">
        <v>1</v>
      </c>
      <c r="Y14" s="14" t="s">
        <v>175</v>
      </c>
      <c r="Z14" s="14" t="s">
        <v>259</v>
      </c>
      <c r="AA14" s="15" t="s">
        <v>176</v>
      </c>
      <c r="AB14" s="16">
        <v>1</v>
      </c>
      <c r="AC14" s="14">
        <v>1</v>
      </c>
      <c r="AD14" s="11"/>
      <c r="AE14" s="21" t="b">
        <f t="shared" si="4"/>
        <v>0</v>
      </c>
      <c r="AF14" s="21" t="b">
        <f t="shared" si="4"/>
        <v>0</v>
      </c>
      <c r="AG14" s="21" t="b">
        <f t="shared" si="4"/>
        <v>0</v>
      </c>
      <c r="AH14" s="21" t="b">
        <f t="shared" si="4"/>
        <v>0</v>
      </c>
      <c r="AI14" s="21" t="b">
        <f t="shared" si="4"/>
        <v>0</v>
      </c>
      <c r="AJ14" s="21" t="b">
        <f t="shared" si="4"/>
        <v>0</v>
      </c>
      <c r="AL14" s="152">
        <v>13</v>
      </c>
      <c r="AM14" s="14" t="s">
        <v>132</v>
      </c>
      <c r="AN14" s="14" t="s">
        <v>133</v>
      </c>
      <c r="AO14" s="14">
        <v>1</v>
      </c>
      <c r="AP14" s="15">
        <v>1</v>
      </c>
      <c r="AQ14" s="16">
        <v>13</v>
      </c>
      <c r="AR14" s="15">
        <v>1</v>
      </c>
      <c r="AS14" s="152" t="s">
        <v>134</v>
      </c>
      <c r="AT14" s="14">
        <v>1</v>
      </c>
      <c r="AU14" s="14">
        <v>1</v>
      </c>
      <c r="AV14" s="14">
        <v>1</v>
      </c>
      <c r="AW14" s="15">
        <v>1</v>
      </c>
      <c r="AX14" s="16">
        <v>13</v>
      </c>
      <c r="AY14" s="15">
        <v>1</v>
      </c>
      <c r="AZ14" s="142">
        <v>13</v>
      </c>
      <c r="BA14" s="14">
        <v>1</v>
      </c>
      <c r="BB14" s="14">
        <v>1</v>
      </c>
      <c r="BC14" s="14">
        <v>1</v>
      </c>
      <c r="BD14" s="15">
        <v>1</v>
      </c>
      <c r="BE14" s="16">
        <v>13</v>
      </c>
      <c r="BF14" s="203">
        <v>2</v>
      </c>
    </row>
    <row r="15" spans="1:58" ht="14.25" customHeight="1" thickBot="1">
      <c r="A15" s="21" t="str">
        <f t="shared" si="3"/>
        <v/>
      </c>
      <c r="B15" s="21" t="str">
        <f t="shared" si="3"/>
        <v/>
      </c>
      <c r="C15" s="21" t="str">
        <f t="shared" si="3"/>
        <v/>
      </c>
      <c r="D15" s="21" t="str">
        <f t="shared" si="3"/>
        <v/>
      </c>
      <c r="E15" s="21" t="str">
        <f t="shared" si="3"/>
        <v/>
      </c>
      <c r="F15" s="21" t="str">
        <f t="shared" si="3"/>
        <v/>
      </c>
      <c r="G15" s="92"/>
      <c r="H15" s="181" t="str">
        <f>P17</f>
        <v>14 ਲੇਖ ਰਾਜ ਮੋਮੀ / ਸੱਤੀ ਰਾਮ</v>
      </c>
      <c r="I15" s="152">
        <v>14</v>
      </c>
      <c r="J15" s="14">
        <v>1</v>
      </c>
      <c r="K15" s="14">
        <v>1</v>
      </c>
      <c r="L15" s="14">
        <v>1</v>
      </c>
      <c r="M15" s="15">
        <v>1</v>
      </c>
      <c r="N15" s="16">
        <v>14</v>
      </c>
      <c r="O15" s="198">
        <v>1</v>
      </c>
      <c r="P15" s="152" t="s">
        <v>136</v>
      </c>
      <c r="Q15" s="14" t="s">
        <v>38</v>
      </c>
      <c r="R15" s="14" t="s">
        <v>131</v>
      </c>
      <c r="S15" s="14" t="s">
        <v>137</v>
      </c>
      <c r="T15" s="14">
        <v>1</v>
      </c>
      <c r="U15" s="14">
        <v>1</v>
      </c>
      <c r="V15" s="198">
        <v>1</v>
      </c>
      <c r="W15" s="152">
        <v>39</v>
      </c>
      <c r="X15" s="14" t="s">
        <v>262</v>
      </c>
      <c r="Y15" s="14">
        <v>1</v>
      </c>
      <c r="Z15" s="14">
        <v>1</v>
      </c>
      <c r="AA15" s="15">
        <v>1</v>
      </c>
      <c r="AB15" s="16">
        <v>1</v>
      </c>
      <c r="AC15" s="14">
        <v>1</v>
      </c>
      <c r="AD15" s="11"/>
      <c r="AE15" s="21" t="b">
        <f t="shared" si="4"/>
        <v>0</v>
      </c>
      <c r="AF15" s="21" t="b">
        <f t="shared" si="4"/>
        <v>0</v>
      </c>
      <c r="AG15" s="21" t="b">
        <f t="shared" si="4"/>
        <v>0</v>
      </c>
      <c r="AH15" s="21" t="b">
        <f t="shared" si="4"/>
        <v>0</v>
      </c>
      <c r="AI15" s="21" t="b">
        <f t="shared" si="4"/>
        <v>0</v>
      </c>
      <c r="AJ15" s="21" t="b">
        <f t="shared" si="4"/>
        <v>0</v>
      </c>
      <c r="AL15" s="152" t="s">
        <v>138</v>
      </c>
      <c r="AM15" s="14" t="s">
        <v>139</v>
      </c>
      <c r="AN15" s="208" t="s">
        <v>140</v>
      </c>
      <c r="AO15" s="14">
        <v>1</v>
      </c>
      <c r="AP15" s="15">
        <v>1</v>
      </c>
      <c r="AQ15" s="16">
        <v>14</v>
      </c>
      <c r="AR15" s="15">
        <v>1</v>
      </c>
      <c r="AS15" s="152">
        <v>14</v>
      </c>
      <c r="AT15" s="14">
        <v>1</v>
      </c>
      <c r="AU15" s="14">
        <v>1</v>
      </c>
      <c r="AV15" s="14">
        <v>1</v>
      </c>
      <c r="AW15" s="15">
        <v>1</v>
      </c>
      <c r="AX15" s="16">
        <v>14</v>
      </c>
      <c r="AY15" s="15">
        <v>1</v>
      </c>
      <c r="AZ15" s="142">
        <v>14</v>
      </c>
      <c r="BA15" s="14">
        <v>1</v>
      </c>
      <c r="BB15" s="14">
        <v>1</v>
      </c>
      <c r="BC15" s="14">
        <v>1</v>
      </c>
      <c r="BD15" s="15">
        <v>1</v>
      </c>
      <c r="BE15" s="16">
        <v>14</v>
      </c>
      <c r="BF15" s="203">
        <v>2</v>
      </c>
    </row>
    <row r="16" spans="1:58" ht="14.25" customHeight="1" thickBot="1">
      <c r="A16" s="21" t="str">
        <f t="shared" si="3"/>
        <v/>
      </c>
      <c r="B16" s="21" t="str">
        <f t="shared" si="3"/>
        <v/>
      </c>
      <c r="C16" s="21" t="str">
        <f t="shared" si="3"/>
        <v/>
      </c>
      <c r="D16" s="21" t="str">
        <f t="shared" si="3"/>
        <v/>
      </c>
      <c r="E16" s="21" t="str">
        <f t="shared" si="3"/>
        <v/>
      </c>
      <c r="F16" s="21" t="str">
        <f t="shared" si="3"/>
        <v/>
      </c>
      <c r="G16" s="92"/>
      <c r="H16" s="181" t="str">
        <f>P22</f>
        <v>15 ਮਿਲਖ ਰਾਜ ਮੋਮੀ / ਸੱਤੀ ਰਾਮ</v>
      </c>
      <c r="I16" s="152">
        <v>15</v>
      </c>
      <c r="J16" s="14">
        <v>1</v>
      </c>
      <c r="K16" s="14">
        <v>1</v>
      </c>
      <c r="L16" s="14">
        <v>1</v>
      </c>
      <c r="M16" s="15">
        <v>1</v>
      </c>
      <c r="N16" s="16">
        <v>15</v>
      </c>
      <c r="O16" s="198">
        <v>1</v>
      </c>
      <c r="P16" s="152">
        <v>15</v>
      </c>
      <c r="Q16" s="14">
        <v>1</v>
      </c>
      <c r="R16" s="14">
        <v>1</v>
      </c>
      <c r="S16" s="14">
        <v>1</v>
      </c>
      <c r="T16" s="14">
        <v>1</v>
      </c>
      <c r="U16" s="14">
        <v>1</v>
      </c>
      <c r="V16" s="198">
        <v>1</v>
      </c>
      <c r="W16" s="152" t="s">
        <v>265</v>
      </c>
      <c r="X16" s="14" t="s">
        <v>266</v>
      </c>
      <c r="Y16" s="14">
        <v>1</v>
      </c>
      <c r="Z16" s="14">
        <v>1</v>
      </c>
      <c r="AA16" s="15">
        <v>1</v>
      </c>
      <c r="AB16" s="16">
        <v>40</v>
      </c>
      <c r="AC16" s="14">
        <v>1</v>
      </c>
      <c r="AD16" s="11"/>
      <c r="AE16" s="21" t="b">
        <f t="shared" si="4"/>
        <v>0</v>
      </c>
      <c r="AF16" s="21" t="b">
        <f t="shared" si="4"/>
        <v>0</v>
      </c>
      <c r="AG16" s="21" t="b">
        <f t="shared" si="4"/>
        <v>0</v>
      </c>
      <c r="AH16" s="21" t="b">
        <f t="shared" si="4"/>
        <v>0</v>
      </c>
      <c r="AI16" s="21" t="b">
        <f t="shared" si="4"/>
        <v>0</v>
      </c>
      <c r="AJ16" s="21" t="b">
        <f t="shared" si="4"/>
        <v>0</v>
      </c>
      <c r="AL16" s="152" t="s">
        <v>142</v>
      </c>
      <c r="AM16" s="14" t="s">
        <v>143</v>
      </c>
      <c r="AN16" s="14">
        <v>1</v>
      </c>
      <c r="AO16" s="14">
        <v>1</v>
      </c>
      <c r="AP16" s="15">
        <v>1</v>
      </c>
      <c r="AQ16" s="16">
        <v>15</v>
      </c>
      <c r="AR16" s="15">
        <v>1</v>
      </c>
      <c r="AS16" s="152">
        <v>15</v>
      </c>
      <c r="AT16" s="14">
        <v>1</v>
      </c>
      <c r="AU16" s="14">
        <v>1</v>
      </c>
      <c r="AV16" s="14">
        <v>1</v>
      </c>
      <c r="AW16" s="15">
        <v>1</v>
      </c>
      <c r="AX16" s="16">
        <v>15</v>
      </c>
      <c r="AY16" s="15">
        <v>1</v>
      </c>
      <c r="AZ16" s="142">
        <v>15</v>
      </c>
      <c r="BA16" s="14">
        <v>1</v>
      </c>
      <c r="BB16" s="14">
        <v>1</v>
      </c>
      <c r="BC16" s="14">
        <v>1</v>
      </c>
      <c r="BD16" s="15">
        <v>1</v>
      </c>
      <c r="BE16" s="16">
        <v>15</v>
      </c>
      <c r="BF16" s="203">
        <v>2</v>
      </c>
    </row>
    <row r="17" spans="1:58" ht="14.25" customHeight="1" thickBot="1">
      <c r="A17" s="19"/>
      <c r="B17" s="19"/>
      <c r="C17" s="19"/>
      <c r="D17" s="19"/>
      <c r="E17" s="19"/>
      <c r="F17" s="19"/>
      <c r="G17" s="91"/>
      <c r="H17" s="181" t="str">
        <f>P27</f>
        <v>16 ਹੰਸ ਰਾਜ ਮੋਮੀ / ਸੱਤੀ ਰਾਮ</v>
      </c>
      <c r="I17" s="151" t="s">
        <v>66</v>
      </c>
      <c r="J17" s="14" t="s">
        <v>145</v>
      </c>
      <c r="K17" s="14">
        <v>1</v>
      </c>
      <c r="L17" s="14">
        <v>1</v>
      </c>
      <c r="M17" s="15">
        <v>1</v>
      </c>
      <c r="N17" s="16">
        <v>16</v>
      </c>
      <c r="O17" s="198" t="s">
        <v>1135</v>
      </c>
      <c r="P17" s="151" t="s">
        <v>135</v>
      </c>
      <c r="Q17" s="14" t="s">
        <v>111</v>
      </c>
      <c r="R17" s="14" t="s">
        <v>146</v>
      </c>
      <c r="S17" s="14" t="s">
        <v>147</v>
      </c>
      <c r="T17" s="14">
        <v>1</v>
      </c>
      <c r="U17" s="14">
        <v>1</v>
      </c>
      <c r="V17" s="199" t="s">
        <v>1103</v>
      </c>
      <c r="W17" s="151" t="s">
        <v>1091</v>
      </c>
      <c r="X17" s="14">
        <v>1</v>
      </c>
      <c r="Y17" s="14" t="s">
        <v>143</v>
      </c>
      <c r="Z17" s="14">
        <v>1</v>
      </c>
      <c r="AA17" s="15">
        <v>1</v>
      </c>
      <c r="AB17" s="16">
        <v>41</v>
      </c>
      <c r="AC17" s="201" t="s">
        <v>1111</v>
      </c>
      <c r="AD17" s="11"/>
      <c r="AE17" s="19"/>
      <c r="AF17" s="19"/>
      <c r="AG17" s="19"/>
      <c r="AH17" s="19"/>
      <c r="AI17" s="19"/>
      <c r="AJ17" s="19"/>
      <c r="AL17" s="151" t="s">
        <v>148</v>
      </c>
      <c r="AM17" s="14" t="s">
        <v>74</v>
      </c>
      <c r="AN17" s="14"/>
      <c r="AO17" s="14"/>
      <c r="AP17" s="15">
        <v>1</v>
      </c>
      <c r="AQ17" s="16">
        <v>16</v>
      </c>
      <c r="AR17" s="201" t="s">
        <v>1120</v>
      </c>
      <c r="AS17" s="151" t="s">
        <v>149</v>
      </c>
      <c r="AT17" s="14" t="s">
        <v>150</v>
      </c>
      <c r="AU17" s="14">
        <v>1</v>
      </c>
      <c r="AV17" s="14">
        <v>1</v>
      </c>
      <c r="AW17" s="15">
        <v>1</v>
      </c>
      <c r="AX17" s="16">
        <v>16</v>
      </c>
      <c r="AY17" s="201" t="s">
        <v>1133</v>
      </c>
      <c r="AZ17" s="144" t="s">
        <v>151</v>
      </c>
      <c r="BA17" s="14">
        <v>1</v>
      </c>
      <c r="BB17" s="14">
        <v>1</v>
      </c>
      <c r="BC17" s="14">
        <v>1</v>
      </c>
      <c r="BD17" s="15">
        <v>1</v>
      </c>
      <c r="BE17" s="16">
        <v>16</v>
      </c>
      <c r="BF17" s="203">
        <v>2</v>
      </c>
    </row>
    <row r="18" spans="1:58" ht="14.25" customHeight="1" thickBot="1">
      <c r="A18" s="19"/>
      <c r="B18" s="19"/>
      <c r="C18" s="19"/>
      <c r="D18" s="19"/>
      <c r="E18" s="19"/>
      <c r="F18" s="19"/>
      <c r="G18" s="19"/>
      <c r="H18" s="181" t="str">
        <f>P32</f>
        <v>17 ਧਰਮ,ਰਾਮ,ਭਗਵਾਨ/ਸੱਤੀ ਰਾਮ</v>
      </c>
      <c r="I18" s="152" t="s">
        <v>153</v>
      </c>
      <c r="J18" s="14">
        <v>1</v>
      </c>
      <c r="K18" s="14">
        <v>1</v>
      </c>
      <c r="L18" s="14">
        <v>1</v>
      </c>
      <c r="M18" s="15">
        <v>1</v>
      </c>
      <c r="N18" s="16">
        <v>17</v>
      </c>
      <c r="O18" s="198">
        <v>1</v>
      </c>
      <c r="P18" s="152" t="s">
        <v>65</v>
      </c>
      <c r="Q18" s="208" t="s">
        <v>48</v>
      </c>
      <c r="R18" s="14">
        <v>1</v>
      </c>
      <c r="S18" s="14">
        <v>1</v>
      </c>
      <c r="T18" s="14">
        <v>1</v>
      </c>
      <c r="U18" s="14">
        <v>1</v>
      </c>
      <c r="V18" s="14">
        <v>1</v>
      </c>
      <c r="W18" s="152" t="s">
        <v>276</v>
      </c>
      <c r="X18" s="14" t="s">
        <v>99</v>
      </c>
      <c r="Y18" s="14" t="s">
        <v>277</v>
      </c>
      <c r="Z18" s="14" t="s">
        <v>278</v>
      </c>
      <c r="AA18" s="15">
        <v>1</v>
      </c>
      <c r="AB18" s="16">
        <v>42</v>
      </c>
      <c r="AC18" s="14">
        <v>1</v>
      </c>
      <c r="AD18" s="11"/>
      <c r="AE18" s="19"/>
      <c r="AF18" s="19"/>
      <c r="AG18" s="19"/>
      <c r="AH18" s="19"/>
      <c r="AI18" s="19"/>
      <c r="AJ18" s="19"/>
      <c r="AL18" s="152" t="s">
        <v>154</v>
      </c>
      <c r="AM18" s="14" t="s">
        <v>74</v>
      </c>
      <c r="AN18" s="14" t="s">
        <v>39</v>
      </c>
      <c r="AO18" s="208" t="s">
        <v>1344</v>
      </c>
      <c r="AP18" s="210" t="s">
        <v>159</v>
      </c>
      <c r="AQ18" s="16">
        <v>17</v>
      </c>
      <c r="AR18" s="15">
        <v>1</v>
      </c>
      <c r="AS18" s="152" t="s">
        <v>155</v>
      </c>
      <c r="AT18" s="14" t="s">
        <v>94</v>
      </c>
      <c r="AU18" s="14" t="s">
        <v>156</v>
      </c>
      <c r="AV18" s="14">
        <v>1</v>
      </c>
      <c r="AW18" s="15">
        <v>1</v>
      </c>
      <c r="AX18" s="16">
        <v>17</v>
      </c>
      <c r="AY18" s="15">
        <v>1</v>
      </c>
      <c r="AZ18" s="142">
        <v>17</v>
      </c>
      <c r="BA18" s="14">
        <v>1</v>
      </c>
      <c r="BB18" s="14">
        <v>1</v>
      </c>
      <c r="BC18" s="14">
        <v>1</v>
      </c>
      <c r="BD18" s="15">
        <v>1</v>
      </c>
      <c r="BE18" s="16">
        <v>17</v>
      </c>
      <c r="BF18" s="203">
        <v>2</v>
      </c>
    </row>
    <row r="19" spans="1:58" ht="14.25" customHeight="1" thickBot="1">
      <c r="A19" s="19"/>
      <c r="B19" s="84"/>
      <c r="C19" s="86"/>
      <c r="D19" s="19"/>
      <c r="E19" s="19"/>
      <c r="F19" s="19"/>
      <c r="G19" s="19"/>
      <c r="H19" s="214" t="str">
        <f>P37</f>
        <v>18 ਜਾਂਜੀ ਰਾਮ ਮੋਮੀ</v>
      </c>
      <c r="I19" s="152" t="s">
        <v>93</v>
      </c>
      <c r="J19" s="14">
        <v>1</v>
      </c>
      <c r="K19" s="14">
        <v>1</v>
      </c>
      <c r="L19" s="14">
        <v>1</v>
      </c>
      <c r="M19" s="15">
        <v>1</v>
      </c>
      <c r="N19" s="16">
        <v>18</v>
      </c>
      <c r="O19" s="198">
        <v>1</v>
      </c>
      <c r="P19" s="152" t="s">
        <v>157</v>
      </c>
      <c r="Q19" s="208" t="s">
        <v>116</v>
      </c>
      <c r="R19" s="14">
        <v>1</v>
      </c>
      <c r="S19" s="14">
        <v>1</v>
      </c>
      <c r="T19" s="14">
        <v>1</v>
      </c>
      <c r="U19" s="14">
        <v>1</v>
      </c>
      <c r="V19" s="14">
        <v>1</v>
      </c>
      <c r="W19" s="152" t="s">
        <v>192</v>
      </c>
      <c r="X19" s="14" t="s">
        <v>286</v>
      </c>
      <c r="Y19" s="14">
        <v>1</v>
      </c>
      <c r="Z19" s="14">
        <v>1</v>
      </c>
      <c r="AA19" s="15">
        <v>1</v>
      </c>
      <c r="AB19" s="16">
        <v>43</v>
      </c>
      <c r="AC19" s="14">
        <v>1</v>
      </c>
      <c r="AD19" s="11"/>
      <c r="AE19" s="11"/>
      <c r="AF19" s="11"/>
      <c r="AG19" s="11"/>
      <c r="AH19" s="11"/>
      <c r="AI19" s="11"/>
      <c r="AJ19" s="11"/>
      <c r="AL19" s="209" t="s">
        <v>1345</v>
      </c>
      <c r="AM19" s="14">
        <v>1</v>
      </c>
      <c r="AN19" s="14">
        <v>1</v>
      </c>
      <c r="AO19" s="14">
        <v>1</v>
      </c>
      <c r="AP19" s="15"/>
      <c r="AQ19" s="16">
        <v>18</v>
      </c>
      <c r="AR19" s="15">
        <v>1</v>
      </c>
      <c r="AS19" s="152" t="s">
        <v>158</v>
      </c>
      <c r="AT19" s="14" t="s">
        <v>159</v>
      </c>
      <c r="AU19" s="14">
        <v>1</v>
      </c>
      <c r="AV19" s="14">
        <v>1</v>
      </c>
      <c r="AW19" s="15">
        <v>1</v>
      </c>
      <c r="AX19" s="16">
        <v>18</v>
      </c>
      <c r="AY19" s="15">
        <v>1</v>
      </c>
      <c r="AZ19" s="142">
        <v>18</v>
      </c>
      <c r="BA19" s="14">
        <v>1</v>
      </c>
      <c r="BB19" s="14">
        <v>1</v>
      </c>
      <c r="BC19" s="14">
        <v>1</v>
      </c>
      <c r="BD19" s="15">
        <v>1</v>
      </c>
      <c r="BE19" s="16">
        <v>18</v>
      </c>
      <c r="BF19" s="203">
        <v>2</v>
      </c>
    </row>
    <row r="20" spans="1:58" ht="14.25" customHeight="1" thickBot="1">
      <c r="A20" s="11"/>
      <c r="B20" s="85"/>
      <c r="C20" s="87"/>
      <c r="D20" s="11"/>
      <c r="E20" s="11"/>
      <c r="F20" s="11"/>
      <c r="G20" s="11"/>
      <c r="H20" s="215" t="str">
        <f>P42</f>
        <v>19 ਖਰੈਤ ਲਾਲ ਪੁੰਨੂ ਰਾਮ</v>
      </c>
      <c r="I20" s="152">
        <v>19</v>
      </c>
      <c r="J20" s="14">
        <v>1</v>
      </c>
      <c r="K20" s="14">
        <v>1</v>
      </c>
      <c r="L20" s="14">
        <v>1</v>
      </c>
      <c r="M20" s="15">
        <v>1</v>
      </c>
      <c r="N20" s="16">
        <v>19</v>
      </c>
      <c r="O20" s="198">
        <v>1</v>
      </c>
      <c r="P20" s="152">
        <v>19</v>
      </c>
      <c r="Q20" s="14">
        <v>1</v>
      </c>
      <c r="R20" s="14">
        <v>1</v>
      </c>
      <c r="S20" s="14">
        <v>1</v>
      </c>
      <c r="T20" s="14">
        <v>1</v>
      </c>
      <c r="U20" s="14">
        <v>1</v>
      </c>
      <c r="V20" s="14">
        <v>1</v>
      </c>
      <c r="W20" s="152" t="s">
        <v>290</v>
      </c>
      <c r="X20" s="14" t="s">
        <v>291</v>
      </c>
      <c r="Y20" s="14">
        <v>1</v>
      </c>
      <c r="Z20" s="14">
        <v>1</v>
      </c>
      <c r="AA20" s="15">
        <v>1</v>
      </c>
      <c r="AB20" s="16">
        <v>44</v>
      </c>
      <c r="AC20" s="14">
        <v>1</v>
      </c>
      <c r="AD20" s="11"/>
      <c r="AE20" s="11"/>
      <c r="AF20" s="11"/>
      <c r="AG20" s="11"/>
      <c r="AH20" s="11"/>
      <c r="AI20" s="11"/>
      <c r="AJ20" s="11"/>
      <c r="AL20" s="152" t="s">
        <v>112</v>
      </c>
      <c r="AM20" s="14" t="s">
        <v>160</v>
      </c>
      <c r="AN20" s="208" t="s">
        <v>951</v>
      </c>
      <c r="AO20" s="208" t="s">
        <v>1346</v>
      </c>
      <c r="AP20" s="210" t="s">
        <v>278</v>
      </c>
      <c r="AQ20" s="16">
        <v>19</v>
      </c>
      <c r="AR20" s="15">
        <v>1</v>
      </c>
      <c r="AS20" s="152" t="s">
        <v>161</v>
      </c>
      <c r="AT20" s="14">
        <v>1</v>
      </c>
      <c r="AU20" s="14">
        <v>1</v>
      </c>
      <c r="AV20" s="14">
        <v>1</v>
      </c>
      <c r="AW20" s="15">
        <v>1</v>
      </c>
      <c r="AX20" s="16">
        <v>19</v>
      </c>
      <c r="AY20" s="15">
        <v>1</v>
      </c>
      <c r="AZ20" s="142">
        <v>19</v>
      </c>
      <c r="BA20" s="14">
        <v>1</v>
      </c>
      <c r="BB20" s="14">
        <v>1</v>
      </c>
      <c r="BC20" s="14">
        <v>1</v>
      </c>
      <c r="BD20" s="15">
        <v>1</v>
      </c>
      <c r="BE20" s="16">
        <v>19</v>
      </c>
      <c r="BF20" s="203">
        <v>2</v>
      </c>
    </row>
    <row r="21" spans="1:58" ht="14.25" customHeight="1" thickBot="1">
      <c r="A21" s="11"/>
      <c r="B21" s="85"/>
      <c r="C21" s="11"/>
      <c r="D21" s="11"/>
      <c r="E21" s="11"/>
      <c r="H21" s="182" t="str">
        <f>P47</f>
        <v xml:space="preserve">20 ਸੋਨਾ ਰਾਮ ਮੋਮੀ / ਟੇਕ ਚੰਦ </v>
      </c>
      <c r="I21" s="152">
        <v>20</v>
      </c>
      <c r="J21" s="14">
        <v>1</v>
      </c>
      <c r="K21" s="14">
        <v>1</v>
      </c>
      <c r="L21" s="14">
        <v>1</v>
      </c>
      <c r="M21" s="15">
        <v>1</v>
      </c>
      <c r="N21" s="16">
        <v>20</v>
      </c>
      <c r="O21" s="198">
        <v>1</v>
      </c>
      <c r="P21" s="152">
        <v>20</v>
      </c>
      <c r="Q21" s="14">
        <v>1</v>
      </c>
      <c r="R21" s="14">
        <v>1</v>
      </c>
      <c r="S21" s="14">
        <v>1</v>
      </c>
      <c r="T21" s="14">
        <v>1</v>
      </c>
      <c r="U21" s="14">
        <v>1</v>
      </c>
      <c r="V21" s="14">
        <v>1</v>
      </c>
      <c r="W21" s="152">
        <v>45</v>
      </c>
      <c r="X21" s="14">
        <v>1</v>
      </c>
      <c r="Y21" s="14">
        <v>1</v>
      </c>
      <c r="Z21" s="14">
        <v>1</v>
      </c>
      <c r="AA21" s="15">
        <v>1</v>
      </c>
      <c r="AB21" s="16">
        <v>45</v>
      </c>
      <c r="AC21" s="14">
        <v>1</v>
      </c>
      <c r="AD21" s="11"/>
      <c r="AE21" s="11"/>
      <c r="AF21" s="11"/>
      <c r="AG21" s="11"/>
      <c r="AH21" s="11"/>
      <c r="AI21" s="11"/>
      <c r="AJ21" s="11"/>
      <c r="AL21" s="152" t="s">
        <v>69</v>
      </c>
      <c r="AM21" s="14" t="s">
        <v>163</v>
      </c>
      <c r="AN21" s="208" t="s">
        <v>1347</v>
      </c>
      <c r="AO21" s="14">
        <v>1</v>
      </c>
      <c r="AP21" s="15">
        <v>1</v>
      </c>
      <c r="AQ21" s="16">
        <v>20</v>
      </c>
      <c r="AR21" s="15">
        <v>1</v>
      </c>
      <c r="AS21" s="152">
        <v>20</v>
      </c>
      <c r="AT21" s="14">
        <v>1</v>
      </c>
      <c r="AU21" s="14">
        <v>1</v>
      </c>
      <c r="AV21" s="14">
        <v>1</v>
      </c>
      <c r="AW21" s="15">
        <v>1</v>
      </c>
      <c r="AX21" s="16">
        <v>20</v>
      </c>
      <c r="AY21" s="15">
        <v>1</v>
      </c>
      <c r="AZ21" s="142">
        <v>20</v>
      </c>
      <c r="BA21" s="14">
        <v>1</v>
      </c>
      <c r="BB21" s="14">
        <v>1</v>
      </c>
      <c r="BC21" s="14">
        <v>1</v>
      </c>
      <c r="BD21" s="15">
        <v>1</v>
      </c>
      <c r="BE21" s="16">
        <v>20</v>
      </c>
      <c r="BF21" s="203">
        <v>2</v>
      </c>
    </row>
    <row r="22" spans="1:58" ht="14.25" customHeight="1" thickBot="1">
      <c r="A22" s="11"/>
      <c r="B22" s="85"/>
      <c r="C22" s="11"/>
      <c r="D22" s="11"/>
      <c r="E22" s="11"/>
      <c r="H22" s="182" t="str">
        <f>W2</f>
        <v>21 ਲਾਲ ਚੰਦ ਮੋਮੀ / ਟੇਕ ਚੰਦ</v>
      </c>
      <c r="I22" s="151" t="s">
        <v>72</v>
      </c>
      <c r="J22" s="14"/>
      <c r="K22" s="14"/>
      <c r="L22" s="14"/>
      <c r="M22" s="15">
        <v>1</v>
      </c>
      <c r="N22" s="16">
        <v>21</v>
      </c>
      <c r="O22" s="199" t="s">
        <v>1097</v>
      </c>
      <c r="P22" s="151" t="s">
        <v>141</v>
      </c>
      <c r="Q22" s="14" t="s">
        <v>164</v>
      </c>
      <c r="R22" s="14" t="s">
        <v>165</v>
      </c>
      <c r="S22" s="208" t="s">
        <v>1329</v>
      </c>
      <c r="T22" s="14">
        <v>1</v>
      </c>
      <c r="U22" s="14">
        <v>1</v>
      </c>
      <c r="V22" s="198" t="s">
        <v>1104</v>
      </c>
      <c r="W22" s="151" t="s">
        <v>166</v>
      </c>
      <c r="X22" s="14" t="s">
        <v>167</v>
      </c>
      <c r="Y22" s="14" t="s">
        <v>168</v>
      </c>
      <c r="Z22" s="14">
        <v>1</v>
      </c>
      <c r="AA22" s="15">
        <v>1</v>
      </c>
      <c r="AB22" s="16">
        <v>21</v>
      </c>
      <c r="AC22" s="201" t="s">
        <v>1112</v>
      </c>
      <c r="AD22" s="11"/>
      <c r="AE22" s="11"/>
      <c r="AF22" s="11"/>
      <c r="AG22" s="11"/>
      <c r="AH22" s="11"/>
      <c r="AI22" s="11"/>
      <c r="AJ22" s="11"/>
      <c r="AL22" s="151" t="s">
        <v>169</v>
      </c>
      <c r="AM22" s="14" t="s">
        <v>129</v>
      </c>
      <c r="AN22" s="14" t="s">
        <v>112</v>
      </c>
      <c r="AO22" s="14" t="s">
        <v>97</v>
      </c>
      <c r="AP22" s="15">
        <v>1</v>
      </c>
      <c r="AQ22" s="16">
        <v>21</v>
      </c>
      <c r="AR22" s="201" t="s">
        <v>1121</v>
      </c>
      <c r="AS22" s="151" t="s">
        <v>170</v>
      </c>
      <c r="AT22" s="14" t="s">
        <v>111</v>
      </c>
      <c r="AU22" s="14">
        <v>1</v>
      </c>
      <c r="AV22" s="14">
        <v>1</v>
      </c>
      <c r="AW22" s="15">
        <v>1</v>
      </c>
      <c r="AX22" s="16">
        <v>21</v>
      </c>
      <c r="AY22" s="201" t="s">
        <v>1134</v>
      </c>
      <c r="AZ22" s="144" t="s">
        <v>171</v>
      </c>
      <c r="BA22" s="14">
        <v>1</v>
      </c>
      <c r="BB22" s="14">
        <v>1</v>
      </c>
      <c r="BC22" s="14">
        <v>1</v>
      </c>
      <c r="BD22" s="15">
        <v>1</v>
      </c>
      <c r="BE22" s="16">
        <v>21</v>
      </c>
      <c r="BF22" s="203">
        <v>2</v>
      </c>
    </row>
    <row r="23" spans="1:58" ht="14.25" customHeight="1" thickBot="1">
      <c r="A23" s="11"/>
      <c r="B23" s="85"/>
      <c r="C23" s="11"/>
      <c r="D23" s="11"/>
      <c r="E23" s="11"/>
      <c r="H23" s="182" t="str">
        <f>W7</f>
        <v>22 ਓਮ,ਕ੍ਰਿਸਂਨ,ਪਰਮਾ/ਟੇਕ ਚੰਦ</v>
      </c>
      <c r="I23" s="152" t="s">
        <v>172</v>
      </c>
      <c r="J23" s="14" t="s">
        <v>173</v>
      </c>
      <c r="K23" s="14" t="s">
        <v>174</v>
      </c>
      <c r="L23" s="14" t="s">
        <v>93</v>
      </c>
      <c r="M23" s="15" t="s">
        <v>175</v>
      </c>
      <c r="N23" s="16">
        <v>22</v>
      </c>
      <c r="O23" s="198">
        <v>1</v>
      </c>
      <c r="P23" s="152" t="s">
        <v>176</v>
      </c>
      <c r="Q23" s="14">
        <v>1</v>
      </c>
      <c r="R23" s="14">
        <v>1</v>
      </c>
      <c r="S23" s="14">
        <v>1</v>
      </c>
      <c r="T23" s="14">
        <v>1</v>
      </c>
      <c r="U23" s="14">
        <v>1</v>
      </c>
      <c r="V23" s="14">
        <v>1</v>
      </c>
      <c r="W23" s="152" t="s">
        <v>177</v>
      </c>
      <c r="X23" s="14" t="s">
        <v>94</v>
      </c>
      <c r="Y23" s="14" t="s">
        <v>178</v>
      </c>
      <c r="Z23" s="14">
        <v>1</v>
      </c>
      <c r="AA23" s="15">
        <v>1</v>
      </c>
      <c r="AB23" s="16">
        <v>22</v>
      </c>
      <c r="AC23" s="14">
        <v>1</v>
      </c>
      <c r="AD23" s="11"/>
      <c r="AE23" s="11"/>
      <c r="AF23" s="11"/>
      <c r="AG23" s="11"/>
      <c r="AH23" s="11"/>
      <c r="AI23" s="11"/>
      <c r="AJ23" s="11"/>
      <c r="AL23" s="152" t="s">
        <v>179</v>
      </c>
      <c r="AM23" s="14" t="s">
        <v>180</v>
      </c>
      <c r="AN23" s="14" t="s">
        <v>181</v>
      </c>
      <c r="AO23" s="14" t="s">
        <v>182</v>
      </c>
      <c r="AP23" s="15" t="s">
        <v>183</v>
      </c>
      <c r="AQ23" s="16">
        <v>22</v>
      </c>
      <c r="AR23" s="15">
        <v>1</v>
      </c>
      <c r="AS23" s="152" t="s">
        <v>184</v>
      </c>
      <c r="AT23" s="14" t="s">
        <v>48</v>
      </c>
      <c r="AU23" s="14">
        <v>1</v>
      </c>
      <c r="AV23" s="14">
        <v>1</v>
      </c>
      <c r="AW23" s="15">
        <v>1</v>
      </c>
      <c r="AX23" s="16">
        <v>22</v>
      </c>
      <c r="AY23" s="15">
        <v>1</v>
      </c>
      <c r="AZ23" s="142">
        <v>22</v>
      </c>
      <c r="BA23" s="14">
        <v>1</v>
      </c>
      <c r="BB23" s="14">
        <v>1</v>
      </c>
      <c r="BC23" s="14">
        <v>1</v>
      </c>
      <c r="BD23" s="15">
        <v>1</v>
      </c>
      <c r="BE23" s="16">
        <v>22</v>
      </c>
      <c r="BF23" s="203">
        <v>2</v>
      </c>
    </row>
    <row r="24" spans="1:58" ht="14.25" customHeight="1" thickBot="1">
      <c r="A24" s="11"/>
      <c r="B24" s="85"/>
      <c r="C24" s="11"/>
      <c r="D24" s="11"/>
      <c r="E24" s="11"/>
      <c r="H24" s="182" t="str">
        <f>W12</f>
        <v>23 ਸੋਹਣਾ ਰਾਮ</v>
      </c>
      <c r="I24" s="193" t="s">
        <v>185</v>
      </c>
      <c r="J24" s="22" t="s">
        <v>186</v>
      </c>
      <c r="K24" s="22" t="s">
        <v>187</v>
      </c>
      <c r="L24" s="14">
        <v>1</v>
      </c>
      <c r="M24" s="15">
        <v>1</v>
      </c>
      <c r="N24" s="16">
        <v>23</v>
      </c>
      <c r="O24" s="198">
        <v>1</v>
      </c>
      <c r="P24" s="152">
        <v>23</v>
      </c>
      <c r="Q24" s="14">
        <v>1</v>
      </c>
      <c r="R24" s="14">
        <v>1</v>
      </c>
      <c r="S24" s="14">
        <v>1</v>
      </c>
      <c r="T24" s="14">
        <v>1</v>
      </c>
      <c r="U24" s="14">
        <v>1</v>
      </c>
      <c r="V24" s="14">
        <v>1</v>
      </c>
      <c r="W24" s="152">
        <v>23</v>
      </c>
      <c r="X24" s="14">
        <v>1</v>
      </c>
      <c r="Y24" s="14">
        <v>1</v>
      </c>
      <c r="Z24" s="14">
        <v>1</v>
      </c>
      <c r="AA24" s="15">
        <v>1</v>
      </c>
      <c r="AB24" s="16">
        <v>23</v>
      </c>
      <c r="AC24" s="14">
        <v>1</v>
      </c>
      <c r="AD24" s="11"/>
      <c r="AE24" s="11"/>
      <c r="AF24" s="11"/>
      <c r="AG24" s="11"/>
      <c r="AH24" s="11"/>
      <c r="AI24" s="11"/>
      <c r="AJ24" s="11"/>
      <c r="AL24" s="152" t="s">
        <v>188</v>
      </c>
      <c r="AM24" s="14" t="s">
        <v>189</v>
      </c>
      <c r="AN24" s="208" t="s">
        <v>1376</v>
      </c>
      <c r="AO24" s="14">
        <v>1</v>
      </c>
      <c r="AP24" s="15">
        <v>1</v>
      </c>
      <c r="AQ24" s="16">
        <v>23</v>
      </c>
      <c r="AR24" s="15">
        <v>1</v>
      </c>
      <c r="AS24" s="152" t="s">
        <v>55</v>
      </c>
      <c r="AT24" s="14" t="s">
        <v>190</v>
      </c>
      <c r="AU24" s="14">
        <v>1</v>
      </c>
      <c r="AV24" s="14">
        <v>1</v>
      </c>
      <c r="AW24" s="15">
        <v>1</v>
      </c>
      <c r="AX24" s="16">
        <v>23</v>
      </c>
      <c r="AY24" s="15">
        <v>1</v>
      </c>
      <c r="AZ24" s="142">
        <v>23</v>
      </c>
      <c r="BA24" s="14">
        <v>1</v>
      </c>
      <c r="BB24" s="14">
        <v>1</v>
      </c>
      <c r="BC24" s="14">
        <v>1</v>
      </c>
      <c r="BD24" s="15">
        <v>1</v>
      </c>
      <c r="BE24" s="16">
        <v>23</v>
      </c>
      <c r="BF24" s="203">
        <v>2</v>
      </c>
    </row>
    <row r="25" spans="1:58" ht="14.25" customHeight="1" thickBot="1">
      <c r="A25" s="11"/>
      <c r="B25" s="85"/>
      <c r="C25" s="11"/>
      <c r="D25" s="11"/>
      <c r="E25" s="11"/>
      <c r="H25" s="182" t="str">
        <f>W17</f>
        <v>24 ਮੋਹਣਾ ਰਾਮ</v>
      </c>
      <c r="I25" s="193" t="s">
        <v>191</v>
      </c>
      <c r="J25" s="22" t="s">
        <v>75</v>
      </c>
      <c r="K25" s="22">
        <v>1</v>
      </c>
      <c r="L25" s="14">
        <v>1</v>
      </c>
      <c r="M25" s="15">
        <v>1</v>
      </c>
      <c r="N25" s="16">
        <v>24</v>
      </c>
      <c r="O25" s="198">
        <v>1</v>
      </c>
      <c r="P25" s="152">
        <v>24</v>
      </c>
      <c r="Q25" s="14">
        <v>1</v>
      </c>
      <c r="R25" s="14">
        <v>1</v>
      </c>
      <c r="S25" s="14">
        <v>1</v>
      </c>
      <c r="T25" s="14">
        <v>1</v>
      </c>
      <c r="U25" s="14">
        <v>1</v>
      </c>
      <c r="V25" s="14">
        <v>1</v>
      </c>
      <c r="W25" s="152">
        <v>24</v>
      </c>
      <c r="X25" s="14">
        <v>1</v>
      </c>
      <c r="Y25" s="14">
        <v>1</v>
      </c>
      <c r="Z25" s="14">
        <v>1</v>
      </c>
      <c r="AA25" s="15">
        <v>1</v>
      </c>
      <c r="AB25" s="16">
        <v>24</v>
      </c>
      <c r="AC25" s="14">
        <v>1</v>
      </c>
      <c r="AD25" s="11"/>
      <c r="AE25" s="11"/>
      <c r="AF25" s="11"/>
      <c r="AG25" s="11"/>
      <c r="AH25" s="11"/>
      <c r="AI25" s="11"/>
      <c r="AJ25" s="11"/>
      <c r="AL25" s="152" t="s">
        <v>192</v>
      </c>
      <c r="AM25" s="14" t="s">
        <v>107</v>
      </c>
      <c r="AN25" s="14">
        <v>1</v>
      </c>
      <c r="AO25" s="14">
        <v>1</v>
      </c>
      <c r="AP25" s="15">
        <v>1</v>
      </c>
      <c r="AQ25" s="16">
        <v>24</v>
      </c>
      <c r="AR25" s="15">
        <v>1</v>
      </c>
      <c r="AS25" s="152" t="s">
        <v>193</v>
      </c>
      <c r="AT25" s="14" t="s">
        <v>107</v>
      </c>
      <c r="AU25" s="14">
        <v>1</v>
      </c>
      <c r="AV25" s="14">
        <v>1</v>
      </c>
      <c r="AW25" s="15">
        <v>1</v>
      </c>
      <c r="AX25" s="16">
        <v>24</v>
      </c>
      <c r="AY25" s="15">
        <v>1</v>
      </c>
      <c r="AZ25" s="142">
        <v>24</v>
      </c>
      <c r="BA25" s="14">
        <v>1</v>
      </c>
      <c r="BB25" s="14">
        <v>1</v>
      </c>
      <c r="BC25" s="14">
        <v>1</v>
      </c>
      <c r="BD25" s="15">
        <v>1</v>
      </c>
      <c r="BE25" s="16">
        <v>24</v>
      </c>
      <c r="BF25" s="203">
        <v>2</v>
      </c>
    </row>
    <row r="26" spans="1:58" ht="14.25" customHeight="1" thickBot="1">
      <c r="A26" s="11"/>
      <c r="B26" s="85"/>
      <c r="C26" s="11"/>
      <c r="D26" s="11"/>
      <c r="E26" s="11"/>
      <c r="H26" s="183" t="str">
        <f>W22</f>
        <v>25 ਅਸ਼ੋਕ ਕੁਮਾਰ ਮੋਮੀ / ਦੇਸ ਰਾਜ</v>
      </c>
      <c r="I26" s="193" t="s">
        <v>177</v>
      </c>
      <c r="J26" s="22">
        <v>1</v>
      </c>
      <c r="K26" s="22">
        <v>1</v>
      </c>
      <c r="L26" s="14">
        <v>1</v>
      </c>
      <c r="M26" s="15">
        <v>1</v>
      </c>
      <c r="N26" s="16">
        <v>25</v>
      </c>
      <c r="O26" s="198">
        <v>1</v>
      </c>
      <c r="P26" s="152">
        <v>25</v>
      </c>
      <c r="Q26" s="14">
        <v>1</v>
      </c>
      <c r="R26" s="14">
        <v>1</v>
      </c>
      <c r="S26" s="14">
        <v>1</v>
      </c>
      <c r="T26" s="14">
        <v>1</v>
      </c>
      <c r="U26" s="14">
        <v>1</v>
      </c>
      <c r="V26" s="14">
        <v>1</v>
      </c>
      <c r="W26" s="152">
        <v>25</v>
      </c>
      <c r="X26" s="14">
        <v>1</v>
      </c>
      <c r="Y26" s="14">
        <v>1</v>
      </c>
      <c r="Z26" s="14">
        <v>1</v>
      </c>
      <c r="AA26" s="15">
        <v>1</v>
      </c>
      <c r="AB26" s="16">
        <v>25</v>
      </c>
      <c r="AC26" s="14">
        <v>1</v>
      </c>
      <c r="AD26" s="11"/>
      <c r="AE26" s="11"/>
      <c r="AF26" s="11"/>
      <c r="AG26" s="11"/>
      <c r="AH26" s="11"/>
      <c r="AI26" s="11"/>
      <c r="AJ26" s="11"/>
      <c r="AL26" s="152" t="s">
        <v>194</v>
      </c>
      <c r="AM26" s="14" t="s">
        <v>195</v>
      </c>
      <c r="AN26" s="14">
        <v>1</v>
      </c>
      <c r="AO26" s="14">
        <v>1</v>
      </c>
      <c r="AP26" s="15">
        <v>1</v>
      </c>
      <c r="AQ26" s="16">
        <v>25</v>
      </c>
      <c r="AR26" s="15">
        <v>1</v>
      </c>
      <c r="AS26" s="152">
        <v>25</v>
      </c>
      <c r="AT26" s="14">
        <v>1</v>
      </c>
      <c r="AU26" s="14">
        <v>1</v>
      </c>
      <c r="AV26" s="14">
        <v>1</v>
      </c>
      <c r="AW26" s="15">
        <v>1</v>
      </c>
      <c r="AX26" s="16">
        <v>25</v>
      </c>
      <c r="AY26" s="15">
        <v>1</v>
      </c>
      <c r="AZ26" s="142">
        <v>25</v>
      </c>
      <c r="BA26" s="14">
        <v>1</v>
      </c>
      <c r="BB26" s="14">
        <v>1</v>
      </c>
      <c r="BC26" s="14">
        <v>1</v>
      </c>
      <c r="BD26" s="15">
        <v>1</v>
      </c>
      <c r="BE26" s="16">
        <v>25</v>
      </c>
      <c r="BF26" s="203">
        <v>2</v>
      </c>
    </row>
    <row r="27" spans="1:58" ht="14.25" customHeight="1" thickBot="1">
      <c r="A27" s="11"/>
      <c r="B27" s="85"/>
      <c r="C27" s="11"/>
      <c r="D27" s="11"/>
      <c r="E27" s="11"/>
      <c r="H27" s="184" t="str">
        <f>W27</f>
        <v>26 ਗੁਰਦਾਸ ਰਾਮ ਮੋਮੀ / ਲੱਭੂ ਰਾਮ</v>
      </c>
      <c r="I27" s="151" t="s">
        <v>73</v>
      </c>
      <c r="J27" s="14" t="s">
        <v>197</v>
      </c>
      <c r="K27" s="14">
        <v>1</v>
      </c>
      <c r="L27" s="14">
        <v>1</v>
      </c>
      <c r="M27" s="15">
        <v>1</v>
      </c>
      <c r="N27" s="16">
        <v>26</v>
      </c>
      <c r="O27" s="199" t="s">
        <v>1098</v>
      </c>
      <c r="P27" s="151" t="s">
        <v>144</v>
      </c>
      <c r="Q27" s="14" t="s">
        <v>150</v>
      </c>
      <c r="R27" s="208" t="s">
        <v>1330</v>
      </c>
      <c r="S27" s="14">
        <v>1</v>
      </c>
      <c r="T27" s="14">
        <v>1</v>
      </c>
      <c r="U27" s="14">
        <v>1</v>
      </c>
      <c r="V27" s="198" t="s">
        <v>1105</v>
      </c>
      <c r="W27" s="151" t="s">
        <v>196</v>
      </c>
      <c r="X27" s="14" t="s">
        <v>74</v>
      </c>
      <c r="Y27" s="14" t="s">
        <v>174</v>
      </c>
      <c r="Z27" s="14" t="s">
        <v>198</v>
      </c>
      <c r="AA27" s="15">
        <v>1</v>
      </c>
      <c r="AB27" s="16">
        <v>26</v>
      </c>
      <c r="AC27" s="201" t="s">
        <v>1113</v>
      </c>
      <c r="AD27" s="11"/>
      <c r="AE27" s="11"/>
      <c r="AF27" s="11"/>
      <c r="AG27" s="11"/>
      <c r="AH27" s="11"/>
      <c r="AI27" s="11"/>
      <c r="AJ27" s="11"/>
      <c r="AL27" s="151" t="s">
        <v>199</v>
      </c>
      <c r="AM27" s="14" t="s">
        <v>150</v>
      </c>
      <c r="AN27" s="14">
        <v>1</v>
      </c>
      <c r="AO27" s="14">
        <v>1</v>
      </c>
      <c r="AP27" s="15">
        <v>1</v>
      </c>
      <c r="AQ27" s="16">
        <v>26</v>
      </c>
      <c r="AR27" s="201" t="s">
        <v>1122</v>
      </c>
      <c r="AS27" s="231" t="s">
        <v>1404</v>
      </c>
      <c r="AT27" s="208" t="s">
        <v>111</v>
      </c>
      <c r="AU27" s="208" t="s">
        <v>242</v>
      </c>
      <c r="AV27" s="14">
        <v>1</v>
      </c>
      <c r="AW27" s="15">
        <v>1</v>
      </c>
      <c r="AX27" s="16">
        <v>1</v>
      </c>
      <c r="AY27" s="201">
        <v>1</v>
      </c>
      <c r="AZ27" s="144" t="s">
        <v>202</v>
      </c>
      <c r="BA27" s="14">
        <v>1</v>
      </c>
      <c r="BB27" s="14">
        <v>1</v>
      </c>
      <c r="BC27" s="14">
        <v>1</v>
      </c>
      <c r="BD27" s="15">
        <v>1</v>
      </c>
      <c r="BE27" s="16">
        <v>26</v>
      </c>
      <c r="BF27" s="203">
        <v>2</v>
      </c>
    </row>
    <row r="28" spans="1:58" ht="14.25" customHeight="1" thickBot="1">
      <c r="A28" s="11"/>
      <c r="B28" s="85"/>
      <c r="C28" s="11"/>
      <c r="D28" s="11"/>
      <c r="E28" s="11"/>
      <c r="H28" s="184" t="str">
        <f>W32</f>
        <v>27 ਵੱਸੁ ਰਾਮ ਅਤੇ ਪੁੰਨੂੰ ਰਾਮ</v>
      </c>
      <c r="I28" s="152" t="s">
        <v>204</v>
      </c>
      <c r="J28" s="14" t="s">
        <v>205</v>
      </c>
      <c r="K28" s="14">
        <v>1</v>
      </c>
      <c r="L28" s="14">
        <v>1</v>
      </c>
      <c r="M28" s="15">
        <v>1</v>
      </c>
      <c r="N28" s="16">
        <v>27</v>
      </c>
      <c r="O28" s="198">
        <v>1</v>
      </c>
      <c r="P28" s="152" t="s">
        <v>93</v>
      </c>
      <c r="Q28" s="14">
        <v>1</v>
      </c>
      <c r="R28" s="14">
        <v>1</v>
      </c>
      <c r="S28" s="14">
        <v>1</v>
      </c>
      <c r="T28" s="14">
        <v>1</v>
      </c>
      <c r="U28" s="14">
        <v>1</v>
      </c>
      <c r="V28" s="14">
        <v>1</v>
      </c>
      <c r="W28" s="152" t="s">
        <v>112</v>
      </c>
      <c r="X28" s="14">
        <v>1</v>
      </c>
      <c r="Y28" s="14">
        <v>1</v>
      </c>
      <c r="Z28" s="14">
        <v>1</v>
      </c>
      <c r="AA28" s="15">
        <v>1</v>
      </c>
      <c r="AB28" s="16">
        <v>27</v>
      </c>
      <c r="AC28" s="14">
        <v>1</v>
      </c>
      <c r="AD28" s="11"/>
      <c r="AE28" s="11"/>
      <c r="AF28" s="11"/>
      <c r="AG28" s="11"/>
      <c r="AH28" s="11"/>
      <c r="AI28" s="11"/>
      <c r="AJ28" s="11"/>
      <c r="AL28" s="152" t="s">
        <v>206</v>
      </c>
      <c r="AM28" s="14" t="s">
        <v>207</v>
      </c>
      <c r="AN28" s="14" t="s">
        <v>174</v>
      </c>
      <c r="AO28" s="208" t="s">
        <v>94</v>
      </c>
      <c r="AP28" s="210" t="s">
        <v>60</v>
      </c>
      <c r="AQ28" s="222" t="s">
        <v>212</v>
      </c>
      <c r="AR28" s="15">
        <v>1</v>
      </c>
      <c r="AS28" s="209" t="s">
        <v>338</v>
      </c>
      <c r="AT28" s="14">
        <v>1</v>
      </c>
      <c r="AU28" s="14">
        <v>1</v>
      </c>
      <c r="AV28" s="14">
        <v>1</v>
      </c>
      <c r="AW28" s="15">
        <v>1</v>
      </c>
      <c r="AX28" s="16">
        <v>1</v>
      </c>
      <c r="AY28" s="201">
        <v>1</v>
      </c>
      <c r="AZ28" s="142">
        <v>27</v>
      </c>
      <c r="BA28" s="14">
        <v>1</v>
      </c>
      <c r="BB28" s="14">
        <v>1</v>
      </c>
      <c r="BC28" s="14">
        <v>1</v>
      </c>
      <c r="BD28" s="15">
        <v>1</v>
      </c>
      <c r="BE28" s="16">
        <v>27</v>
      </c>
      <c r="BF28" s="203">
        <v>2</v>
      </c>
    </row>
    <row r="29" spans="1:58" ht="14.25" customHeight="1" thickBot="1">
      <c r="A29" s="11"/>
      <c r="B29" s="85"/>
      <c r="C29" s="11"/>
      <c r="D29" s="11"/>
      <c r="E29" s="11"/>
      <c r="H29" s="181" t="str">
        <f>W37</f>
        <v>28 ਹੰਸ ਰਾਜ ਮੋਮੀ / ਬਘੇਲਾ ਰਾਮ</v>
      </c>
      <c r="I29" s="152" t="s">
        <v>211</v>
      </c>
      <c r="J29" s="14">
        <v>1</v>
      </c>
      <c r="K29" s="14">
        <v>1</v>
      </c>
      <c r="L29" s="14">
        <v>1</v>
      </c>
      <c r="M29" s="15">
        <v>1</v>
      </c>
      <c r="N29" s="16">
        <v>28</v>
      </c>
      <c r="O29" s="198">
        <v>1</v>
      </c>
      <c r="P29" s="152">
        <v>28</v>
      </c>
      <c r="Q29" s="14">
        <v>1</v>
      </c>
      <c r="R29" s="14">
        <v>1</v>
      </c>
      <c r="S29" s="14">
        <v>1</v>
      </c>
      <c r="T29" s="14">
        <v>1</v>
      </c>
      <c r="U29" s="14">
        <v>1</v>
      </c>
      <c r="V29" s="14">
        <v>1</v>
      </c>
      <c r="W29" s="209" t="s">
        <v>1393</v>
      </c>
      <c r="X29" s="14" t="s">
        <v>164</v>
      </c>
      <c r="Y29" s="208" t="s">
        <v>921</v>
      </c>
      <c r="Z29" s="14">
        <v>1</v>
      </c>
      <c r="AA29" s="15">
        <v>1</v>
      </c>
      <c r="AB29" s="16">
        <v>28</v>
      </c>
      <c r="AC29" s="14">
        <v>1</v>
      </c>
      <c r="AD29" s="11"/>
      <c r="AE29" s="11"/>
      <c r="AF29" s="11"/>
      <c r="AG29" s="11"/>
      <c r="AH29" s="11"/>
      <c r="AI29" s="11"/>
      <c r="AJ29" s="11"/>
      <c r="AL29" s="152" t="s">
        <v>177</v>
      </c>
      <c r="AM29" s="14" t="s">
        <v>79</v>
      </c>
      <c r="AN29" s="208" t="s">
        <v>131</v>
      </c>
      <c r="AO29" s="208" t="s">
        <v>1382</v>
      </c>
      <c r="AP29" s="210" t="s">
        <v>1331</v>
      </c>
      <c r="AQ29" s="16">
        <v>28</v>
      </c>
      <c r="AR29" s="15">
        <v>1</v>
      </c>
      <c r="AS29" s="152">
        <v>38</v>
      </c>
      <c r="AT29" s="14">
        <v>1</v>
      </c>
      <c r="AU29" s="14">
        <v>1</v>
      </c>
      <c r="AV29" s="15">
        <v>1</v>
      </c>
      <c r="AW29" s="16">
        <v>1</v>
      </c>
      <c r="AX29" s="16">
        <v>1</v>
      </c>
      <c r="AY29" s="201">
        <v>1</v>
      </c>
      <c r="AZ29" s="142">
        <v>28</v>
      </c>
      <c r="BA29" s="14">
        <v>1</v>
      </c>
      <c r="BB29" s="14">
        <v>1</v>
      </c>
      <c r="BC29" s="14">
        <v>1</v>
      </c>
      <c r="BD29" s="15">
        <v>1</v>
      </c>
      <c r="BE29" s="16">
        <v>28</v>
      </c>
      <c r="BF29" s="203">
        <v>2</v>
      </c>
    </row>
    <row r="30" spans="1:58" ht="14.25" customHeight="1" thickBot="1">
      <c r="A30" s="11"/>
      <c r="B30" s="85"/>
      <c r="C30" s="11"/>
      <c r="D30" s="11"/>
      <c r="E30" s="11"/>
      <c r="H30" s="181" t="str">
        <f>W42</f>
        <v>29 ਦੇਸ ਰਾਜ ਮੋਮੀ / ਬਘੇਲਾ ਰਾਮ</v>
      </c>
      <c r="I30" s="152">
        <v>29</v>
      </c>
      <c r="J30" s="14">
        <v>1</v>
      </c>
      <c r="K30" s="14">
        <v>1</v>
      </c>
      <c r="L30" s="14">
        <v>1</v>
      </c>
      <c r="M30" s="15">
        <v>1</v>
      </c>
      <c r="N30" s="16">
        <v>29</v>
      </c>
      <c r="O30" s="198">
        <v>1</v>
      </c>
      <c r="P30" s="152">
        <v>29</v>
      </c>
      <c r="Q30" s="14">
        <v>1</v>
      </c>
      <c r="R30" s="14">
        <v>1</v>
      </c>
      <c r="S30" s="14">
        <v>1</v>
      </c>
      <c r="T30" s="14">
        <v>1</v>
      </c>
      <c r="U30" s="14">
        <v>1</v>
      </c>
      <c r="V30" s="14">
        <v>1</v>
      </c>
      <c r="W30" s="152" t="s">
        <v>158</v>
      </c>
      <c r="X30" s="14" t="s">
        <v>90</v>
      </c>
      <c r="Y30" s="14">
        <v>1</v>
      </c>
      <c r="Z30" s="14">
        <v>1</v>
      </c>
      <c r="AA30" s="15">
        <v>1</v>
      </c>
      <c r="AB30" s="16">
        <v>29</v>
      </c>
      <c r="AC30" s="14">
        <v>1</v>
      </c>
      <c r="AD30" s="11"/>
      <c r="AE30" s="11"/>
      <c r="AF30" s="11"/>
      <c r="AG30" s="11"/>
      <c r="AH30" s="11"/>
      <c r="AI30" s="11"/>
      <c r="AJ30" s="11"/>
      <c r="AL30" s="152" t="s">
        <v>214</v>
      </c>
      <c r="AM30" s="14" t="s">
        <v>215</v>
      </c>
      <c r="AN30" s="208" t="s">
        <v>1381</v>
      </c>
      <c r="AO30" s="14">
        <v>1</v>
      </c>
      <c r="AP30" s="15">
        <v>1</v>
      </c>
      <c r="AQ30" s="16">
        <v>29</v>
      </c>
      <c r="AR30" s="15">
        <v>1</v>
      </c>
      <c r="AS30" s="152">
        <v>39</v>
      </c>
      <c r="AT30" s="14">
        <v>1</v>
      </c>
      <c r="AU30" s="14">
        <v>1</v>
      </c>
      <c r="AV30" s="14">
        <v>1</v>
      </c>
      <c r="AW30" s="15">
        <v>1</v>
      </c>
      <c r="AX30" s="16">
        <v>1</v>
      </c>
      <c r="AY30" s="201">
        <v>1</v>
      </c>
      <c r="AZ30" s="142">
        <v>29</v>
      </c>
      <c r="BA30" s="14">
        <v>1</v>
      </c>
      <c r="BB30" s="14">
        <v>1</v>
      </c>
      <c r="BC30" s="14">
        <v>1</v>
      </c>
      <c r="BD30" s="15">
        <v>1</v>
      </c>
      <c r="BE30" s="16">
        <v>29</v>
      </c>
      <c r="BF30" s="203">
        <v>2</v>
      </c>
    </row>
    <row r="31" spans="1:58" ht="14.25" customHeight="1" thickBot="1">
      <c r="A31" s="11"/>
      <c r="B31" s="85"/>
      <c r="C31" s="11"/>
      <c r="D31" s="11"/>
      <c r="E31" s="11"/>
      <c r="H31" s="185" t="str">
        <f>W47</f>
        <v>30 ਲੇਖ ਰਾਜ / ਬਘੇਲਾ ਰਾਮ</v>
      </c>
      <c r="I31" s="152">
        <v>30</v>
      </c>
      <c r="J31" s="14">
        <v>1</v>
      </c>
      <c r="K31" s="14">
        <v>1</v>
      </c>
      <c r="L31" s="14">
        <v>1</v>
      </c>
      <c r="M31" s="15">
        <v>1</v>
      </c>
      <c r="N31" s="16">
        <v>30</v>
      </c>
      <c r="O31" s="198">
        <v>1</v>
      </c>
      <c r="P31" s="152">
        <v>30</v>
      </c>
      <c r="Q31" s="14">
        <v>1</v>
      </c>
      <c r="R31" s="14">
        <v>1</v>
      </c>
      <c r="S31" s="14">
        <v>1</v>
      </c>
      <c r="T31" s="14">
        <v>1</v>
      </c>
      <c r="U31" s="14">
        <v>1</v>
      </c>
      <c r="V31" s="14">
        <v>1</v>
      </c>
      <c r="W31" s="152">
        <v>30</v>
      </c>
      <c r="X31" s="14">
        <v>1</v>
      </c>
      <c r="Y31" s="14">
        <v>1</v>
      </c>
      <c r="Z31" s="14">
        <v>1</v>
      </c>
      <c r="AA31" s="15">
        <v>1</v>
      </c>
      <c r="AB31" s="16">
        <v>30</v>
      </c>
      <c r="AC31" s="14">
        <v>1</v>
      </c>
      <c r="AD31" s="11"/>
      <c r="AE31" s="11"/>
      <c r="AF31" s="11"/>
      <c r="AG31" s="11"/>
      <c r="AH31" s="11"/>
      <c r="AI31" s="11"/>
      <c r="AJ31" s="11"/>
      <c r="AL31" s="152" t="s">
        <v>218</v>
      </c>
      <c r="AM31" s="14" t="s">
        <v>219</v>
      </c>
      <c r="AN31" s="208" t="s">
        <v>1355</v>
      </c>
      <c r="AO31" s="14">
        <v>1</v>
      </c>
      <c r="AP31" s="15">
        <v>1</v>
      </c>
      <c r="AQ31" s="16">
        <v>30</v>
      </c>
      <c r="AR31" s="15">
        <v>1</v>
      </c>
      <c r="AS31" s="152">
        <v>40</v>
      </c>
      <c r="AT31" s="14">
        <v>1</v>
      </c>
      <c r="AU31" s="14">
        <v>1</v>
      </c>
      <c r="AV31" s="14">
        <v>1</v>
      </c>
      <c r="AW31" s="15">
        <v>1</v>
      </c>
      <c r="AX31" s="16">
        <v>1</v>
      </c>
      <c r="AY31" s="201">
        <v>1</v>
      </c>
      <c r="AZ31" s="142">
        <v>30</v>
      </c>
      <c r="BA31" s="14">
        <v>1</v>
      </c>
      <c r="BB31" s="14">
        <v>1</v>
      </c>
      <c r="BC31" s="14">
        <v>1</v>
      </c>
      <c r="BD31" s="15">
        <v>1</v>
      </c>
      <c r="BE31" s="16">
        <v>30</v>
      </c>
      <c r="BF31" s="203">
        <v>2</v>
      </c>
    </row>
    <row r="32" spans="1:58" ht="14.25" customHeight="1" thickBot="1">
      <c r="A32" s="11"/>
      <c r="B32" s="85"/>
      <c r="C32" s="11"/>
      <c r="D32" s="11"/>
      <c r="E32" s="11"/>
      <c r="H32" s="215" t="str">
        <f>AL2</f>
        <v xml:space="preserve">31 ਮਤਾਬ ਰਾਮ ਮੋਮੀ </v>
      </c>
      <c r="I32" s="151" t="s">
        <v>86</v>
      </c>
      <c r="J32" s="14" t="s">
        <v>221</v>
      </c>
      <c r="K32" s="14" t="s">
        <v>222</v>
      </c>
      <c r="L32" s="14" t="s">
        <v>1312</v>
      </c>
      <c r="M32" s="15" t="s">
        <v>1313</v>
      </c>
      <c r="N32" s="16">
        <v>31</v>
      </c>
      <c r="O32" s="238" t="s">
        <v>1410</v>
      </c>
      <c r="P32" s="151" t="s">
        <v>152</v>
      </c>
      <c r="Q32" s="14" t="s">
        <v>223</v>
      </c>
      <c r="R32" s="14">
        <v>1</v>
      </c>
      <c r="S32" s="14">
        <v>1</v>
      </c>
      <c r="T32" s="14">
        <v>1</v>
      </c>
      <c r="U32" s="14">
        <v>1</v>
      </c>
      <c r="V32" s="198" t="s">
        <v>1106</v>
      </c>
      <c r="W32" s="151" t="s">
        <v>203</v>
      </c>
      <c r="X32" s="14">
        <v>1</v>
      </c>
      <c r="Y32" s="14">
        <v>1</v>
      </c>
      <c r="Z32" s="14">
        <v>1</v>
      </c>
      <c r="AA32" s="15">
        <v>1</v>
      </c>
      <c r="AB32" s="16">
        <v>31</v>
      </c>
      <c r="AC32" s="201" t="s">
        <v>1114</v>
      </c>
      <c r="AD32" s="11"/>
      <c r="AE32" s="11"/>
      <c r="AF32" s="11"/>
      <c r="AG32" s="11"/>
      <c r="AH32" s="11"/>
      <c r="AI32" s="11"/>
      <c r="AJ32" s="11"/>
      <c r="AK32" s="11"/>
      <c r="AL32" s="151" t="s">
        <v>224</v>
      </c>
      <c r="AM32" s="14" t="s">
        <v>225</v>
      </c>
      <c r="AN32" s="14">
        <v>1</v>
      </c>
      <c r="AO32" s="14">
        <v>1</v>
      </c>
      <c r="AP32" s="15">
        <v>1</v>
      </c>
      <c r="AQ32" s="16">
        <v>31</v>
      </c>
      <c r="AR32" s="201" t="s">
        <v>1123</v>
      </c>
      <c r="AS32" s="151" t="s">
        <v>1129</v>
      </c>
      <c r="AT32" s="14">
        <v>1</v>
      </c>
      <c r="AU32" s="14">
        <v>1</v>
      </c>
      <c r="AV32" s="14">
        <v>1</v>
      </c>
      <c r="AW32" s="15">
        <v>1</v>
      </c>
      <c r="AX32" s="16">
        <v>1</v>
      </c>
      <c r="AY32" s="201">
        <v>1</v>
      </c>
      <c r="AZ32" s="144" t="s">
        <v>227</v>
      </c>
      <c r="BA32" s="14">
        <v>1</v>
      </c>
      <c r="BB32" s="14">
        <v>1</v>
      </c>
      <c r="BC32" s="14">
        <v>1</v>
      </c>
      <c r="BD32" s="15">
        <v>1</v>
      </c>
      <c r="BE32" s="16">
        <v>31</v>
      </c>
      <c r="BF32" s="203">
        <v>2</v>
      </c>
    </row>
    <row r="33" spans="1:58" ht="14.25" customHeight="1" thickBot="1">
      <c r="A33" s="11"/>
      <c r="B33" s="85"/>
      <c r="C33" s="11"/>
      <c r="D33" s="11"/>
      <c r="E33" s="11"/>
      <c r="H33" s="215" t="str">
        <f>AL7</f>
        <v>32 ਮਤਾਬ ਰਾਮ (ਦੂਜਾ ਪਰਿਵਾਰ)</v>
      </c>
      <c r="I33" s="152" t="s">
        <v>228</v>
      </c>
      <c r="J33" s="14" t="s">
        <v>160</v>
      </c>
      <c r="K33" s="14" t="s">
        <v>212</v>
      </c>
      <c r="L33" s="14" t="s">
        <v>1314</v>
      </c>
      <c r="M33" s="15">
        <v>1</v>
      </c>
      <c r="N33" s="16">
        <v>32</v>
      </c>
      <c r="O33" s="198">
        <v>1</v>
      </c>
      <c r="P33" s="152" t="s">
        <v>229</v>
      </c>
      <c r="Q33" s="14" t="s">
        <v>223</v>
      </c>
      <c r="R33" s="14" t="s">
        <v>230</v>
      </c>
      <c r="S33" s="208" t="s">
        <v>53</v>
      </c>
      <c r="T33" s="208" t="s">
        <v>917</v>
      </c>
      <c r="U33" s="14">
        <v>1</v>
      </c>
      <c r="V33" s="14">
        <v>1</v>
      </c>
      <c r="W33" s="152" t="s">
        <v>231</v>
      </c>
      <c r="X33" s="14" t="s">
        <v>232</v>
      </c>
      <c r="Y33" s="14">
        <v>1</v>
      </c>
      <c r="Z33" s="14">
        <v>1</v>
      </c>
      <c r="AA33" s="15">
        <v>1</v>
      </c>
      <c r="AB33" s="16">
        <v>32</v>
      </c>
      <c r="AC33" s="14">
        <v>1</v>
      </c>
      <c r="AD33" s="11"/>
      <c r="AE33" s="11"/>
      <c r="AF33" s="11"/>
      <c r="AG33" s="11"/>
      <c r="AH33" s="11"/>
      <c r="AI33" s="11"/>
      <c r="AJ33" s="11"/>
      <c r="AK33" s="11"/>
      <c r="AL33" s="152" t="s">
        <v>233</v>
      </c>
      <c r="AM33" s="14" t="s">
        <v>234</v>
      </c>
      <c r="AN33" s="208" t="s">
        <v>1383</v>
      </c>
      <c r="AO33" s="208" t="s">
        <v>1385</v>
      </c>
      <c r="AP33" s="15">
        <v>1</v>
      </c>
      <c r="AQ33" s="16">
        <v>32</v>
      </c>
      <c r="AR33" s="15">
        <v>1</v>
      </c>
      <c r="AS33" s="152">
        <v>37</v>
      </c>
      <c r="AT33" s="14">
        <v>1</v>
      </c>
      <c r="AU33" s="14">
        <v>1</v>
      </c>
      <c r="AV33" s="14">
        <v>1</v>
      </c>
      <c r="AW33" s="15">
        <v>1</v>
      </c>
      <c r="AX33" s="16">
        <v>1</v>
      </c>
      <c r="AY33" s="201">
        <v>1</v>
      </c>
      <c r="AZ33" s="142">
        <v>32</v>
      </c>
      <c r="BA33" s="14">
        <v>1</v>
      </c>
      <c r="BB33" s="14">
        <v>1</v>
      </c>
      <c r="BC33" s="14">
        <v>1</v>
      </c>
      <c r="BD33" s="15">
        <v>1</v>
      </c>
      <c r="BE33" s="16">
        <v>32</v>
      </c>
      <c r="BF33" s="203">
        <v>2</v>
      </c>
    </row>
    <row r="34" spans="1:58" ht="14.25" customHeight="1" thickBot="1">
      <c r="A34" s="11"/>
      <c r="B34" s="85"/>
      <c r="C34" s="11"/>
      <c r="D34" s="11"/>
      <c r="E34" s="11"/>
      <c r="H34" s="186" t="str">
        <f>AL12</f>
        <v>33 ਚਾਂਦੀ ਰਾਮ / ਸੋਭਾ ਰਾਮ</v>
      </c>
      <c r="I34" s="152" t="s">
        <v>235</v>
      </c>
      <c r="J34" s="14" t="s">
        <v>107</v>
      </c>
      <c r="K34" s="14" t="s">
        <v>524</v>
      </c>
      <c r="L34" s="14" t="s">
        <v>156</v>
      </c>
      <c r="M34" s="15">
        <v>1</v>
      </c>
      <c r="N34" s="16">
        <v>33</v>
      </c>
      <c r="O34" s="198">
        <v>1</v>
      </c>
      <c r="P34" s="152" t="s">
        <v>236</v>
      </c>
      <c r="Q34" s="14" t="s">
        <v>237</v>
      </c>
      <c r="R34" s="208" t="s">
        <v>619</v>
      </c>
      <c r="S34" s="208" t="s">
        <v>902</v>
      </c>
      <c r="T34" s="14">
        <v>1</v>
      </c>
      <c r="U34" s="14">
        <v>1</v>
      </c>
      <c r="V34" s="14">
        <v>1</v>
      </c>
      <c r="W34" s="152">
        <v>33</v>
      </c>
      <c r="X34" s="14" t="s">
        <v>238</v>
      </c>
      <c r="Y34" s="208" t="s">
        <v>175</v>
      </c>
      <c r="Z34" s="14">
        <v>1</v>
      </c>
      <c r="AA34" s="15">
        <v>1</v>
      </c>
      <c r="AB34" s="16">
        <v>33</v>
      </c>
      <c r="AC34" s="14">
        <v>1</v>
      </c>
      <c r="AD34" s="11"/>
      <c r="AE34" s="11"/>
      <c r="AF34" s="11"/>
      <c r="AG34" s="11"/>
      <c r="AH34" s="11"/>
      <c r="AI34" s="11"/>
      <c r="AJ34" s="11"/>
      <c r="AK34" s="11"/>
      <c r="AL34" s="152" t="s">
        <v>192</v>
      </c>
      <c r="AM34" s="14" t="s">
        <v>92</v>
      </c>
      <c r="AN34" s="208" t="s">
        <v>1384</v>
      </c>
      <c r="AO34" s="14">
        <v>1</v>
      </c>
      <c r="AP34" s="15">
        <v>1</v>
      </c>
      <c r="AQ34" s="16">
        <v>33</v>
      </c>
      <c r="AR34" s="15">
        <v>1</v>
      </c>
      <c r="AS34" s="152">
        <v>38</v>
      </c>
      <c r="AT34" s="14">
        <v>1</v>
      </c>
      <c r="AU34" s="14">
        <v>1</v>
      </c>
      <c r="AV34" s="15">
        <v>1</v>
      </c>
      <c r="AW34" s="16">
        <v>1</v>
      </c>
      <c r="AX34" s="16">
        <v>1</v>
      </c>
      <c r="AY34" s="201">
        <v>1</v>
      </c>
      <c r="AZ34" s="142">
        <v>33</v>
      </c>
      <c r="BA34" s="14">
        <v>1</v>
      </c>
      <c r="BB34" s="14">
        <v>1</v>
      </c>
      <c r="BC34" s="14">
        <v>1</v>
      </c>
      <c r="BD34" s="15">
        <v>1</v>
      </c>
      <c r="BE34" s="16">
        <v>33</v>
      </c>
      <c r="BF34" s="203">
        <v>2</v>
      </c>
    </row>
    <row r="35" spans="1:58" ht="14.25" customHeight="1" thickBot="1">
      <c r="A35" s="11"/>
      <c r="B35" s="85"/>
      <c r="C35" s="11"/>
      <c r="D35" s="11"/>
      <c r="E35" s="11"/>
      <c r="H35" s="186" t="str">
        <f>AL17</f>
        <v>34 ਝਾਂਗੀ ਰਾਮ / ਸੋਭਾ ਰਾਮ</v>
      </c>
      <c r="I35" s="152">
        <v>34</v>
      </c>
      <c r="J35" s="14">
        <v>1</v>
      </c>
      <c r="K35" s="14">
        <v>1</v>
      </c>
      <c r="L35" s="14">
        <v>1</v>
      </c>
      <c r="M35" s="15">
        <v>1</v>
      </c>
      <c r="N35" s="16">
        <v>34</v>
      </c>
      <c r="O35" s="198">
        <v>1</v>
      </c>
      <c r="P35" s="152" t="s">
        <v>240</v>
      </c>
      <c r="Q35" s="14" t="s">
        <v>107</v>
      </c>
      <c r="R35" s="208" t="s">
        <v>629</v>
      </c>
      <c r="S35" s="208" t="s">
        <v>1331</v>
      </c>
      <c r="T35" s="14">
        <v>1</v>
      </c>
      <c r="U35" s="14">
        <v>1</v>
      </c>
      <c r="V35" s="14">
        <v>1</v>
      </c>
      <c r="W35" s="152" t="s">
        <v>119</v>
      </c>
      <c r="X35" s="14" t="s">
        <v>241</v>
      </c>
      <c r="Y35" s="14" t="s">
        <v>174</v>
      </c>
      <c r="Z35" s="14">
        <v>1</v>
      </c>
      <c r="AA35" s="15">
        <v>1</v>
      </c>
      <c r="AB35" s="16">
        <v>34</v>
      </c>
      <c r="AC35" s="14">
        <v>1</v>
      </c>
      <c r="AD35" s="11"/>
      <c r="AE35" s="11"/>
      <c r="AF35" s="11"/>
      <c r="AG35" s="11"/>
      <c r="AH35" s="11"/>
      <c r="AI35" s="11"/>
      <c r="AJ35" s="11"/>
      <c r="AK35" s="11"/>
      <c r="AL35" s="152">
        <v>29</v>
      </c>
      <c r="AM35" s="14">
        <v>1</v>
      </c>
      <c r="AN35" s="14">
        <v>1</v>
      </c>
      <c r="AO35" s="14">
        <v>1</v>
      </c>
      <c r="AP35" s="15">
        <v>1</v>
      </c>
      <c r="AQ35" s="16">
        <v>34</v>
      </c>
      <c r="AR35" s="15">
        <v>1</v>
      </c>
      <c r="AS35" s="152">
        <v>39</v>
      </c>
      <c r="AT35" s="14">
        <v>1</v>
      </c>
      <c r="AU35" s="14">
        <v>1</v>
      </c>
      <c r="AV35" s="14">
        <v>1</v>
      </c>
      <c r="AW35" s="15">
        <v>1</v>
      </c>
      <c r="AX35" s="16">
        <v>1</v>
      </c>
      <c r="AY35" s="201">
        <v>1</v>
      </c>
      <c r="AZ35" s="142">
        <v>34</v>
      </c>
      <c r="BA35" s="14">
        <v>1</v>
      </c>
      <c r="BB35" s="14">
        <v>1</v>
      </c>
      <c r="BC35" s="14">
        <v>1</v>
      </c>
      <c r="BD35" s="15">
        <v>1</v>
      </c>
      <c r="BE35" s="16">
        <v>34</v>
      </c>
      <c r="BF35" s="203">
        <v>2</v>
      </c>
    </row>
    <row r="36" spans="1:58" ht="14.25" customHeight="1" thickBot="1">
      <c r="A36" s="11"/>
      <c r="B36" s="85"/>
      <c r="C36" s="11"/>
      <c r="D36" s="11"/>
      <c r="E36" s="11"/>
      <c r="H36" s="186" t="str">
        <f>AL22</f>
        <v>35 ਲਛਮਣ ਰਾਮ / ਗਹਿਲਾ ਰਾਮ (ਜਤੀ)</v>
      </c>
      <c r="I36" s="152">
        <v>35</v>
      </c>
      <c r="J36" s="14">
        <v>1</v>
      </c>
      <c r="K36" s="14">
        <v>1</v>
      </c>
      <c r="L36" s="14">
        <v>1</v>
      </c>
      <c r="M36" s="15">
        <v>1</v>
      </c>
      <c r="N36" s="16">
        <v>35</v>
      </c>
      <c r="O36" s="198">
        <v>1</v>
      </c>
      <c r="P36" s="152">
        <v>35</v>
      </c>
      <c r="Q36" s="14">
        <v>1</v>
      </c>
      <c r="R36" s="14">
        <v>1</v>
      </c>
      <c r="S36" s="14">
        <v>1</v>
      </c>
      <c r="T36" s="14">
        <v>1</v>
      </c>
      <c r="U36" s="14">
        <v>1</v>
      </c>
      <c r="V36" s="14">
        <v>1</v>
      </c>
      <c r="W36" s="152">
        <v>35</v>
      </c>
      <c r="X36" s="14">
        <v>1</v>
      </c>
      <c r="Y36" s="14">
        <v>1</v>
      </c>
      <c r="Z36" s="14">
        <v>1</v>
      </c>
      <c r="AA36" s="15">
        <v>1</v>
      </c>
      <c r="AB36" s="16">
        <v>35</v>
      </c>
      <c r="AC36" s="14">
        <v>1</v>
      </c>
      <c r="AD36" s="11"/>
      <c r="AE36" s="11"/>
      <c r="AF36" s="11"/>
      <c r="AG36" s="11"/>
      <c r="AH36" s="11"/>
      <c r="AI36" s="11"/>
      <c r="AJ36" s="11"/>
      <c r="AK36" s="11"/>
      <c r="AL36" s="152">
        <v>30</v>
      </c>
      <c r="AM36" s="14">
        <v>1</v>
      </c>
      <c r="AN36" s="14">
        <v>1</v>
      </c>
      <c r="AO36" s="14">
        <v>1</v>
      </c>
      <c r="AP36" s="15">
        <v>1</v>
      </c>
      <c r="AQ36" s="16">
        <v>35</v>
      </c>
      <c r="AR36" s="15">
        <v>1</v>
      </c>
      <c r="AS36" s="152">
        <v>40</v>
      </c>
      <c r="AT36" s="14">
        <v>1</v>
      </c>
      <c r="AU36" s="14">
        <v>1</v>
      </c>
      <c r="AV36" s="14">
        <v>1</v>
      </c>
      <c r="AW36" s="15">
        <v>1</v>
      </c>
      <c r="AX36" s="16">
        <v>1</v>
      </c>
      <c r="AY36" s="201">
        <v>1</v>
      </c>
      <c r="AZ36" s="142">
        <v>35</v>
      </c>
      <c r="BA36" s="14">
        <v>1</v>
      </c>
      <c r="BB36" s="14">
        <v>1</v>
      </c>
      <c r="BC36" s="14">
        <v>1</v>
      </c>
      <c r="BD36" s="15">
        <v>1</v>
      </c>
      <c r="BE36" s="16">
        <v>35</v>
      </c>
      <c r="BF36" s="203">
        <v>2</v>
      </c>
    </row>
    <row r="37" spans="1:58" ht="14.25" customHeight="1" thickBot="1">
      <c r="A37" s="11"/>
      <c r="B37" s="85"/>
      <c r="C37" s="11"/>
      <c r="D37" s="11"/>
      <c r="E37" s="11"/>
      <c r="H37" s="186" t="str">
        <f>AL27</f>
        <v>36 ਫੱਤਾ ਰਾਮ / ਕਰਮ ਚੰਦ (ਪੰਚਾਇਤੀ ਗੁਰਦੁਆਰੇ ਨਾਲ)</v>
      </c>
      <c r="I37" s="166" t="s">
        <v>95</v>
      </c>
      <c r="J37" s="14" t="s">
        <v>111</v>
      </c>
      <c r="K37" s="14" t="s">
        <v>242</v>
      </c>
      <c r="L37" s="14">
        <v>1</v>
      </c>
      <c r="M37" s="15">
        <v>1</v>
      </c>
      <c r="N37" s="16">
        <v>36</v>
      </c>
      <c r="O37" s="198" t="s">
        <v>1099</v>
      </c>
      <c r="P37" s="151" t="s">
        <v>1092</v>
      </c>
      <c r="Q37" s="14"/>
      <c r="R37" s="14"/>
      <c r="S37" s="14">
        <v>1</v>
      </c>
      <c r="T37" s="14">
        <v>1</v>
      </c>
      <c r="U37" s="14">
        <v>46</v>
      </c>
      <c r="V37" s="198" t="s">
        <v>1107</v>
      </c>
      <c r="W37" s="151" t="s">
        <v>210</v>
      </c>
      <c r="X37" s="14" t="s">
        <v>243</v>
      </c>
      <c r="Y37" s="14">
        <v>1</v>
      </c>
      <c r="Z37" s="14">
        <v>1</v>
      </c>
      <c r="AA37" s="15">
        <v>1</v>
      </c>
      <c r="AB37" s="16">
        <v>36</v>
      </c>
      <c r="AC37" s="201" t="s">
        <v>1115</v>
      </c>
      <c r="AD37" s="11"/>
      <c r="AE37" s="11"/>
      <c r="AF37" s="11"/>
      <c r="AG37" s="11"/>
      <c r="AH37" s="11"/>
      <c r="AI37" s="11"/>
      <c r="AJ37" s="11"/>
      <c r="AK37" s="11"/>
      <c r="AL37" s="151" t="s">
        <v>244</v>
      </c>
      <c r="AM37" s="14">
        <v>1</v>
      </c>
      <c r="AN37" s="14">
        <v>1</v>
      </c>
      <c r="AO37" s="14">
        <v>1</v>
      </c>
      <c r="AP37" s="15">
        <v>1</v>
      </c>
      <c r="AQ37" s="16">
        <v>36</v>
      </c>
      <c r="AR37" s="201" t="s">
        <v>1124</v>
      </c>
      <c r="AS37" s="151" t="s">
        <v>758</v>
      </c>
      <c r="AT37" s="14">
        <v>1</v>
      </c>
      <c r="AU37" s="14">
        <v>1</v>
      </c>
      <c r="AV37" s="14">
        <v>1</v>
      </c>
      <c r="AW37" s="15">
        <v>1</v>
      </c>
      <c r="AX37" s="16">
        <v>1</v>
      </c>
      <c r="AY37" s="201">
        <v>1</v>
      </c>
      <c r="AZ37" s="144" t="s">
        <v>247</v>
      </c>
      <c r="BA37" s="14">
        <v>1</v>
      </c>
      <c r="BB37" s="14">
        <v>1</v>
      </c>
      <c r="BC37" s="14">
        <v>1</v>
      </c>
      <c r="BD37" s="15">
        <v>1</v>
      </c>
      <c r="BE37" s="16">
        <v>36</v>
      </c>
      <c r="BF37" s="203">
        <v>2</v>
      </c>
    </row>
    <row r="38" spans="1:58" ht="14.25" customHeight="1" thickBot="1">
      <c r="A38" s="11"/>
      <c r="B38" s="85"/>
      <c r="C38" s="11"/>
      <c r="D38" s="11"/>
      <c r="E38" s="11"/>
      <c r="H38" s="186" t="str">
        <f>AL32</f>
        <v xml:space="preserve">37 ਗੁਰਦਾਸ ਰਾਮ / ਕਰਮ ਚੰਦ </v>
      </c>
      <c r="I38" s="165" t="s">
        <v>248</v>
      </c>
      <c r="J38" s="14">
        <v>1</v>
      </c>
      <c r="K38" s="14">
        <v>1</v>
      </c>
      <c r="L38" s="14">
        <v>1</v>
      </c>
      <c r="M38" s="15">
        <v>1</v>
      </c>
      <c r="N38" s="16">
        <v>37</v>
      </c>
      <c r="O38" s="198">
        <v>1</v>
      </c>
      <c r="P38" s="152" t="s">
        <v>303</v>
      </c>
      <c r="Q38" s="14" t="s">
        <v>304</v>
      </c>
      <c r="R38" s="14" t="s">
        <v>305</v>
      </c>
      <c r="S38" s="14" t="s">
        <v>143</v>
      </c>
      <c r="T38" s="14" t="s">
        <v>306</v>
      </c>
      <c r="U38" s="14">
        <v>47</v>
      </c>
      <c r="V38" s="14">
        <v>1</v>
      </c>
      <c r="W38" s="209" t="s">
        <v>1391</v>
      </c>
      <c r="X38" s="208" t="s">
        <v>1392</v>
      </c>
      <c r="Y38" s="14">
        <v>1</v>
      </c>
      <c r="Z38" s="14">
        <v>1</v>
      </c>
      <c r="AA38" s="15">
        <v>1</v>
      </c>
      <c r="AB38" s="16">
        <v>37</v>
      </c>
      <c r="AC38" s="14">
        <v>1</v>
      </c>
      <c r="AD38" s="11"/>
      <c r="AE38" s="11"/>
      <c r="AF38" s="11"/>
      <c r="AG38" s="11"/>
      <c r="AH38" s="11"/>
      <c r="AI38" s="11"/>
      <c r="AJ38" s="11"/>
      <c r="AK38" s="11"/>
      <c r="AL38" s="152" t="s">
        <v>249</v>
      </c>
      <c r="AM38" s="14" t="s">
        <v>250</v>
      </c>
      <c r="AN38" s="14" t="s">
        <v>251</v>
      </c>
      <c r="AO38" s="14" t="s">
        <v>252</v>
      </c>
      <c r="AP38" s="15">
        <v>1</v>
      </c>
      <c r="AQ38" s="16">
        <v>37</v>
      </c>
      <c r="AR38" s="15">
        <v>1</v>
      </c>
      <c r="AS38" s="152">
        <v>37</v>
      </c>
      <c r="AT38" s="14">
        <v>1</v>
      </c>
      <c r="AU38" s="14">
        <v>1</v>
      </c>
      <c r="AV38" s="14">
        <v>1</v>
      </c>
      <c r="AW38" s="15">
        <v>1</v>
      </c>
      <c r="AX38" s="16">
        <v>1</v>
      </c>
      <c r="AY38" s="201">
        <v>1</v>
      </c>
      <c r="AZ38" s="142">
        <v>37</v>
      </c>
      <c r="BA38" s="14">
        <v>1</v>
      </c>
      <c r="BB38" s="14">
        <v>1</v>
      </c>
      <c r="BC38" s="14">
        <v>1</v>
      </c>
      <c r="BD38" s="15">
        <v>1</v>
      </c>
      <c r="BE38" s="16">
        <v>37</v>
      </c>
      <c r="BF38" s="203">
        <v>2</v>
      </c>
    </row>
    <row r="39" spans="1:58" ht="14.25" customHeight="1" thickBot="1">
      <c r="A39" s="11"/>
      <c r="B39" s="85"/>
      <c r="C39" s="11"/>
      <c r="D39" s="11"/>
      <c r="E39" s="11"/>
      <c r="H39" s="186" t="str">
        <f>AL37</f>
        <v>38 ਕੋਟ ਚੰਦ ਮੋਮੀ (ਅਰਜਨ ਦਰਸ਼ਨ ਦਾ ਪਿਤਾ)</v>
      </c>
      <c r="I39" s="165">
        <v>3</v>
      </c>
      <c r="J39" s="14">
        <v>1</v>
      </c>
      <c r="K39" s="14">
        <v>1</v>
      </c>
      <c r="L39" s="14">
        <v>1</v>
      </c>
      <c r="M39" s="15">
        <v>1</v>
      </c>
      <c r="N39" s="16">
        <v>38</v>
      </c>
      <c r="O39" s="198">
        <v>1</v>
      </c>
      <c r="P39" s="152" t="s">
        <v>310</v>
      </c>
      <c r="Q39" s="14" t="s">
        <v>311</v>
      </c>
      <c r="R39" s="14">
        <v>1</v>
      </c>
      <c r="S39" s="14">
        <v>1</v>
      </c>
      <c r="T39" s="14">
        <v>1</v>
      </c>
      <c r="U39" s="14">
        <v>48</v>
      </c>
      <c r="V39" s="14">
        <v>1</v>
      </c>
      <c r="W39" s="152">
        <v>38</v>
      </c>
      <c r="X39" s="14">
        <v>1</v>
      </c>
      <c r="Y39" s="14">
        <v>1</v>
      </c>
      <c r="Z39" s="14">
        <v>1</v>
      </c>
      <c r="AA39" s="15">
        <v>1</v>
      </c>
      <c r="AB39" s="16">
        <v>38</v>
      </c>
      <c r="AC39" s="14">
        <v>1</v>
      </c>
      <c r="AD39" s="11"/>
      <c r="AE39" s="11"/>
      <c r="AF39" s="11"/>
      <c r="AG39" s="11"/>
      <c r="AH39" s="11"/>
      <c r="AI39" s="11"/>
      <c r="AJ39" s="11"/>
      <c r="AK39" s="11"/>
      <c r="AL39" s="152" t="s">
        <v>256</v>
      </c>
      <c r="AM39" s="14" t="s">
        <v>257</v>
      </c>
      <c r="AN39" s="208" t="s">
        <v>1387</v>
      </c>
      <c r="AO39" s="14">
        <v>1</v>
      </c>
      <c r="AP39" s="15">
        <v>1</v>
      </c>
      <c r="AQ39" s="16">
        <v>38</v>
      </c>
      <c r="AR39" s="15">
        <v>1</v>
      </c>
      <c r="AS39" s="152">
        <v>38</v>
      </c>
      <c r="AT39" s="14">
        <v>1</v>
      </c>
      <c r="AU39" s="14">
        <v>1</v>
      </c>
      <c r="AV39" s="15">
        <v>1</v>
      </c>
      <c r="AW39" s="16">
        <v>1</v>
      </c>
      <c r="AX39" s="16">
        <v>1</v>
      </c>
      <c r="AY39" s="201">
        <v>1</v>
      </c>
      <c r="AZ39" s="142">
        <v>38</v>
      </c>
      <c r="BA39" s="14">
        <v>1</v>
      </c>
      <c r="BB39" s="14">
        <v>1</v>
      </c>
      <c r="BC39" s="14">
        <v>1</v>
      </c>
      <c r="BD39" s="15">
        <v>1</v>
      </c>
      <c r="BE39" s="16">
        <v>38</v>
      </c>
      <c r="BF39" s="203">
        <v>2</v>
      </c>
    </row>
    <row r="40" spans="1:58" ht="14.25" customHeight="1" thickBot="1">
      <c r="A40" s="11"/>
      <c r="B40" s="85"/>
      <c r="C40" s="11"/>
      <c r="D40" s="11"/>
      <c r="E40" s="11"/>
      <c r="H40" s="230" t="str">
        <f>AL42</f>
        <v>39 ਚੰਬਾ ਰਾਮ (ਮਾਸਟਰ ਰਾਝਾ ਰਾਮ ਦਾ ਪਿਤਾ)</v>
      </c>
      <c r="I40" s="165">
        <v>4</v>
      </c>
      <c r="J40" s="14">
        <v>1</v>
      </c>
      <c r="K40" s="14">
        <v>1</v>
      </c>
      <c r="L40" s="14">
        <v>1</v>
      </c>
      <c r="M40" s="15">
        <v>1</v>
      </c>
      <c r="N40" s="16">
        <v>39</v>
      </c>
      <c r="O40" s="198">
        <v>1</v>
      </c>
      <c r="P40" s="152" t="s">
        <v>313</v>
      </c>
      <c r="Q40" s="14" t="s">
        <v>297</v>
      </c>
      <c r="R40" s="14" t="s">
        <v>314</v>
      </c>
      <c r="S40" s="14">
        <v>1</v>
      </c>
      <c r="T40" s="14">
        <v>1</v>
      </c>
      <c r="U40" s="14">
        <v>49</v>
      </c>
      <c r="V40" s="14">
        <v>1</v>
      </c>
      <c r="W40" s="152">
        <v>39</v>
      </c>
      <c r="X40" s="14">
        <v>1</v>
      </c>
      <c r="Y40" s="14">
        <v>1</v>
      </c>
      <c r="Z40" s="14">
        <v>1</v>
      </c>
      <c r="AA40" s="15">
        <v>1</v>
      </c>
      <c r="AB40" s="16">
        <v>39</v>
      </c>
      <c r="AC40" s="14">
        <v>1</v>
      </c>
      <c r="AD40" s="11"/>
      <c r="AE40" s="11"/>
      <c r="AF40" s="11"/>
      <c r="AG40" s="11"/>
      <c r="AH40" s="11"/>
      <c r="AI40" s="11"/>
      <c r="AJ40" s="11"/>
      <c r="AK40" s="11"/>
      <c r="AL40" s="152" t="s">
        <v>89</v>
      </c>
      <c r="AM40" s="14" t="s">
        <v>92</v>
      </c>
      <c r="AN40" s="14" t="s">
        <v>261</v>
      </c>
      <c r="AO40" s="208" t="s">
        <v>415</v>
      </c>
      <c r="AP40" s="15">
        <v>1</v>
      </c>
      <c r="AQ40" s="16">
        <v>39</v>
      </c>
      <c r="AR40" s="15">
        <v>1</v>
      </c>
      <c r="AS40" s="152">
        <v>39</v>
      </c>
      <c r="AT40" s="14">
        <v>1</v>
      </c>
      <c r="AU40" s="14">
        <v>1</v>
      </c>
      <c r="AV40" s="14">
        <v>1</v>
      </c>
      <c r="AW40" s="15">
        <v>1</v>
      </c>
      <c r="AX40" s="16">
        <v>1</v>
      </c>
      <c r="AY40" s="201">
        <v>1</v>
      </c>
      <c r="AZ40" s="142">
        <v>39</v>
      </c>
      <c r="BA40" s="14">
        <v>1</v>
      </c>
      <c r="BB40" s="14">
        <v>1</v>
      </c>
      <c r="BC40" s="14">
        <v>1</v>
      </c>
      <c r="BD40" s="15">
        <v>1</v>
      </c>
      <c r="BE40" s="16">
        <v>39</v>
      </c>
      <c r="BF40" s="203">
        <v>2</v>
      </c>
    </row>
    <row r="41" spans="1:58" ht="14.25" customHeight="1" thickBot="1">
      <c r="A41" s="11"/>
      <c r="B41" s="85"/>
      <c r="C41" s="11"/>
      <c r="D41" s="11"/>
      <c r="E41" s="11"/>
      <c r="H41" s="186" t="str">
        <f>AL47</f>
        <v>40 ਰਾਮ ਚੰਦ ਮੈਂਬਰ</v>
      </c>
      <c r="I41" s="165">
        <v>5</v>
      </c>
      <c r="J41" s="14">
        <v>1</v>
      </c>
      <c r="K41" s="14">
        <v>1</v>
      </c>
      <c r="L41" s="14">
        <v>1</v>
      </c>
      <c r="M41" s="15">
        <v>1</v>
      </c>
      <c r="N41" s="16">
        <v>40</v>
      </c>
      <c r="O41" s="198">
        <v>1</v>
      </c>
      <c r="P41" s="152" t="s">
        <v>315</v>
      </c>
      <c r="Q41" s="14" t="s">
        <v>316</v>
      </c>
      <c r="R41" s="14" t="s">
        <v>317</v>
      </c>
      <c r="S41" s="14">
        <v>1</v>
      </c>
      <c r="T41" s="14">
        <v>1</v>
      </c>
      <c r="U41" s="14">
        <v>50</v>
      </c>
      <c r="V41" s="14">
        <v>1</v>
      </c>
      <c r="W41" s="152">
        <v>40</v>
      </c>
      <c r="X41" s="14">
        <v>1</v>
      </c>
      <c r="Y41" s="14">
        <v>1</v>
      </c>
      <c r="Z41" s="14">
        <v>1</v>
      </c>
      <c r="AA41" s="15">
        <v>1</v>
      </c>
      <c r="AB41" s="16">
        <v>40</v>
      </c>
      <c r="AC41" s="14">
        <v>1</v>
      </c>
      <c r="AD41" s="11"/>
      <c r="AE41" s="11"/>
      <c r="AF41" s="11"/>
      <c r="AG41" s="11"/>
      <c r="AH41" s="11"/>
      <c r="AI41" s="11"/>
      <c r="AJ41" s="11"/>
      <c r="AK41" s="11"/>
      <c r="AL41" s="152" t="s">
        <v>264</v>
      </c>
      <c r="AM41" s="14" t="s">
        <v>197</v>
      </c>
      <c r="AN41" s="208" t="s">
        <v>606</v>
      </c>
      <c r="AO41" s="14">
        <v>1</v>
      </c>
      <c r="AP41" s="15">
        <v>1</v>
      </c>
      <c r="AQ41" s="16">
        <v>40</v>
      </c>
      <c r="AR41" s="15">
        <v>1</v>
      </c>
      <c r="AS41" s="152">
        <v>40</v>
      </c>
      <c r="AT41" s="14">
        <v>1</v>
      </c>
      <c r="AU41" s="14">
        <v>1</v>
      </c>
      <c r="AV41" s="14">
        <v>1</v>
      </c>
      <c r="AW41" s="15">
        <v>1</v>
      </c>
      <c r="AX41" s="16">
        <v>1</v>
      </c>
      <c r="AY41" s="201">
        <v>1</v>
      </c>
      <c r="AZ41" s="142">
        <v>40</v>
      </c>
      <c r="BA41" s="14">
        <v>1</v>
      </c>
      <c r="BB41" s="14">
        <v>1</v>
      </c>
      <c r="BC41" s="14">
        <v>1</v>
      </c>
      <c r="BD41" s="15">
        <v>1</v>
      </c>
      <c r="BE41" s="16">
        <v>40</v>
      </c>
      <c r="BF41" s="203">
        <v>2</v>
      </c>
    </row>
    <row r="42" spans="1:58" ht="14.25" customHeight="1" thickBot="1">
      <c r="A42" s="11"/>
      <c r="B42" s="85"/>
      <c r="C42" s="11"/>
      <c r="D42" s="11"/>
      <c r="E42" s="11"/>
      <c r="H42" s="186" t="str">
        <f>AS2</f>
        <v>41 ਸੋਮ ਚੰਦ ਭਗਵਾਨ ਦਾਸ</v>
      </c>
      <c r="I42" s="166" t="s">
        <v>104</v>
      </c>
      <c r="J42" s="14" t="s">
        <v>267</v>
      </c>
      <c r="K42" s="14" t="s">
        <v>257</v>
      </c>
      <c r="L42" s="14" t="s">
        <v>39</v>
      </c>
      <c r="M42" s="15" t="s">
        <v>268</v>
      </c>
      <c r="N42" s="16">
        <v>41</v>
      </c>
      <c r="O42" s="198" t="s">
        <v>1136</v>
      </c>
      <c r="P42" s="151" t="s">
        <v>1093</v>
      </c>
      <c r="Q42" s="14" t="s">
        <v>219</v>
      </c>
      <c r="R42" s="14" t="s">
        <v>226</v>
      </c>
      <c r="S42" s="14">
        <v>1</v>
      </c>
      <c r="T42" s="14">
        <v>1</v>
      </c>
      <c r="U42" s="14">
        <v>31</v>
      </c>
      <c r="V42" s="238" t="s">
        <v>1411</v>
      </c>
      <c r="W42" s="151" t="s">
        <v>213</v>
      </c>
      <c r="X42" s="14" t="s">
        <v>82</v>
      </c>
      <c r="Y42" s="14" t="s">
        <v>269</v>
      </c>
      <c r="Z42" s="14">
        <v>1</v>
      </c>
      <c r="AA42" s="15">
        <v>1</v>
      </c>
      <c r="AB42" s="16">
        <v>41</v>
      </c>
      <c r="AC42" s="201" t="s">
        <v>1116</v>
      </c>
      <c r="AD42" s="11"/>
      <c r="AE42" s="11"/>
      <c r="AF42" s="11"/>
      <c r="AG42" s="11"/>
      <c r="AH42" s="11"/>
      <c r="AI42" s="11"/>
      <c r="AJ42" s="11"/>
      <c r="AK42" s="11"/>
      <c r="AL42" s="151" t="s">
        <v>260</v>
      </c>
      <c r="AM42" s="14"/>
      <c r="AN42" s="14">
        <v>1</v>
      </c>
      <c r="AO42" s="14">
        <v>1</v>
      </c>
      <c r="AP42" s="15">
        <v>1</v>
      </c>
      <c r="AQ42" s="16">
        <v>41</v>
      </c>
      <c r="AR42" s="201" t="s">
        <v>1125</v>
      </c>
      <c r="AS42" s="151" t="s">
        <v>765</v>
      </c>
      <c r="AT42" s="14">
        <v>1</v>
      </c>
      <c r="AU42" s="14">
        <v>1</v>
      </c>
      <c r="AV42" s="14">
        <v>1</v>
      </c>
      <c r="AW42" s="15">
        <v>1</v>
      </c>
      <c r="AX42" s="16">
        <v>1</v>
      </c>
      <c r="AY42" s="201">
        <v>1</v>
      </c>
      <c r="AZ42" s="144" t="s">
        <v>270</v>
      </c>
      <c r="BA42" s="14">
        <v>1</v>
      </c>
      <c r="BB42" s="14">
        <v>1</v>
      </c>
      <c r="BC42" s="14">
        <v>1</v>
      </c>
      <c r="BD42" s="15">
        <v>1</v>
      </c>
      <c r="BE42" s="16">
        <v>41</v>
      </c>
      <c r="BF42" s="203">
        <v>2</v>
      </c>
    </row>
    <row r="43" spans="1:58" ht="14.25" customHeight="1" thickBot="1">
      <c r="A43" s="11"/>
      <c r="B43" s="85"/>
      <c r="C43" s="11"/>
      <c r="D43" s="11"/>
      <c r="E43" s="11"/>
      <c r="H43" s="236" t="str">
        <f>AS7</f>
        <v>42 ਚੰਬਾ ਰਾਮ</v>
      </c>
      <c r="I43" s="165" t="s">
        <v>192</v>
      </c>
      <c r="J43" s="14" t="s">
        <v>271</v>
      </c>
      <c r="K43" s="14" t="s">
        <v>211</v>
      </c>
      <c r="L43" s="14" t="s">
        <v>272</v>
      </c>
      <c r="M43" s="15">
        <v>1</v>
      </c>
      <c r="N43" s="16">
        <v>42</v>
      </c>
      <c r="O43" s="198">
        <v>1</v>
      </c>
      <c r="P43" s="152" t="s">
        <v>156</v>
      </c>
      <c r="Q43" s="14">
        <v>1</v>
      </c>
      <c r="R43" s="14">
        <v>1</v>
      </c>
      <c r="S43" s="14">
        <v>1</v>
      </c>
      <c r="T43" s="14">
        <v>1</v>
      </c>
      <c r="U43" s="14">
        <v>32</v>
      </c>
      <c r="V43" s="14">
        <v>1</v>
      </c>
      <c r="W43" s="152" t="s">
        <v>96</v>
      </c>
      <c r="X43" s="14" t="s">
        <v>175</v>
      </c>
      <c r="Y43" s="14" t="s">
        <v>257</v>
      </c>
      <c r="Z43" s="14" t="s">
        <v>273</v>
      </c>
      <c r="AA43" s="15">
        <v>1</v>
      </c>
      <c r="AB43" s="16">
        <v>42</v>
      </c>
      <c r="AC43" s="14">
        <v>1</v>
      </c>
      <c r="AD43" s="11"/>
      <c r="AE43" s="11"/>
      <c r="AF43" s="11"/>
      <c r="AG43" s="11"/>
      <c r="AH43" s="11"/>
      <c r="AI43" s="11"/>
      <c r="AJ43" s="11"/>
      <c r="AK43" s="11"/>
      <c r="AL43" s="152" t="s">
        <v>274</v>
      </c>
      <c r="AM43" s="14" t="s">
        <v>129</v>
      </c>
      <c r="AN43" s="14" t="s">
        <v>275</v>
      </c>
      <c r="AO43" s="208" t="s">
        <v>394</v>
      </c>
      <c r="AP43" s="15">
        <v>1</v>
      </c>
      <c r="AQ43" s="16">
        <v>42</v>
      </c>
      <c r="AR43" s="15">
        <v>1</v>
      </c>
      <c r="AS43" s="152">
        <v>42</v>
      </c>
      <c r="AT43" s="14">
        <v>1</v>
      </c>
      <c r="AU43" s="14">
        <v>1</v>
      </c>
      <c r="AV43" s="14">
        <v>1</v>
      </c>
      <c r="AW43" s="15">
        <v>1</v>
      </c>
      <c r="AX43" s="16">
        <v>1</v>
      </c>
      <c r="AY43" s="201">
        <v>1</v>
      </c>
      <c r="AZ43" s="142">
        <v>42</v>
      </c>
      <c r="BA43" s="14">
        <v>1</v>
      </c>
      <c r="BB43" s="14">
        <v>1</v>
      </c>
      <c r="BC43" s="14">
        <v>1</v>
      </c>
      <c r="BD43" s="15">
        <v>1</v>
      </c>
      <c r="BE43" s="16">
        <v>42</v>
      </c>
      <c r="BF43" s="203">
        <v>2</v>
      </c>
    </row>
    <row r="44" spans="1:58" ht="14.25" customHeight="1" thickBot="1">
      <c r="A44" s="11"/>
      <c r="B44" s="85"/>
      <c r="C44" s="11"/>
      <c r="D44" s="11"/>
      <c r="E44" s="11"/>
      <c r="H44" s="186" t="str">
        <f>AS12</f>
        <v>43 ਖਾਨ ਚੰਦ ਗੋਮਾ ਰਾਮ</v>
      </c>
      <c r="I44" s="165" t="s">
        <v>279</v>
      </c>
      <c r="J44" s="14" t="s">
        <v>280</v>
      </c>
      <c r="K44" s="14" t="s">
        <v>281</v>
      </c>
      <c r="L44" s="14">
        <v>1</v>
      </c>
      <c r="M44" s="15">
        <v>1</v>
      </c>
      <c r="N44" s="16">
        <v>43</v>
      </c>
      <c r="O44" s="198">
        <v>1</v>
      </c>
      <c r="P44" s="152" t="s">
        <v>239</v>
      </c>
      <c r="Q44" s="14">
        <v>1</v>
      </c>
      <c r="R44" s="14">
        <v>1</v>
      </c>
      <c r="S44" s="14">
        <v>1</v>
      </c>
      <c r="T44" s="14">
        <v>1</v>
      </c>
      <c r="U44" s="14">
        <v>33</v>
      </c>
      <c r="V44" s="14">
        <v>1</v>
      </c>
      <c r="W44" s="152" t="s">
        <v>192</v>
      </c>
      <c r="X44" s="14" t="s">
        <v>282</v>
      </c>
      <c r="Y44" s="14" t="s">
        <v>283</v>
      </c>
      <c r="Z44" s="14" t="s">
        <v>284</v>
      </c>
      <c r="AA44" s="15">
        <v>1</v>
      </c>
      <c r="AB44" s="16">
        <v>43</v>
      </c>
      <c r="AC44" s="14">
        <v>1</v>
      </c>
      <c r="AD44" s="11"/>
      <c r="AE44" s="11"/>
      <c r="AF44" s="11"/>
      <c r="AG44" s="11"/>
      <c r="AH44" s="11"/>
      <c r="AI44" s="11"/>
      <c r="AJ44" s="11"/>
      <c r="AK44" s="11"/>
      <c r="AL44" s="152" t="s">
        <v>285</v>
      </c>
      <c r="AM44" s="14" t="s">
        <v>94</v>
      </c>
      <c r="AN44" s="14" t="s">
        <v>55</v>
      </c>
      <c r="AO44" s="14" t="s">
        <v>257</v>
      </c>
      <c r="AP44" s="15">
        <v>1</v>
      </c>
      <c r="AQ44" s="16">
        <v>43</v>
      </c>
      <c r="AR44" s="15">
        <v>1</v>
      </c>
      <c r="AS44" s="152">
        <v>43</v>
      </c>
      <c r="AT44" s="14">
        <v>1</v>
      </c>
      <c r="AU44" s="14">
        <v>1</v>
      </c>
      <c r="AV44" s="14">
        <v>1</v>
      </c>
      <c r="AW44" s="15">
        <v>1</v>
      </c>
      <c r="AX44" s="16">
        <v>1</v>
      </c>
      <c r="AY44" s="201">
        <v>1</v>
      </c>
      <c r="AZ44" s="142">
        <v>43</v>
      </c>
      <c r="BA44" s="14">
        <v>1</v>
      </c>
      <c r="BB44" s="14">
        <v>1</v>
      </c>
      <c r="BC44" s="14">
        <v>1</v>
      </c>
      <c r="BD44" s="15">
        <v>1</v>
      </c>
      <c r="BE44" s="16">
        <v>43</v>
      </c>
      <c r="BF44" s="203">
        <v>2</v>
      </c>
    </row>
    <row r="45" spans="1:58" ht="14.25" customHeight="1" thickBot="1">
      <c r="A45" s="11"/>
      <c r="B45" s="85"/>
      <c r="C45" s="11"/>
      <c r="D45" s="11"/>
      <c r="E45" s="11"/>
      <c r="H45" s="186" t="str">
        <f>AS17</f>
        <v>44 ਲਾਲ ਚੰਦ ਲਛਮਣ ਰਾਮ</v>
      </c>
      <c r="I45" s="152">
        <v>44</v>
      </c>
      <c r="J45" s="14">
        <v>1</v>
      </c>
      <c r="K45" s="14">
        <v>1</v>
      </c>
      <c r="L45" s="14">
        <v>1</v>
      </c>
      <c r="M45" s="15">
        <v>1</v>
      </c>
      <c r="N45" s="16">
        <v>44</v>
      </c>
      <c r="O45" s="198">
        <v>1</v>
      </c>
      <c r="P45" s="152">
        <v>34</v>
      </c>
      <c r="Q45" s="14">
        <v>1</v>
      </c>
      <c r="R45" s="14">
        <v>1</v>
      </c>
      <c r="S45" s="14">
        <v>1</v>
      </c>
      <c r="T45" s="14">
        <v>1</v>
      </c>
      <c r="U45" s="14">
        <v>34</v>
      </c>
      <c r="V45" s="14">
        <v>1</v>
      </c>
      <c r="W45" s="152">
        <v>44</v>
      </c>
      <c r="X45" s="14">
        <v>1</v>
      </c>
      <c r="Y45" s="14">
        <v>1</v>
      </c>
      <c r="Z45" s="14">
        <v>1</v>
      </c>
      <c r="AA45" s="15">
        <v>1</v>
      </c>
      <c r="AB45" s="16">
        <v>44</v>
      </c>
      <c r="AC45" s="14">
        <v>1</v>
      </c>
      <c r="AD45" s="11"/>
      <c r="AE45" s="11"/>
      <c r="AF45" s="11"/>
      <c r="AG45" s="11"/>
      <c r="AH45" s="11"/>
      <c r="AI45" s="11"/>
      <c r="AJ45" s="11"/>
      <c r="AK45" s="11"/>
      <c r="AL45" s="152" t="s">
        <v>287</v>
      </c>
      <c r="AM45" s="14" t="s">
        <v>288</v>
      </c>
      <c r="AN45" s="14" t="s">
        <v>289</v>
      </c>
      <c r="AO45" s="208" t="s">
        <v>1400</v>
      </c>
      <c r="AP45" s="15">
        <v>1</v>
      </c>
      <c r="AQ45" s="16">
        <v>44</v>
      </c>
      <c r="AR45" s="15">
        <v>1</v>
      </c>
      <c r="AS45" s="152">
        <v>44</v>
      </c>
      <c r="AT45" s="14">
        <v>1</v>
      </c>
      <c r="AU45" s="14">
        <v>1</v>
      </c>
      <c r="AV45" s="14">
        <v>1</v>
      </c>
      <c r="AW45" s="15">
        <v>1</v>
      </c>
      <c r="AX45" s="16">
        <v>1</v>
      </c>
      <c r="AY45" s="201">
        <v>1</v>
      </c>
      <c r="AZ45" s="142">
        <v>44</v>
      </c>
      <c r="BA45" s="14">
        <v>1</v>
      </c>
      <c r="BB45" s="14">
        <v>1</v>
      </c>
      <c r="BC45" s="14">
        <v>1</v>
      </c>
      <c r="BD45" s="15">
        <v>1</v>
      </c>
      <c r="BE45" s="16">
        <v>44</v>
      </c>
      <c r="BF45" s="203">
        <v>2</v>
      </c>
    </row>
    <row r="46" spans="1:58" ht="14.25" customHeight="1" thickBot="1">
      <c r="A46" s="11"/>
      <c r="B46" s="85"/>
      <c r="C46" s="11"/>
      <c r="D46" s="11"/>
      <c r="E46" s="11"/>
      <c r="H46" s="186" t="str">
        <f>AS22</f>
        <v>45 ਹਰੀ ਚੰਦ</v>
      </c>
      <c r="I46" s="152">
        <v>45</v>
      </c>
      <c r="J46" s="14">
        <v>1</v>
      </c>
      <c r="K46" s="14">
        <v>1</v>
      </c>
      <c r="L46" s="14">
        <v>1</v>
      </c>
      <c r="M46" s="15">
        <v>1</v>
      </c>
      <c r="N46" s="16">
        <v>45</v>
      </c>
      <c r="O46" s="198">
        <v>1</v>
      </c>
      <c r="P46" s="152">
        <v>35</v>
      </c>
      <c r="Q46" s="14">
        <v>1</v>
      </c>
      <c r="R46" s="14">
        <v>1</v>
      </c>
      <c r="S46" s="14">
        <v>1</v>
      </c>
      <c r="T46" s="14">
        <v>1</v>
      </c>
      <c r="U46" s="14">
        <v>35</v>
      </c>
      <c r="V46" s="14">
        <v>1</v>
      </c>
      <c r="W46" s="152">
        <v>45</v>
      </c>
      <c r="X46" s="14">
        <v>1</v>
      </c>
      <c r="Y46" s="14">
        <v>1</v>
      </c>
      <c r="Z46" s="14">
        <v>1</v>
      </c>
      <c r="AA46" s="15">
        <v>1</v>
      </c>
      <c r="AB46" s="16">
        <v>45</v>
      </c>
      <c r="AC46" s="14">
        <v>1</v>
      </c>
      <c r="AD46" s="11"/>
      <c r="AE46" s="11"/>
      <c r="AF46" s="11"/>
      <c r="AG46" s="11"/>
      <c r="AH46" s="11"/>
      <c r="AI46" s="11"/>
      <c r="AJ46" s="11"/>
      <c r="AK46" s="11"/>
      <c r="AL46" s="152">
        <v>45</v>
      </c>
      <c r="AM46" s="14">
        <v>1</v>
      </c>
      <c r="AN46" s="14">
        <v>1</v>
      </c>
      <c r="AO46" s="14">
        <v>1</v>
      </c>
      <c r="AP46" s="15">
        <v>1</v>
      </c>
      <c r="AQ46" s="16">
        <v>45</v>
      </c>
      <c r="AR46" s="15">
        <v>1</v>
      </c>
      <c r="AS46" s="152">
        <v>45</v>
      </c>
      <c r="AT46" s="14">
        <v>1</v>
      </c>
      <c r="AU46" s="14">
        <v>1</v>
      </c>
      <c r="AV46" s="14">
        <v>1</v>
      </c>
      <c r="AW46" s="15">
        <v>1</v>
      </c>
      <c r="AX46" s="16">
        <v>1</v>
      </c>
      <c r="AY46" s="201">
        <v>1</v>
      </c>
      <c r="AZ46" s="142">
        <v>45</v>
      </c>
      <c r="BA46" s="14">
        <v>1</v>
      </c>
      <c r="BB46" s="14">
        <v>1</v>
      </c>
      <c r="BC46" s="14">
        <v>1</v>
      </c>
      <c r="BD46" s="15">
        <v>1</v>
      </c>
      <c r="BE46" s="16">
        <v>45</v>
      </c>
      <c r="BF46" s="203">
        <v>2</v>
      </c>
    </row>
    <row r="47" spans="1:58" ht="14.25" customHeight="1" thickBot="1">
      <c r="A47" s="11"/>
      <c r="B47" s="85"/>
      <c r="C47" s="11"/>
      <c r="D47" s="11"/>
      <c r="E47" s="11"/>
      <c r="H47" s="186" t="str">
        <f>AS27</f>
        <v>46 ਰਾਮ ਲੁਭਾਇਆ ਮੇਹਰਾ ਰਾਮ</v>
      </c>
      <c r="I47" s="151" t="s">
        <v>109</v>
      </c>
      <c r="J47" s="14" t="s">
        <v>94</v>
      </c>
      <c r="K47" s="14" t="s">
        <v>90</v>
      </c>
      <c r="L47" s="14">
        <v>1</v>
      </c>
      <c r="M47" s="15">
        <v>1</v>
      </c>
      <c r="N47" s="16">
        <v>46</v>
      </c>
      <c r="O47" s="198" t="s">
        <v>1100</v>
      </c>
      <c r="P47" s="151" t="s">
        <v>162</v>
      </c>
      <c r="Q47" s="14" t="s">
        <v>292</v>
      </c>
      <c r="R47" s="14">
        <v>1</v>
      </c>
      <c r="S47" s="14">
        <v>1</v>
      </c>
      <c r="T47" s="14">
        <v>1</v>
      </c>
      <c r="U47" s="14">
        <v>1</v>
      </c>
      <c r="V47" s="238" t="s">
        <v>1412</v>
      </c>
      <c r="W47" s="151" t="s">
        <v>217</v>
      </c>
      <c r="X47" s="14" t="s">
        <v>293</v>
      </c>
      <c r="Y47" s="14">
        <v>1</v>
      </c>
      <c r="Z47" s="14">
        <v>1</v>
      </c>
      <c r="AA47" s="15">
        <v>1</v>
      </c>
      <c r="AB47" s="16">
        <v>46</v>
      </c>
      <c r="AC47" s="201" t="s">
        <v>1117</v>
      </c>
      <c r="AD47" s="11"/>
      <c r="AE47" s="11"/>
      <c r="AF47" s="11"/>
      <c r="AG47" s="11"/>
      <c r="AH47" s="11"/>
      <c r="AI47" s="11"/>
      <c r="AJ47" s="11"/>
      <c r="AK47" s="11"/>
      <c r="AL47" s="151" t="s">
        <v>263</v>
      </c>
      <c r="AM47" s="14" t="s">
        <v>296</v>
      </c>
      <c r="AN47" s="14" t="s">
        <v>297</v>
      </c>
      <c r="AO47" s="14">
        <v>1</v>
      </c>
      <c r="AP47" s="15">
        <v>1</v>
      </c>
      <c r="AQ47" s="16">
        <v>46</v>
      </c>
      <c r="AR47" s="201" t="s">
        <v>1126</v>
      </c>
      <c r="AS47" s="194" t="s">
        <v>772</v>
      </c>
      <c r="AT47" s="14">
        <v>1</v>
      </c>
      <c r="AU47" s="15">
        <v>1</v>
      </c>
      <c r="AV47" s="14">
        <v>1</v>
      </c>
      <c r="AW47" s="15">
        <v>1</v>
      </c>
      <c r="AX47" s="16">
        <v>1</v>
      </c>
      <c r="AY47" s="201">
        <v>1</v>
      </c>
      <c r="AZ47" s="144" t="s">
        <v>298</v>
      </c>
      <c r="BA47" s="14">
        <v>1</v>
      </c>
      <c r="BB47" s="14">
        <v>1</v>
      </c>
      <c r="BC47" s="14">
        <v>1</v>
      </c>
      <c r="BD47" s="15">
        <v>1</v>
      </c>
      <c r="BE47" s="16">
        <v>46</v>
      </c>
      <c r="BF47" s="203">
        <v>2</v>
      </c>
    </row>
    <row r="48" spans="1:58" ht="14.25" customHeight="1" thickBot="1">
      <c r="A48" s="11"/>
      <c r="B48" s="85"/>
      <c r="C48" s="11"/>
      <c r="D48" s="11"/>
      <c r="E48" s="11"/>
      <c r="H48" s="186" t="str">
        <f>AS32</f>
        <v>47 eighteen</v>
      </c>
      <c r="I48" s="152" t="s">
        <v>299</v>
      </c>
      <c r="J48" s="208" t="s">
        <v>271</v>
      </c>
      <c r="K48" s="14">
        <v>1</v>
      </c>
      <c r="L48" s="14">
        <v>1</v>
      </c>
      <c r="M48" s="15">
        <v>1</v>
      </c>
      <c r="N48" s="16">
        <v>47</v>
      </c>
      <c r="O48" s="198">
        <v>1</v>
      </c>
      <c r="P48" s="152" t="s">
        <v>212</v>
      </c>
      <c r="Q48" s="14">
        <v>1</v>
      </c>
      <c r="R48" s="14">
        <v>1</v>
      </c>
      <c r="S48" s="14">
        <v>1</v>
      </c>
      <c r="T48" s="14">
        <v>1</v>
      </c>
      <c r="U48" s="14">
        <v>1</v>
      </c>
      <c r="V48" s="14">
        <v>1</v>
      </c>
      <c r="W48" s="152" t="s">
        <v>300</v>
      </c>
      <c r="X48" s="14" t="s">
        <v>301</v>
      </c>
      <c r="Y48" s="14" t="s">
        <v>294</v>
      </c>
      <c r="Z48" s="14" t="s">
        <v>295</v>
      </c>
      <c r="AA48" s="15">
        <v>1</v>
      </c>
      <c r="AB48" s="16">
        <v>47</v>
      </c>
      <c r="AC48" s="14">
        <v>1</v>
      </c>
      <c r="AD48" s="11"/>
      <c r="AE48" s="11"/>
      <c r="AF48" s="11"/>
      <c r="AG48" s="11"/>
      <c r="AH48" s="11"/>
      <c r="AI48" s="11"/>
      <c r="AJ48" s="11"/>
      <c r="AK48" s="11"/>
      <c r="AL48" s="152" t="s">
        <v>157</v>
      </c>
      <c r="AM48" s="14" t="s">
        <v>302</v>
      </c>
      <c r="AN48" s="14">
        <v>1</v>
      </c>
      <c r="AO48" s="14">
        <v>1</v>
      </c>
      <c r="AP48" s="15">
        <v>1</v>
      </c>
      <c r="AQ48" s="16">
        <v>47</v>
      </c>
      <c r="AR48" s="15">
        <v>1</v>
      </c>
      <c r="AS48" s="195">
        <v>47</v>
      </c>
      <c r="AT48" s="14">
        <v>1</v>
      </c>
      <c r="AU48" s="15">
        <v>1</v>
      </c>
      <c r="AV48" s="14">
        <v>1</v>
      </c>
      <c r="AW48" s="15">
        <v>1</v>
      </c>
      <c r="AX48" s="16">
        <v>1</v>
      </c>
      <c r="AY48" s="201">
        <v>1</v>
      </c>
      <c r="AZ48" s="142">
        <v>47</v>
      </c>
      <c r="BA48" s="14">
        <v>1</v>
      </c>
      <c r="BB48" s="14">
        <v>1</v>
      </c>
      <c r="BC48" s="14">
        <v>1</v>
      </c>
      <c r="BD48" s="15">
        <v>1</v>
      </c>
      <c r="BE48" s="16">
        <v>47</v>
      </c>
      <c r="BF48" s="203">
        <v>2</v>
      </c>
    </row>
    <row r="49" spans="1:58" ht="14.25" customHeight="1" thickBot="1">
      <c r="A49" s="11"/>
      <c r="B49" s="85"/>
      <c r="C49" s="11"/>
      <c r="D49" s="11"/>
      <c r="E49" s="11"/>
      <c r="H49" s="186" t="str">
        <f>AS37</f>
        <v>48 eighteen</v>
      </c>
      <c r="I49" s="152" t="s">
        <v>307</v>
      </c>
      <c r="J49" s="208" t="s">
        <v>657</v>
      </c>
      <c r="K49" s="14">
        <v>1</v>
      </c>
      <c r="L49" s="14">
        <v>1</v>
      </c>
      <c r="M49" s="15">
        <v>1</v>
      </c>
      <c r="N49" s="16">
        <v>48</v>
      </c>
      <c r="O49" s="198">
        <v>1</v>
      </c>
      <c r="P49" s="152">
        <v>48</v>
      </c>
      <c r="Q49" s="14">
        <v>1</v>
      </c>
      <c r="R49" s="14">
        <v>1</v>
      </c>
      <c r="S49" s="14">
        <v>1</v>
      </c>
      <c r="T49" s="14">
        <v>1</v>
      </c>
      <c r="U49" s="14">
        <v>1</v>
      </c>
      <c r="V49" s="14">
        <v>1</v>
      </c>
      <c r="W49" s="152" t="s">
        <v>308</v>
      </c>
      <c r="X49" s="14" t="s">
        <v>309</v>
      </c>
      <c r="Y49" s="14">
        <v>1</v>
      </c>
      <c r="Z49" s="14">
        <v>1</v>
      </c>
      <c r="AA49" s="15">
        <v>1</v>
      </c>
      <c r="AB49" s="16">
        <v>48</v>
      </c>
      <c r="AC49" s="14">
        <v>1</v>
      </c>
      <c r="AD49" s="11"/>
      <c r="AE49" s="11"/>
      <c r="AF49" s="11"/>
      <c r="AG49" s="11"/>
      <c r="AH49" s="11"/>
      <c r="AI49" s="11"/>
      <c r="AJ49" s="11"/>
      <c r="AK49" s="11"/>
      <c r="AL49" s="152">
        <v>48</v>
      </c>
      <c r="AM49" s="14">
        <v>1</v>
      </c>
      <c r="AN49" s="14">
        <v>1</v>
      </c>
      <c r="AO49" s="14">
        <v>1</v>
      </c>
      <c r="AP49" s="15">
        <v>1</v>
      </c>
      <c r="AQ49" s="16">
        <v>48</v>
      </c>
      <c r="AR49" s="15">
        <v>1</v>
      </c>
      <c r="AS49" s="195">
        <v>48</v>
      </c>
      <c r="AT49" s="14">
        <v>1</v>
      </c>
      <c r="AU49" s="15">
        <v>1</v>
      </c>
      <c r="AV49" s="14">
        <v>1</v>
      </c>
      <c r="AW49" s="15">
        <v>1</v>
      </c>
      <c r="AX49" s="16">
        <v>1</v>
      </c>
      <c r="AY49" s="201">
        <v>1</v>
      </c>
      <c r="AZ49" s="142">
        <v>48</v>
      </c>
      <c r="BA49" s="14">
        <v>1</v>
      </c>
      <c r="BB49" s="14">
        <v>1</v>
      </c>
      <c r="BC49" s="14">
        <v>1</v>
      </c>
      <c r="BD49" s="15">
        <v>1</v>
      </c>
      <c r="BE49" s="16">
        <v>48</v>
      </c>
      <c r="BF49" s="203">
        <v>2</v>
      </c>
    </row>
    <row r="50" spans="1:58" ht="14.25" customHeight="1" thickBot="1">
      <c r="A50" s="11"/>
      <c r="B50" s="85"/>
      <c r="C50" s="11"/>
      <c r="D50" s="11"/>
      <c r="E50" s="11"/>
      <c r="H50" s="186" t="str">
        <f>AS42</f>
        <v>49 niunteen</v>
      </c>
      <c r="I50" s="152">
        <v>49</v>
      </c>
      <c r="J50" s="14">
        <v>1</v>
      </c>
      <c r="K50" s="14">
        <v>1</v>
      </c>
      <c r="L50" s="14">
        <v>1</v>
      </c>
      <c r="M50" s="15">
        <v>1</v>
      </c>
      <c r="N50" s="16">
        <v>49</v>
      </c>
      <c r="O50" s="198">
        <v>1</v>
      </c>
      <c r="P50" s="152">
        <v>49</v>
      </c>
      <c r="Q50" s="14">
        <v>1</v>
      </c>
      <c r="R50" s="14">
        <v>1</v>
      </c>
      <c r="S50" s="14">
        <v>1</v>
      </c>
      <c r="T50" s="14">
        <v>1</v>
      </c>
      <c r="U50" s="14">
        <v>1</v>
      </c>
      <c r="V50" s="14">
        <v>1</v>
      </c>
      <c r="W50" s="152" t="s">
        <v>312</v>
      </c>
      <c r="X50" s="14" t="s">
        <v>395</v>
      </c>
      <c r="Y50" s="14">
        <v>1</v>
      </c>
      <c r="Z50" s="14">
        <v>1</v>
      </c>
      <c r="AA50" s="15">
        <v>1</v>
      </c>
      <c r="AB50" s="16">
        <v>49</v>
      </c>
      <c r="AC50" s="14">
        <v>1</v>
      </c>
      <c r="AD50" s="11"/>
      <c r="AE50" s="11"/>
      <c r="AF50" s="11"/>
      <c r="AG50" s="11"/>
      <c r="AH50" s="11"/>
      <c r="AI50" s="11"/>
      <c r="AJ50" s="11"/>
      <c r="AK50" s="11"/>
      <c r="AL50" s="152">
        <v>49</v>
      </c>
      <c r="AM50" s="14">
        <v>1</v>
      </c>
      <c r="AN50" s="14">
        <v>1</v>
      </c>
      <c r="AO50" s="14">
        <v>1</v>
      </c>
      <c r="AP50" s="15">
        <v>1</v>
      </c>
      <c r="AQ50" s="16">
        <v>49</v>
      </c>
      <c r="AR50" s="15">
        <v>1</v>
      </c>
      <c r="AS50" s="195">
        <v>49</v>
      </c>
      <c r="AT50" s="14">
        <v>1</v>
      </c>
      <c r="AU50" s="15">
        <v>1</v>
      </c>
      <c r="AV50" s="14">
        <v>1</v>
      </c>
      <c r="AW50" s="15">
        <v>1</v>
      </c>
      <c r="AX50" s="16">
        <v>1</v>
      </c>
      <c r="AY50" s="201">
        <v>1</v>
      </c>
      <c r="AZ50" s="142">
        <v>49</v>
      </c>
      <c r="BA50" s="14">
        <v>1</v>
      </c>
      <c r="BB50" s="14">
        <v>1</v>
      </c>
      <c r="BC50" s="14">
        <v>1</v>
      </c>
      <c r="BD50" s="15">
        <v>1</v>
      </c>
      <c r="BE50" s="16">
        <v>49</v>
      </c>
      <c r="BF50" s="203">
        <v>2</v>
      </c>
    </row>
    <row r="51" spans="1:58" ht="14.25" customHeight="1" thickBot="1">
      <c r="A51" s="11"/>
      <c r="B51" s="85"/>
      <c r="C51" s="11"/>
      <c r="D51" s="11"/>
      <c r="E51" s="11"/>
      <c r="F51" s="11"/>
      <c r="G51" s="11"/>
      <c r="H51" s="186" t="str">
        <f>AS47</f>
        <v>50 twenty</v>
      </c>
      <c r="I51" s="153">
        <v>50</v>
      </c>
      <c r="J51" s="154">
        <v>1</v>
      </c>
      <c r="K51" s="154">
        <v>1</v>
      </c>
      <c r="L51" s="154">
        <v>1</v>
      </c>
      <c r="M51" s="155">
        <v>1</v>
      </c>
      <c r="N51" s="156">
        <v>50</v>
      </c>
      <c r="O51" s="198">
        <v>1</v>
      </c>
      <c r="P51" s="153">
        <v>50</v>
      </c>
      <c r="Q51" s="154">
        <v>1</v>
      </c>
      <c r="R51" s="154">
        <v>1</v>
      </c>
      <c r="S51" s="154">
        <v>1</v>
      </c>
      <c r="T51" s="154">
        <v>1</v>
      </c>
      <c r="U51" s="154">
        <v>1</v>
      </c>
      <c r="V51" s="14">
        <v>1</v>
      </c>
      <c r="W51" s="153" t="s">
        <v>69</v>
      </c>
      <c r="X51" s="154" t="s">
        <v>90</v>
      </c>
      <c r="Y51" s="154" t="s">
        <v>131</v>
      </c>
      <c r="Z51" s="154" t="s">
        <v>606</v>
      </c>
      <c r="AA51" s="155">
        <v>1</v>
      </c>
      <c r="AB51" s="156">
        <v>50</v>
      </c>
      <c r="AC51" s="14">
        <v>1</v>
      </c>
      <c r="AD51" s="11"/>
      <c r="AE51" s="11"/>
      <c r="AF51" s="11"/>
      <c r="AG51" s="11"/>
      <c r="AH51" s="11"/>
      <c r="AI51" s="11"/>
      <c r="AJ51" s="11"/>
      <c r="AK51" s="11"/>
      <c r="AL51" s="153">
        <v>50</v>
      </c>
      <c r="AM51" s="154">
        <v>1</v>
      </c>
      <c r="AN51" s="154">
        <v>1</v>
      </c>
      <c r="AO51" s="154">
        <v>1</v>
      </c>
      <c r="AP51" s="155">
        <v>1</v>
      </c>
      <c r="AQ51" s="156">
        <v>50</v>
      </c>
      <c r="AR51" s="15">
        <v>1</v>
      </c>
      <c r="AS51" s="196">
        <v>50</v>
      </c>
      <c r="AT51" s="154">
        <v>1</v>
      </c>
      <c r="AU51" s="155">
        <v>1</v>
      </c>
      <c r="AV51" s="154">
        <v>1</v>
      </c>
      <c r="AW51" s="155">
        <v>1</v>
      </c>
      <c r="AX51" s="156">
        <v>1</v>
      </c>
      <c r="AY51" s="201">
        <v>1</v>
      </c>
      <c r="AZ51" s="148">
        <v>50</v>
      </c>
      <c r="BA51" s="154">
        <v>1</v>
      </c>
      <c r="BB51" s="154">
        <v>1</v>
      </c>
      <c r="BC51" s="154">
        <v>1</v>
      </c>
      <c r="BD51" s="155">
        <v>1</v>
      </c>
      <c r="BE51" s="156">
        <v>50</v>
      </c>
      <c r="BF51" s="203">
        <v>2</v>
      </c>
    </row>
    <row r="52" spans="1:58" ht="14.25" customHeight="1">
      <c r="A52" s="11"/>
      <c r="B52" s="85"/>
      <c r="C52" s="11"/>
      <c r="D52" s="11"/>
      <c r="E52" s="11"/>
      <c r="F52" s="11"/>
      <c r="G52" s="11"/>
      <c r="H52" s="23" t="str">
        <f>AZ2</f>
        <v>51 sona</v>
      </c>
      <c r="I52" s="11"/>
      <c r="J52" s="11"/>
      <c r="K52" s="11"/>
      <c r="L52" s="11"/>
      <c r="M52" s="11"/>
      <c r="N52" s="188"/>
      <c r="P52" s="11"/>
      <c r="Q52" s="11"/>
      <c r="R52" s="11"/>
      <c r="S52" s="11"/>
      <c r="T52" s="11"/>
      <c r="U52" s="11"/>
      <c r="W52" s="11"/>
      <c r="X52" s="11"/>
      <c r="Y52" s="11"/>
      <c r="Z52" s="11"/>
      <c r="AA52" s="11"/>
      <c r="AB52" s="188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88"/>
      <c r="AR52" s="11"/>
      <c r="AS52" s="11"/>
      <c r="AT52" s="11"/>
      <c r="AU52" s="11"/>
      <c r="AV52" s="11"/>
      <c r="AW52" s="11"/>
      <c r="AX52" s="188"/>
      <c r="AY52" s="11"/>
      <c r="AZ52" s="11"/>
      <c r="BA52" s="11"/>
      <c r="BB52" s="11"/>
      <c r="BC52" s="11"/>
      <c r="BD52" s="11"/>
      <c r="BE52" s="188"/>
    </row>
    <row r="53" spans="1:58" ht="14.25" customHeight="1">
      <c r="A53" s="11"/>
      <c r="B53" s="85"/>
      <c r="C53" s="11"/>
      <c r="D53" s="11"/>
      <c r="E53" s="11"/>
      <c r="F53" s="11"/>
      <c r="G53" s="11"/>
      <c r="H53" s="23" t="str">
        <f>AZ7</f>
        <v>52 twenty 2</v>
      </c>
      <c r="I53" s="11"/>
      <c r="J53" s="11"/>
      <c r="K53" s="11"/>
      <c r="L53" s="11"/>
      <c r="M53" s="11"/>
      <c r="P53" s="11"/>
      <c r="Q53" s="11"/>
      <c r="R53" s="11"/>
      <c r="S53" s="11"/>
      <c r="T53" s="11"/>
      <c r="U53" s="11"/>
      <c r="W53" s="11"/>
      <c r="X53" s="11"/>
      <c r="Y53" s="11"/>
      <c r="Z53" s="11"/>
      <c r="AA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R53" s="11"/>
      <c r="AS53" s="11"/>
      <c r="AT53" s="11"/>
      <c r="AU53" s="11"/>
      <c r="AV53" s="11"/>
      <c r="AW53" s="11"/>
      <c r="AY53" s="11"/>
      <c r="AZ53" s="11"/>
      <c r="BA53" s="11"/>
      <c r="BB53" s="11"/>
      <c r="BC53" s="11"/>
      <c r="BD53" s="11"/>
    </row>
    <row r="54" spans="1:58" ht="14.25" customHeight="1">
      <c r="A54" s="11"/>
      <c r="B54" s="85"/>
      <c r="C54" s="11"/>
      <c r="D54" s="11"/>
      <c r="E54" s="11"/>
      <c r="F54" s="11"/>
      <c r="G54" s="11"/>
      <c r="H54" s="23" t="str">
        <f>AZ12</f>
        <v>53 twenty 3</v>
      </c>
      <c r="I54" s="11"/>
      <c r="J54" s="11"/>
      <c r="K54" s="11"/>
      <c r="L54" s="11"/>
      <c r="M54" s="11"/>
      <c r="P54" s="11"/>
      <c r="Q54" s="11"/>
      <c r="R54" s="11"/>
      <c r="S54" s="11"/>
      <c r="T54" s="11"/>
      <c r="U54" s="11"/>
      <c r="W54" s="11"/>
      <c r="X54" s="11"/>
      <c r="Y54" s="11"/>
      <c r="Z54" s="11"/>
      <c r="AA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R54" s="11"/>
      <c r="AS54" s="11"/>
      <c r="AT54" s="11"/>
      <c r="AU54" s="11"/>
      <c r="AV54" s="11"/>
      <c r="AW54" s="11"/>
      <c r="AY54" s="11"/>
      <c r="AZ54" s="11"/>
      <c r="BA54" s="11"/>
      <c r="BB54" s="11"/>
      <c r="BC54" s="11"/>
      <c r="BD54" s="11"/>
    </row>
    <row r="55" spans="1:58" ht="14.25" customHeight="1">
      <c r="A55" s="11"/>
      <c r="B55" s="85"/>
      <c r="C55" s="11"/>
      <c r="D55" s="11"/>
      <c r="E55" s="11"/>
      <c r="F55" s="11"/>
      <c r="G55" s="11"/>
      <c r="H55" s="23" t="str">
        <f>AZ17</f>
        <v>54 twenty 4</v>
      </c>
      <c r="I55" s="11"/>
      <c r="J55" s="11"/>
      <c r="K55" s="11"/>
      <c r="L55" s="11"/>
      <c r="M55" s="11"/>
      <c r="P55" s="11"/>
      <c r="Q55" s="11"/>
      <c r="R55" s="11"/>
      <c r="S55" s="11"/>
      <c r="T55" s="11"/>
      <c r="U55" s="11"/>
      <c r="W55" s="11"/>
      <c r="X55" s="11"/>
      <c r="Y55" s="11"/>
      <c r="Z55" s="11"/>
      <c r="AA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R55" s="11"/>
      <c r="AS55" s="24"/>
      <c r="AT55" s="24"/>
      <c r="AU55" s="24"/>
      <c r="AV55" s="11"/>
      <c r="AW55" s="11"/>
      <c r="AY55" s="11"/>
      <c r="AZ55" s="11"/>
      <c r="BA55" s="11"/>
      <c r="BB55" s="11"/>
      <c r="BC55" s="11"/>
      <c r="BD55" s="11"/>
    </row>
    <row r="56" spans="1:58" ht="14.25" customHeight="1">
      <c r="A56" s="11"/>
      <c r="B56" s="85"/>
      <c r="C56" s="11"/>
      <c r="D56" s="11"/>
      <c r="E56" s="11"/>
      <c r="F56" s="11"/>
      <c r="G56" s="11"/>
      <c r="H56" s="23" t="str">
        <f>AZ22</f>
        <v>55 twenty 5</v>
      </c>
      <c r="I56" s="11"/>
      <c r="J56" s="11"/>
      <c r="K56" s="11"/>
      <c r="L56" s="11"/>
      <c r="M56" s="11"/>
      <c r="P56" s="11"/>
      <c r="Q56" s="11"/>
      <c r="R56" s="11"/>
      <c r="S56" s="11"/>
      <c r="T56" s="11"/>
      <c r="U56" s="11"/>
      <c r="W56" s="11"/>
      <c r="X56" s="11"/>
      <c r="Y56" s="11"/>
      <c r="Z56" s="11"/>
      <c r="AA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R56" s="11"/>
      <c r="AS56" s="24"/>
      <c r="AT56" s="24"/>
      <c r="AU56" s="24"/>
      <c r="AV56" s="11"/>
      <c r="AW56" s="11"/>
      <c r="AY56" s="11"/>
      <c r="AZ56" s="11"/>
      <c r="BA56" s="11"/>
      <c r="BB56" s="11"/>
      <c r="BC56" s="11"/>
      <c r="BD56" s="11"/>
    </row>
    <row r="57" spans="1:58" ht="14.25" customHeight="1">
      <c r="A57" s="11"/>
      <c r="B57" s="85"/>
      <c r="C57" s="11"/>
      <c r="D57" s="11"/>
      <c r="E57" s="11"/>
      <c r="F57" s="11"/>
      <c r="G57" s="11"/>
      <c r="H57" s="23" t="str">
        <f>AZ27</f>
        <v>56 twenty 6</v>
      </c>
      <c r="I57" s="11"/>
      <c r="J57" s="11"/>
      <c r="K57" s="11"/>
      <c r="L57" s="11"/>
      <c r="M57" s="11"/>
      <c r="P57" s="11"/>
      <c r="Q57" s="11"/>
      <c r="R57" s="11"/>
      <c r="S57" s="11"/>
      <c r="T57" s="11"/>
      <c r="U57" s="11"/>
      <c r="W57" s="11"/>
      <c r="X57" s="11"/>
      <c r="Y57" s="11"/>
      <c r="Z57" s="11"/>
      <c r="AA57" s="11"/>
      <c r="AC57" s="11"/>
      <c r="AD57" s="11"/>
      <c r="AE57" s="11" t="b">
        <f>IF($AE$1=$H$32,AL2,IF($AE$1=$H$33,AL7,IF($AE$1=$H$34,AL12,IF($AE$1=$H$35,AL17,IF($AE$1=$H$36,AL22,IF($AE$1=$H$37,AL27,IF($AE$1=$H$38,AL32,IF($AE$1=$H$39,AL37,IF($AE$1=$H$40,AL42,IF($AE$1=$H$41,AL47,IF($AE$1=$H$42,AS2,IF($AE$1=$H$43,AS7,IF($AE$1=$H$44,AS12,IF($AE$1=$H$45,AS17,IF($AE$1=$H$46,AS22,IF($AE$1=$H$47,AS27,IF($AE$1=$H$48,AS32,IF($AE$1=$H$49,AS37,IF($AE$1=$H$50,AS42,IF($AE$1=$H$51,AS47,IF($AE$1=$H$52,AS52,IF($AE$1=$H$52,AZ2,IF($AE$1=$H$53,AZ7,IF($AE$1=$H$54,AZ12,IF($AE$1=$H$55,AZ17,IF($AE$1=$H$56,AZ22,IF($AE$1=$H$57,AZ27,IF($AE$1=$H$58,AZ32,IF($AE$1=$H$59,AZ37,IF($AE$1=$H$60,AZ42,IF($AE$1=$H$61,AZ47)))))))))))))))))))))))))))))))</f>
        <v>0</v>
      </c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R57" s="11"/>
      <c r="AS57" s="24"/>
      <c r="AT57" s="24"/>
      <c r="AU57" s="24"/>
      <c r="AV57" s="11"/>
      <c r="AW57" s="11"/>
      <c r="AY57" s="11"/>
      <c r="AZ57" s="11"/>
      <c r="BA57" s="11"/>
      <c r="BB57" s="11"/>
      <c r="BC57" s="11"/>
      <c r="BD57" s="11"/>
    </row>
    <row r="58" spans="1:58" ht="14.25" customHeight="1">
      <c r="A58" s="11"/>
      <c r="B58" s="85"/>
      <c r="C58" s="11"/>
      <c r="D58" s="11"/>
      <c r="E58" s="11"/>
      <c r="F58" s="11"/>
      <c r="G58" s="11"/>
      <c r="H58" s="23" t="str">
        <f>AZ32</f>
        <v>57 twenty 7</v>
      </c>
      <c r="I58" s="11"/>
      <c r="J58" s="11"/>
      <c r="K58" s="11"/>
      <c r="L58" s="11"/>
      <c r="M58" s="11"/>
      <c r="P58" s="11"/>
      <c r="Q58" s="11"/>
      <c r="R58" s="11"/>
      <c r="S58" s="11"/>
      <c r="T58" s="11"/>
      <c r="U58" s="11"/>
      <c r="W58" s="11"/>
      <c r="X58" s="11"/>
      <c r="Y58" s="11"/>
      <c r="Z58" s="11"/>
      <c r="AA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R58" s="11"/>
      <c r="AS58" s="24"/>
      <c r="AT58" s="24"/>
      <c r="AU58" s="24"/>
      <c r="AV58" s="11"/>
      <c r="AW58" s="11"/>
      <c r="AY58" s="11"/>
      <c r="AZ58" s="11"/>
      <c r="BA58" s="11"/>
      <c r="BB58" s="11"/>
      <c r="BC58" s="11"/>
      <c r="BD58" s="11"/>
    </row>
    <row r="59" spans="1:58" ht="14.25" customHeight="1">
      <c r="A59" s="11"/>
      <c r="B59" s="85"/>
      <c r="C59" s="11"/>
      <c r="D59" s="11"/>
      <c r="E59" s="11"/>
      <c r="F59" s="11"/>
      <c r="G59" s="11"/>
      <c r="H59" s="23" t="str">
        <f>AZ37</f>
        <v>58 twenty 8</v>
      </c>
      <c r="I59" s="11"/>
      <c r="J59" s="11"/>
      <c r="K59" s="11"/>
      <c r="L59" s="11"/>
      <c r="M59" s="11"/>
      <c r="P59" s="11"/>
      <c r="Q59" s="11"/>
      <c r="R59" s="11"/>
      <c r="S59" s="11"/>
      <c r="T59" s="11"/>
      <c r="U59" s="11"/>
      <c r="W59" s="11"/>
      <c r="X59" s="11"/>
      <c r="Y59" s="11"/>
      <c r="Z59" s="11"/>
      <c r="AA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R59" s="11"/>
      <c r="AS59" s="24"/>
      <c r="AT59" s="24"/>
      <c r="AU59" s="24"/>
      <c r="AV59" s="11"/>
      <c r="AW59" s="11"/>
      <c r="AY59" s="11"/>
      <c r="AZ59" s="11"/>
      <c r="BA59" s="11"/>
      <c r="BB59" s="11"/>
      <c r="BC59" s="11"/>
      <c r="BD59" s="11"/>
    </row>
    <row r="60" spans="1:58" ht="14.25" customHeight="1">
      <c r="A60" s="11"/>
      <c r="B60" s="85"/>
      <c r="C60" s="11"/>
      <c r="D60" s="11"/>
      <c r="E60" s="11"/>
      <c r="F60" s="11"/>
      <c r="G60" s="11"/>
      <c r="H60" s="23" t="str">
        <f>AZ42</f>
        <v>59 twnety 9</v>
      </c>
      <c r="I60" s="11"/>
      <c r="J60" s="11"/>
      <c r="K60" s="11"/>
      <c r="L60" s="11"/>
      <c r="M60" s="11"/>
      <c r="P60" s="11"/>
      <c r="Q60" s="11"/>
      <c r="R60" s="11"/>
      <c r="S60" s="11"/>
      <c r="T60" s="11"/>
      <c r="U60" s="11"/>
      <c r="W60" s="11"/>
      <c r="X60" s="11"/>
      <c r="Y60" s="11"/>
      <c r="Z60" s="11"/>
      <c r="AA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R60" s="11"/>
      <c r="AS60" s="24"/>
      <c r="AT60" s="24"/>
      <c r="AU60" s="24"/>
      <c r="AV60" s="11"/>
      <c r="AW60" s="11"/>
      <c r="AY60" s="11"/>
      <c r="AZ60" s="11"/>
      <c r="BA60" s="11"/>
      <c r="BB60" s="11"/>
      <c r="BC60" s="11"/>
      <c r="BD60" s="11"/>
    </row>
    <row r="61" spans="1:58" ht="14.25" customHeight="1">
      <c r="A61" s="11"/>
      <c r="B61" s="85"/>
      <c r="C61" s="11"/>
      <c r="D61" s="11"/>
      <c r="E61" s="11"/>
      <c r="F61" s="11"/>
      <c r="G61" s="11"/>
      <c r="H61" s="23" t="str">
        <f>AZ47</f>
        <v>60 thirty</v>
      </c>
      <c r="I61" s="11"/>
      <c r="J61" s="11"/>
      <c r="K61" s="11"/>
      <c r="L61" s="11"/>
      <c r="M61" s="11"/>
      <c r="P61" s="11"/>
      <c r="Q61" s="11"/>
      <c r="R61" s="11"/>
      <c r="S61" s="11"/>
      <c r="T61" s="11"/>
      <c r="U61" s="11"/>
      <c r="W61" s="11"/>
      <c r="X61" s="11"/>
      <c r="Y61" s="11"/>
      <c r="Z61" s="11"/>
      <c r="AA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R61" s="11"/>
      <c r="AS61" s="24"/>
      <c r="AT61" s="24"/>
      <c r="AU61" s="24"/>
      <c r="AV61" s="11"/>
      <c r="AW61" s="11"/>
      <c r="AY61" s="11"/>
      <c r="AZ61" s="11"/>
      <c r="BA61" s="11"/>
      <c r="BB61" s="11"/>
      <c r="BC61" s="11"/>
      <c r="BD61" s="11"/>
    </row>
    <row r="62" spans="1:58" ht="14.25" customHeight="1">
      <c r="A62" s="11"/>
      <c r="B62" s="85"/>
      <c r="C62" s="11"/>
      <c r="D62" s="11"/>
      <c r="E62" s="11"/>
      <c r="F62" s="11"/>
      <c r="G62" s="11"/>
      <c r="H62" s="12"/>
      <c r="I62" s="11"/>
      <c r="J62" s="11"/>
      <c r="K62" s="11"/>
      <c r="L62" s="11"/>
      <c r="M62" s="11"/>
      <c r="P62" s="11"/>
      <c r="Q62" s="11"/>
      <c r="R62" s="11"/>
      <c r="S62" s="11"/>
      <c r="T62" s="11"/>
      <c r="U62" s="11"/>
      <c r="W62" s="11"/>
      <c r="X62" s="11"/>
      <c r="Y62" s="11"/>
      <c r="Z62" s="11"/>
      <c r="AA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R62" s="11"/>
      <c r="AS62" s="24"/>
      <c r="AT62" s="24"/>
      <c r="AU62" s="24"/>
      <c r="AV62" s="11"/>
      <c r="AW62" s="11"/>
      <c r="AY62" s="11"/>
      <c r="AZ62" s="11"/>
      <c r="BA62" s="11"/>
      <c r="BB62" s="11"/>
      <c r="BC62" s="11"/>
      <c r="BD62" s="11"/>
    </row>
    <row r="63" spans="1:58" ht="14.25" customHeight="1">
      <c r="A63" s="11"/>
      <c r="B63" s="85"/>
      <c r="C63" s="11"/>
      <c r="D63" s="11"/>
      <c r="E63" s="11"/>
      <c r="F63" s="11"/>
      <c r="G63" s="11"/>
      <c r="H63" s="12"/>
      <c r="I63" s="11"/>
      <c r="J63" s="11"/>
      <c r="K63" s="11"/>
      <c r="L63" s="11"/>
      <c r="M63" s="11"/>
      <c r="P63" s="11"/>
      <c r="Q63" s="11"/>
      <c r="R63" s="11"/>
      <c r="S63" s="11"/>
      <c r="T63" s="11"/>
      <c r="U63" s="11"/>
      <c r="W63" s="11"/>
      <c r="X63" s="11"/>
      <c r="Y63" s="11"/>
      <c r="Z63" s="11"/>
      <c r="AA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R63" s="11"/>
      <c r="AS63" s="24"/>
      <c r="AT63" s="24"/>
      <c r="AU63" s="24"/>
      <c r="AV63" s="11"/>
      <c r="AW63" s="11"/>
      <c r="AY63" s="11"/>
      <c r="AZ63" s="11"/>
      <c r="BA63" s="11"/>
      <c r="BB63" s="11"/>
      <c r="BC63" s="11"/>
      <c r="BD63" s="11"/>
    </row>
    <row r="64" spans="1:58" ht="14.25" customHeight="1">
      <c r="A64" s="11"/>
      <c r="B64" s="85"/>
      <c r="C64" s="11"/>
      <c r="D64" s="11"/>
      <c r="E64" s="11"/>
      <c r="F64" s="11"/>
      <c r="G64" s="11"/>
      <c r="H64" s="12"/>
      <c r="I64" s="11"/>
      <c r="J64" s="11"/>
      <c r="K64" s="11"/>
      <c r="L64" s="11"/>
      <c r="M64" s="11"/>
      <c r="P64" s="11"/>
      <c r="Q64" s="11"/>
      <c r="R64" s="11"/>
      <c r="S64" s="11"/>
      <c r="T64" s="11"/>
      <c r="U64" s="11"/>
      <c r="W64" s="11"/>
      <c r="X64" s="11"/>
      <c r="Y64" s="11"/>
      <c r="Z64" s="11"/>
      <c r="AA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R64" s="11"/>
      <c r="AS64" s="24"/>
      <c r="AT64" s="24"/>
      <c r="AU64" s="24"/>
      <c r="AV64" s="11"/>
      <c r="AW64" s="11"/>
      <c r="AY64" s="11"/>
      <c r="AZ64" s="11"/>
      <c r="BA64" s="11"/>
      <c r="BB64" s="11"/>
      <c r="BC64" s="11"/>
      <c r="BD64" s="11"/>
    </row>
    <row r="65" spans="1:56" ht="14.25" customHeight="1">
      <c r="A65" s="11"/>
      <c r="B65" s="85"/>
      <c r="C65" s="11"/>
      <c r="D65" s="11"/>
      <c r="E65" s="11"/>
      <c r="F65" s="11"/>
      <c r="G65" s="11"/>
      <c r="H65" s="12"/>
      <c r="I65" s="11"/>
      <c r="J65" s="11"/>
      <c r="K65" s="11"/>
      <c r="L65" s="11"/>
      <c r="M65" s="11"/>
      <c r="P65" s="11"/>
      <c r="Q65" s="11"/>
      <c r="R65" s="11"/>
      <c r="S65" s="11"/>
      <c r="T65" s="11"/>
      <c r="U65" s="11"/>
      <c r="W65" s="11"/>
      <c r="X65" s="11"/>
      <c r="Y65" s="11"/>
      <c r="Z65" s="11"/>
      <c r="AA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R65" s="11"/>
      <c r="AS65" s="24"/>
      <c r="AT65" s="24"/>
      <c r="AU65" s="24"/>
      <c r="AV65" s="11"/>
      <c r="AW65" s="11"/>
      <c r="AY65" s="11"/>
      <c r="AZ65" s="11"/>
      <c r="BA65" s="11"/>
      <c r="BB65" s="11"/>
      <c r="BC65" s="11"/>
      <c r="BD65" s="11"/>
    </row>
    <row r="66" spans="1:56" ht="14.25" customHeight="1">
      <c r="A66" s="11"/>
      <c r="B66" s="11"/>
      <c r="C66" s="11"/>
      <c r="D66" s="11"/>
      <c r="E66" s="11"/>
      <c r="F66" s="11"/>
      <c r="G66" s="11"/>
      <c r="H66" s="12"/>
      <c r="I66" s="11"/>
      <c r="J66" s="11"/>
      <c r="K66" s="11"/>
      <c r="L66" s="11"/>
      <c r="M66" s="11"/>
      <c r="P66" s="11"/>
      <c r="Q66" s="11"/>
      <c r="R66" s="11"/>
      <c r="S66" s="11"/>
      <c r="T66" s="11"/>
      <c r="U66" s="11"/>
      <c r="W66" s="11"/>
      <c r="X66" s="11"/>
      <c r="Y66" s="11"/>
      <c r="Z66" s="11"/>
      <c r="AA66" s="11"/>
      <c r="AC66" s="11"/>
      <c r="AD66" s="11"/>
      <c r="AE66" s="19"/>
      <c r="AF66" s="19"/>
      <c r="AG66" s="19"/>
      <c r="AH66" s="19"/>
      <c r="AI66" s="19"/>
      <c r="AJ66" s="19"/>
      <c r="AK66" s="11"/>
      <c r="AL66" s="11"/>
      <c r="AM66" s="11"/>
      <c r="AN66" s="11"/>
      <c r="AO66" s="11"/>
      <c r="AP66" s="11"/>
      <c r="AR66" s="11"/>
      <c r="AS66" s="24"/>
      <c r="AT66" s="24"/>
      <c r="AU66" s="24"/>
      <c r="AV66" s="11"/>
      <c r="AW66" s="11"/>
      <c r="AY66" s="11"/>
      <c r="AZ66" s="11"/>
      <c r="BA66" s="11"/>
      <c r="BB66" s="11"/>
      <c r="BC66" s="11"/>
      <c r="BD66" s="11"/>
    </row>
    <row r="67" spans="1:56" ht="14.25" customHeight="1">
      <c r="A67" s="11"/>
      <c r="B67" s="11"/>
      <c r="C67" s="11"/>
      <c r="D67" s="11"/>
      <c r="E67" s="11"/>
      <c r="F67" s="11"/>
      <c r="G67" s="11"/>
      <c r="H67" s="12"/>
      <c r="I67" s="11"/>
      <c r="J67" s="11"/>
      <c r="K67" s="11"/>
      <c r="L67" s="11"/>
      <c r="M67" s="11"/>
      <c r="P67" s="11"/>
      <c r="Q67" s="11"/>
      <c r="R67" s="11"/>
      <c r="S67" s="11"/>
      <c r="T67" s="11"/>
      <c r="U67" s="11"/>
      <c r="W67" s="11"/>
      <c r="X67" s="11"/>
      <c r="Y67" s="11"/>
      <c r="Z67" s="11"/>
      <c r="AA67" s="11"/>
      <c r="AC67" s="11"/>
      <c r="AD67" s="11"/>
      <c r="AE67" s="19"/>
      <c r="AF67" s="19"/>
      <c r="AG67" s="19"/>
      <c r="AH67" s="19"/>
      <c r="AI67" s="19"/>
      <c r="AJ67" s="19"/>
      <c r="AK67" s="11"/>
      <c r="AL67" s="11"/>
      <c r="AM67" s="11"/>
      <c r="AN67" s="11"/>
      <c r="AO67" s="11"/>
      <c r="AP67" s="11"/>
      <c r="AR67" s="11"/>
      <c r="AS67" s="24"/>
      <c r="AT67" s="24"/>
      <c r="AU67" s="24"/>
      <c r="AV67" s="11"/>
      <c r="AW67" s="11"/>
      <c r="AY67" s="11"/>
      <c r="AZ67" s="11"/>
      <c r="BA67" s="11"/>
      <c r="BB67" s="11"/>
      <c r="BC67" s="11"/>
      <c r="BD67" s="11"/>
    </row>
    <row r="68" spans="1:56" ht="14.25" customHeight="1">
      <c r="A68" s="19"/>
      <c r="B68" s="19"/>
      <c r="C68" s="19"/>
      <c r="D68" s="19"/>
      <c r="E68" s="19"/>
      <c r="F68" s="19"/>
      <c r="G68" s="19"/>
      <c r="H68" s="12"/>
      <c r="I68" s="11"/>
      <c r="J68" s="11"/>
      <c r="K68" s="11"/>
      <c r="L68" s="11"/>
      <c r="M68" s="11"/>
      <c r="P68" s="11"/>
      <c r="Q68" s="11"/>
      <c r="R68" s="11"/>
      <c r="S68" s="11"/>
      <c r="T68" s="11"/>
      <c r="U68" s="11"/>
      <c r="W68" s="11"/>
      <c r="X68" s="11"/>
      <c r="Y68" s="11"/>
      <c r="Z68" s="11"/>
      <c r="AA68" s="11"/>
      <c r="AC68" s="11"/>
      <c r="AD68" s="11"/>
      <c r="AE68" s="19"/>
      <c r="AF68" s="19"/>
      <c r="AG68" s="19"/>
      <c r="AH68" s="19"/>
      <c r="AI68" s="19"/>
      <c r="AJ68" s="19"/>
      <c r="AK68" s="11"/>
      <c r="AL68" s="11"/>
      <c r="AM68" s="11"/>
      <c r="AN68" s="11"/>
      <c r="AO68" s="11"/>
      <c r="AP68" s="11"/>
      <c r="AR68" s="11"/>
      <c r="AS68" s="24"/>
      <c r="AT68" s="24"/>
      <c r="AU68" s="24"/>
      <c r="AV68" s="11"/>
      <c r="AW68" s="11"/>
      <c r="AY68" s="11"/>
      <c r="AZ68" s="11"/>
      <c r="BA68" s="11"/>
      <c r="BB68" s="11"/>
      <c r="BC68" s="11"/>
      <c r="BD68" s="11"/>
    </row>
    <row r="69" spans="1:56" ht="14.25" customHeight="1">
      <c r="A69" s="19"/>
      <c r="B69" s="19"/>
      <c r="C69" s="19"/>
      <c r="D69" s="19"/>
      <c r="E69" s="19"/>
      <c r="F69" s="19"/>
      <c r="G69" s="19"/>
      <c r="H69" s="12"/>
      <c r="I69" s="11"/>
      <c r="J69" s="11"/>
      <c r="K69" s="11"/>
      <c r="L69" s="11"/>
      <c r="M69" s="11"/>
      <c r="P69" s="11"/>
      <c r="Q69" s="11"/>
      <c r="R69" s="11"/>
      <c r="S69" s="11"/>
      <c r="T69" s="11"/>
      <c r="U69" s="11"/>
      <c r="W69" s="11"/>
      <c r="X69" s="11"/>
      <c r="Y69" s="11"/>
      <c r="Z69" s="11"/>
      <c r="AA69" s="11"/>
      <c r="AC69" s="11"/>
      <c r="AD69" s="11"/>
      <c r="AE69" s="19"/>
      <c r="AF69" s="19"/>
      <c r="AG69" s="19"/>
      <c r="AH69" s="19"/>
      <c r="AI69" s="19"/>
      <c r="AJ69" s="19"/>
      <c r="AK69" s="11"/>
      <c r="AL69" s="11"/>
      <c r="AM69" s="11"/>
      <c r="AN69" s="11"/>
      <c r="AO69" s="11"/>
      <c r="AP69" s="11"/>
      <c r="AR69" s="11"/>
      <c r="AS69" s="24"/>
      <c r="AT69" s="24"/>
      <c r="AU69" s="24"/>
      <c r="AV69" s="11"/>
      <c r="AW69" s="11"/>
      <c r="AY69" s="11"/>
      <c r="AZ69" s="11"/>
      <c r="BA69" s="11"/>
      <c r="BB69" s="11"/>
      <c r="BC69" s="11"/>
      <c r="BD69" s="11"/>
    </row>
    <row r="70" spans="1:56" ht="14.25" customHeight="1">
      <c r="A70" s="19"/>
      <c r="B70" s="19"/>
      <c r="C70" s="19"/>
      <c r="D70" s="19"/>
      <c r="E70" s="19"/>
      <c r="F70" s="19"/>
      <c r="G70" s="19"/>
      <c r="H70" s="12"/>
      <c r="I70" s="11"/>
      <c r="J70" s="11"/>
      <c r="K70" s="11"/>
      <c r="L70" s="11"/>
      <c r="M70" s="11"/>
      <c r="P70" s="11"/>
      <c r="Q70" s="11"/>
      <c r="R70" s="11"/>
      <c r="S70" s="11"/>
      <c r="T70" s="11"/>
      <c r="U70" s="11"/>
      <c r="W70" s="11"/>
      <c r="X70" s="11"/>
      <c r="Y70" s="11"/>
      <c r="Z70" s="11"/>
      <c r="AA70" s="11"/>
      <c r="AC70" s="11"/>
      <c r="AD70" s="11"/>
      <c r="AE70" s="19"/>
      <c r="AF70" s="19"/>
      <c r="AG70" s="19"/>
      <c r="AH70" s="19"/>
      <c r="AI70" s="19"/>
      <c r="AJ70" s="19"/>
      <c r="AK70" s="11"/>
      <c r="AL70" s="11"/>
      <c r="AM70" s="11"/>
      <c r="AN70" s="11"/>
      <c r="AO70" s="11"/>
      <c r="AP70" s="11"/>
      <c r="AR70" s="11"/>
      <c r="AS70" s="11"/>
      <c r="AT70" s="11"/>
      <c r="AU70" s="11"/>
      <c r="AV70" s="11"/>
      <c r="AW70" s="11"/>
      <c r="AY70" s="11"/>
      <c r="AZ70" s="11"/>
      <c r="BA70" s="11"/>
      <c r="BB70" s="11"/>
      <c r="BC70" s="11"/>
      <c r="BD70" s="11"/>
    </row>
    <row r="71" spans="1:56" ht="14.25" customHeight="1">
      <c r="A71" s="19"/>
      <c r="B71" s="19"/>
      <c r="C71" s="19"/>
      <c r="D71" s="19"/>
      <c r="E71" s="19"/>
      <c r="F71" s="19"/>
      <c r="G71" s="19"/>
      <c r="H71" s="12"/>
      <c r="I71" s="11"/>
      <c r="J71" s="11"/>
      <c r="K71" s="11"/>
      <c r="L71" s="11"/>
      <c r="M71" s="11"/>
      <c r="P71" s="11"/>
      <c r="Q71" s="11"/>
      <c r="R71" s="11"/>
      <c r="S71" s="11"/>
      <c r="T71" s="11"/>
      <c r="U71" s="11"/>
      <c r="W71" s="11"/>
      <c r="X71" s="11"/>
      <c r="Y71" s="11"/>
      <c r="Z71" s="11"/>
      <c r="AA71" s="11"/>
      <c r="AC71" s="11"/>
      <c r="AD71" s="11"/>
      <c r="AE71" s="19"/>
      <c r="AF71" s="19"/>
      <c r="AG71" s="19"/>
      <c r="AH71" s="19"/>
      <c r="AI71" s="19"/>
      <c r="AJ71" s="19"/>
      <c r="AK71" s="11"/>
      <c r="AL71" s="11"/>
      <c r="AM71" s="11"/>
      <c r="AN71" s="11"/>
      <c r="AO71" s="11"/>
      <c r="AP71" s="11"/>
      <c r="AR71" s="11"/>
      <c r="AS71" s="11"/>
      <c r="AT71" s="11"/>
      <c r="AU71" s="11"/>
      <c r="AV71" s="11"/>
      <c r="AW71" s="11"/>
      <c r="AY71" s="11"/>
      <c r="AZ71" s="11"/>
      <c r="BA71" s="11"/>
      <c r="BB71" s="11"/>
      <c r="BC71" s="11"/>
      <c r="BD71" s="11"/>
    </row>
    <row r="72" spans="1:56" ht="14.25" customHeight="1">
      <c r="A72" s="19"/>
      <c r="B72" s="19"/>
      <c r="C72" s="19"/>
      <c r="D72" s="19"/>
      <c r="E72" s="19"/>
      <c r="F72" s="19"/>
      <c r="G72" s="19"/>
      <c r="H72" s="12"/>
      <c r="I72" s="11"/>
      <c r="J72" s="11"/>
      <c r="K72" s="11"/>
      <c r="L72" s="11"/>
      <c r="M72" s="11"/>
      <c r="P72" s="11"/>
      <c r="Q72" s="11"/>
      <c r="R72" s="11"/>
      <c r="S72" s="11"/>
      <c r="T72" s="11"/>
      <c r="U72" s="11"/>
      <c r="W72" s="11"/>
      <c r="X72" s="11"/>
      <c r="Y72" s="11"/>
      <c r="Z72" s="11"/>
      <c r="AA72" s="11"/>
      <c r="AC72" s="11"/>
      <c r="AD72" s="11"/>
      <c r="AE72" s="19"/>
      <c r="AF72" s="19"/>
      <c r="AG72" s="19"/>
      <c r="AH72" s="19"/>
      <c r="AI72" s="19"/>
      <c r="AJ72" s="19"/>
      <c r="AK72" s="11"/>
      <c r="AL72" s="11"/>
      <c r="AM72" s="11"/>
      <c r="AN72" s="11"/>
      <c r="AO72" s="11"/>
      <c r="AP72" s="11"/>
      <c r="AR72" s="11"/>
      <c r="AS72" s="11"/>
      <c r="AT72" s="11"/>
      <c r="AU72" s="11"/>
      <c r="AV72" s="11"/>
      <c r="AW72" s="11"/>
      <c r="AY72" s="11"/>
      <c r="AZ72" s="11"/>
      <c r="BA72" s="11"/>
      <c r="BB72" s="11"/>
      <c r="BC72" s="11"/>
      <c r="BD72" s="11"/>
    </row>
    <row r="73" spans="1:56" ht="14.25" customHeight="1">
      <c r="A73" s="19"/>
      <c r="B73" s="19"/>
      <c r="C73" s="19"/>
      <c r="D73" s="19"/>
      <c r="E73" s="19"/>
      <c r="F73" s="19"/>
      <c r="G73" s="19"/>
      <c r="H73" s="12"/>
      <c r="I73" s="11"/>
      <c r="J73" s="11"/>
      <c r="K73" s="11"/>
      <c r="L73" s="11"/>
      <c r="M73" s="11"/>
      <c r="P73" s="11"/>
      <c r="Q73" s="11"/>
      <c r="R73" s="11"/>
      <c r="S73" s="11"/>
      <c r="T73" s="11"/>
      <c r="U73" s="11"/>
      <c r="W73" s="11"/>
      <c r="X73" s="11"/>
      <c r="Y73" s="11"/>
      <c r="Z73" s="11"/>
      <c r="AA73" s="11"/>
      <c r="AC73" s="11"/>
      <c r="AD73" s="11"/>
      <c r="AE73" s="19"/>
      <c r="AF73" s="19"/>
      <c r="AG73" s="19"/>
      <c r="AH73" s="19"/>
      <c r="AI73" s="19"/>
      <c r="AJ73" s="19"/>
      <c r="AK73" s="11"/>
      <c r="AL73" s="11"/>
      <c r="AM73" s="11"/>
      <c r="AN73" s="11"/>
      <c r="AO73" s="11"/>
      <c r="AP73" s="11"/>
      <c r="AR73" s="11"/>
      <c r="AS73" s="11"/>
      <c r="AT73" s="11"/>
      <c r="AU73" s="11"/>
      <c r="AV73" s="11"/>
      <c r="AW73" s="11"/>
      <c r="AY73" s="11"/>
      <c r="AZ73" s="11"/>
      <c r="BA73" s="11"/>
      <c r="BB73" s="11"/>
      <c r="BC73" s="11"/>
      <c r="BD73" s="11"/>
    </row>
    <row r="74" spans="1:56" ht="14.25" customHeight="1">
      <c r="A74" s="19"/>
      <c r="B74" s="19"/>
      <c r="C74" s="19"/>
      <c r="D74" s="19"/>
      <c r="E74" s="19"/>
      <c r="F74" s="19"/>
      <c r="G74" s="19"/>
      <c r="H74" s="12"/>
      <c r="I74" s="11"/>
      <c r="J74" s="11"/>
      <c r="K74" s="11"/>
      <c r="L74" s="11"/>
      <c r="M74" s="11"/>
      <c r="P74" s="11"/>
      <c r="Q74" s="11"/>
      <c r="R74" s="11"/>
      <c r="S74" s="11"/>
      <c r="T74" s="11"/>
      <c r="U74" s="11"/>
      <c r="W74" s="11"/>
      <c r="X74" s="11"/>
      <c r="Y74" s="11"/>
      <c r="Z74" s="11"/>
      <c r="AA74" s="11"/>
      <c r="AC74" s="11"/>
      <c r="AD74" s="11"/>
      <c r="AE74" s="19"/>
      <c r="AF74" s="19"/>
      <c r="AG74" s="19"/>
      <c r="AH74" s="19"/>
      <c r="AI74" s="19"/>
      <c r="AJ74" s="19"/>
      <c r="AK74" s="11"/>
      <c r="AL74" s="11"/>
      <c r="AM74" s="11"/>
      <c r="AN74" s="11"/>
      <c r="AO74" s="11"/>
      <c r="AP74" s="11"/>
      <c r="AR74" s="11"/>
      <c r="AS74" s="11"/>
      <c r="AT74" s="11"/>
      <c r="AU74" s="11"/>
      <c r="AV74" s="11"/>
      <c r="AW74" s="11"/>
      <c r="AY74" s="11"/>
      <c r="AZ74" s="11"/>
      <c r="BA74" s="11"/>
      <c r="BB74" s="11"/>
      <c r="BC74" s="11"/>
      <c r="BD74" s="11"/>
    </row>
    <row r="75" spans="1:56" ht="14.25" customHeight="1">
      <c r="A75" s="19"/>
      <c r="B75" s="19"/>
      <c r="C75" s="19"/>
      <c r="D75" s="19"/>
      <c r="E75" s="19"/>
      <c r="F75" s="19"/>
      <c r="G75" s="19"/>
      <c r="H75" s="12"/>
      <c r="I75" s="11"/>
      <c r="J75" s="11"/>
      <c r="K75" s="11"/>
      <c r="L75" s="11"/>
      <c r="M75" s="11"/>
      <c r="P75" s="11"/>
      <c r="Q75" s="11"/>
      <c r="R75" s="11"/>
      <c r="S75" s="11"/>
      <c r="T75" s="11"/>
      <c r="U75" s="11"/>
      <c r="W75" s="11"/>
      <c r="X75" s="11"/>
      <c r="Y75" s="11"/>
      <c r="Z75" s="11"/>
      <c r="AA75" s="11"/>
      <c r="AC75" s="11"/>
      <c r="AD75" s="11"/>
      <c r="AE75" s="19"/>
      <c r="AF75" s="19"/>
      <c r="AG75" s="19"/>
      <c r="AH75" s="19"/>
      <c r="AI75" s="19"/>
      <c r="AJ75" s="19"/>
      <c r="AK75" s="11"/>
      <c r="AL75" s="11"/>
      <c r="AM75" s="11"/>
      <c r="AN75" s="11"/>
      <c r="AO75" s="11"/>
      <c r="AP75" s="11"/>
      <c r="AR75" s="11"/>
      <c r="AS75" s="11"/>
      <c r="AT75" s="11"/>
      <c r="AU75" s="11"/>
      <c r="AV75" s="11"/>
      <c r="AW75" s="11"/>
      <c r="AY75" s="11"/>
      <c r="AZ75" s="11"/>
      <c r="BA75" s="11"/>
      <c r="BB75" s="11"/>
      <c r="BC75" s="11"/>
      <c r="BD75" s="11"/>
    </row>
    <row r="76" spans="1:56" ht="14.25" customHeight="1">
      <c r="A76" s="19"/>
      <c r="B76" s="19"/>
      <c r="C76" s="19"/>
      <c r="D76" s="19"/>
      <c r="E76" s="19"/>
      <c r="F76" s="19"/>
      <c r="G76" s="19"/>
      <c r="H76" s="12"/>
      <c r="I76" s="11"/>
      <c r="J76" s="11"/>
      <c r="K76" s="11"/>
      <c r="L76" s="11"/>
      <c r="M76" s="11"/>
      <c r="P76" s="11"/>
      <c r="Q76" s="11"/>
      <c r="R76" s="11"/>
      <c r="S76" s="11"/>
      <c r="T76" s="11"/>
      <c r="U76" s="11"/>
      <c r="W76" s="11"/>
      <c r="X76" s="11"/>
      <c r="Y76" s="11"/>
      <c r="Z76" s="11"/>
      <c r="AA76" s="11"/>
      <c r="AC76" s="11"/>
      <c r="AD76" s="11"/>
      <c r="AE76" s="19"/>
      <c r="AF76" s="19"/>
      <c r="AG76" s="19"/>
      <c r="AH76" s="19"/>
      <c r="AI76" s="19"/>
      <c r="AJ76" s="19"/>
      <c r="AK76" s="11"/>
      <c r="AL76" s="11"/>
      <c r="AM76" s="11"/>
      <c r="AN76" s="11"/>
      <c r="AO76" s="11"/>
      <c r="AP76" s="11"/>
      <c r="AR76" s="11"/>
      <c r="AS76" s="11"/>
      <c r="AT76" s="11"/>
      <c r="AU76" s="11"/>
      <c r="AV76" s="11"/>
      <c r="AW76" s="11"/>
      <c r="AY76" s="11"/>
      <c r="AZ76" s="11"/>
      <c r="BA76" s="11"/>
      <c r="BB76" s="11"/>
      <c r="BC76" s="11"/>
      <c r="BD76" s="11"/>
    </row>
    <row r="77" spans="1:56" ht="14.25" customHeight="1">
      <c r="A77" s="19"/>
      <c r="B77" s="19"/>
      <c r="C77" s="19"/>
      <c r="D77" s="19"/>
      <c r="E77" s="19"/>
      <c r="F77" s="19"/>
      <c r="G77" s="19"/>
      <c r="H77" s="12"/>
      <c r="I77" s="11"/>
      <c r="J77" s="11"/>
      <c r="K77" s="11"/>
      <c r="L77" s="11"/>
      <c r="M77" s="11"/>
      <c r="P77" s="11"/>
      <c r="Q77" s="11"/>
      <c r="R77" s="11"/>
      <c r="S77" s="11"/>
      <c r="T77" s="11"/>
      <c r="U77" s="11"/>
      <c r="W77" s="11"/>
      <c r="X77" s="11"/>
      <c r="Y77" s="11"/>
      <c r="Z77" s="11"/>
      <c r="AA77" s="11"/>
      <c r="AC77" s="11"/>
      <c r="AD77" s="11"/>
      <c r="AE77" s="19"/>
      <c r="AF77" s="19"/>
      <c r="AG77" s="19"/>
      <c r="AH77" s="19"/>
      <c r="AI77" s="19"/>
      <c r="AJ77" s="19"/>
      <c r="AK77" s="11"/>
      <c r="AL77" s="11"/>
      <c r="AM77" s="11"/>
      <c r="AN77" s="11"/>
      <c r="AO77" s="11"/>
      <c r="AP77" s="11"/>
      <c r="AR77" s="11"/>
      <c r="AS77" s="11"/>
      <c r="AT77" s="11"/>
      <c r="AU77" s="11"/>
      <c r="AV77" s="11"/>
      <c r="AW77" s="11"/>
      <c r="AY77" s="11"/>
      <c r="AZ77" s="11"/>
      <c r="BA77" s="11"/>
      <c r="BB77" s="11"/>
      <c r="BC77" s="11"/>
      <c r="BD77" s="11"/>
    </row>
    <row r="78" spans="1:56" ht="14.25" customHeight="1">
      <c r="A78" s="19" t="str">
        <f>IF(A1=H12,P2,IF(A1=H13,P7,IF(A1=H14,P12,IF(A1=H15,P17,IF(A1=H16,P22,IF(A1=H17,P27,IF(A1=H18,P32,IF(A1=H19,P37,IF(A1=H20,P42,IF(A1=H21,P47,IF(A1=H22,P52)))))))))))</f>
        <v>16 ਹੰਸ ਰਾਜ ਮੋਮੀ / ਸੱਤੀ ਰਾਮ</v>
      </c>
      <c r="B78" s="19"/>
      <c r="C78" s="19"/>
      <c r="D78" s="19"/>
      <c r="E78" s="19"/>
      <c r="F78" s="19"/>
      <c r="G78" s="19"/>
      <c r="H78" s="12"/>
      <c r="I78" s="11"/>
      <c r="J78" s="11"/>
      <c r="K78" s="11"/>
      <c r="L78" s="11"/>
      <c r="M78" s="11"/>
      <c r="P78" s="11"/>
      <c r="Q78" s="11"/>
      <c r="R78" s="11"/>
      <c r="S78" s="11"/>
      <c r="T78" s="11"/>
      <c r="U78" s="11"/>
      <c r="W78" s="11"/>
      <c r="X78" s="11"/>
      <c r="Y78" s="11"/>
      <c r="Z78" s="11"/>
      <c r="AA78" s="11"/>
      <c r="AC78" s="11"/>
      <c r="AD78" s="11"/>
      <c r="AE78" s="19"/>
      <c r="AF78" s="19"/>
      <c r="AG78" s="19"/>
      <c r="AH78" s="19"/>
      <c r="AI78" s="19"/>
      <c r="AJ78" s="19"/>
      <c r="AK78" s="11"/>
      <c r="AL78" s="11"/>
      <c r="AM78" s="11"/>
      <c r="AN78" s="11"/>
      <c r="AO78" s="11"/>
      <c r="AP78" s="11"/>
      <c r="AR78" s="11"/>
      <c r="AS78" s="11"/>
      <c r="AT78" s="11"/>
      <c r="AU78" s="11"/>
      <c r="AV78" s="11"/>
      <c r="AW78" s="11"/>
      <c r="AY78" s="11"/>
      <c r="AZ78" s="11"/>
      <c r="BA78" s="11"/>
      <c r="BB78" s="11"/>
      <c r="BC78" s="11"/>
      <c r="BD78" s="11"/>
    </row>
    <row r="79" spans="1:56" ht="14.25" customHeight="1">
      <c r="A79" s="19" t="b">
        <f>IF(A1=H22,W2,IF(A1=H23,W7,IF(A1=H24,W12,IF(A1=H25,W17,IF(A1=H26,W22,IF(A1=H27,W27,IF(A1=H28,W32,IF(A1=H29,W37,IF(A1=H30,W42,IF(A1=H31,W47))))))))))</f>
        <v>0</v>
      </c>
      <c r="B79" s="19"/>
      <c r="C79" s="19"/>
      <c r="D79" s="19"/>
      <c r="E79" s="19"/>
      <c r="F79" s="19"/>
      <c r="G79" s="19"/>
      <c r="H79" s="12"/>
      <c r="I79" s="11"/>
      <c r="J79" s="11"/>
      <c r="K79" s="11"/>
      <c r="L79" s="11"/>
      <c r="M79" s="11"/>
      <c r="P79" s="11"/>
      <c r="Q79" s="11"/>
      <c r="R79" s="11"/>
      <c r="S79" s="11"/>
      <c r="T79" s="11"/>
      <c r="U79" s="11"/>
      <c r="W79" s="11"/>
      <c r="X79" s="11"/>
      <c r="Y79" s="11"/>
      <c r="Z79" s="11"/>
      <c r="AA79" s="11"/>
      <c r="AC79" s="11"/>
      <c r="AD79" s="11"/>
      <c r="AE79" s="19"/>
      <c r="AF79" s="19"/>
      <c r="AG79" s="19"/>
      <c r="AH79" s="19"/>
      <c r="AI79" s="19"/>
      <c r="AJ79" s="19"/>
      <c r="AK79" s="11"/>
      <c r="AL79" s="11"/>
      <c r="AM79" s="11"/>
      <c r="AN79" s="11"/>
      <c r="AO79" s="11"/>
      <c r="AP79" s="11"/>
      <c r="AR79" s="11"/>
      <c r="AS79" s="11"/>
      <c r="AT79" s="11"/>
      <c r="AU79" s="11"/>
      <c r="AV79" s="11"/>
      <c r="AW79" s="11"/>
      <c r="AY79" s="11"/>
      <c r="AZ79" s="11"/>
      <c r="BA79" s="11"/>
      <c r="BB79" s="11"/>
      <c r="BC79" s="11"/>
      <c r="BD79" s="11"/>
    </row>
    <row r="80" spans="1:56" ht="14.25" customHeight="1">
      <c r="A80" s="19"/>
      <c r="B80" s="19"/>
      <c r="C80" s="19"/>
      <c r="D80" s="19"/>
      <c r="E80" s="19"/>
      <c r="F80" s="19"/>
      <c r="G80" s="19"/>
      <c r="H80" s="12"/>
      <c r="I80" s="11"/>
      <c r="J80" s="11"/>
      <c r="K80" s="11"/>
      <c r="L80" s="11"/>
      <c r="M80" s="11"/>
      <c r="P80" s="11"/>
      <c r="Q80" s="11"/>
      <c r="R80" s="11"/>
      <c r="S80" s="11"/>
      <c r="T80" s="11"/>
      <c r="U80" s="11"/>
      <c r="W80" s="11"/>
      <c r="X80" s="11"/>
      <c r="Y80" s="11"/>
      <c r="Z80" s="11"/>
      <c r="AA80" s="11"/>
      <c r="AC80" s="11"/>
      <c r="AD80" s="11"/>
      <c r="AE80" s="19"/>
      <c r="AF80" s="19"/>
      <c r="AG80" s="19"/>
      <c r="AH80" s="19"/>
      <c r="AI80" s="19"/>
      <c r="AJ80" s="19"/>
      <c r="AK80" s="11"/>
      <c r="AL80" s="11"/>
      <c r="AM80" s="11"/>
      <c r="AN80" s="11"/>
      <c r="AO80" s="11"/>
      <c r="AP80" s="11"/>
      <c r="AR80" s="11"/>
      <c r="AS80" s="11"/>
      <c r="AT80" s="11"/>
      <c r="AU80" s="11"/>
      <c r="AV80" s="11"/>
      <c r="AW80" s="11"/>
      <c r="AY80" s="11"/>
      <c r="AZ80" s="11"/>
      <c r="BA80" s="11"/>
      <c r="BB80" s="11"/>
      <c r="BC80" s="11"/>
      <c r="BD80" s="11"/>
    </row>
    <row r="81" spans="1:56" ht="14.25" customHeight="1">
      <c r="A81" s="19"/>
      <c r="B81" s="19"/>
      <c r="C81" s="19"/>
      <c r="D81" s="19"/>
      <c r="E81" s="19"/>
      <c r="F81" s="19"/>
      <c r="G81" s="19"/>
      <c r="H81" s="12"/>
      <c r="I81" s="11"/>
      <c r="J81" s="11"/>
      <c r="K81" s="11"/>
      <c r="L81" s="11"/>
      <c r="M81" s="11"/>
      <c r="P81" s="11"/>
      <c r="Q81" s="11"/>
      <c r="R81" s="11"/>
      <c r="S81" s="11"/>
      <c r="T81" s="11"/>
      <c r="U81" s="11"/>
      <c r="W81" s="11"/>
      <c r="X81" s="11"/>
      <c r="Y81" s="11"/>
      <c r="Z81" s="11"/>
      <c r="AA81" s="11"/>
      <c r="AC81" s="11"/>
      <c r="AD81" s="11"/>
      <c r="AE81" s="19"/>
      <c r="AF81" s="19"/>
      <c r="AG81" s="19"/>
      <c r="AH81" s="19"/>
      <c r="AI81" s="19"/>
      <c r="AJ81" s="19"/>
      <c r="AK81" s="11"/>
      <c r="AL81" s="11"/>
      <c r="AM81" s="11"/>
      <c r="AN81" s="11"/>
      <c r="AO81" s="11"/>
      <c r="AP81" s="11"/>
      <c r="AR81" s="11"/>
      <c r="AS81" s="11"/>
      <c r="AT81" s="11"/>
      <c r="AU81" s="11"/>
      <c r="AV81" s="11"/>
      <c r="AW81" s="11"/>
      <c r="AY81" s="11"/>
      <c r="AZ81" s="11"/>
      <c r="BA81" s="11"/>
      <c r="BB81" s="11"/>
      <c r="BC81" s="11"/>
      <c r="BD81" s="11"/>
    </row>
    <row r="82" spans="1:56" ht="14.25" customHeight="1">
      <c r="A82" s="19"/>
      <c r="B82" s="19"/>
      <c r="C82" s="19"/>
      <c r="D82" s="19"/>
      <c r="E82" s="19"/>
      <c r="F82" s="19"/>
      <c r="G82" s="19"/>
      <c r="H82" s="12"/>
      <c r="I82" s="11"/>
      <c r="J82" s="11"/>
      <c r="K82" s="11"/>
      <c r="L82" s="11"/>
      <c r="M82" s="11"/>
      <c r="P82" s="11"/>
      <c r="Q82" s="11"/>
      <c r="R82" s="11"/>
      <c r="S82" s="11"/>
      <c r="T82" s="11"/>
      <c r="U82" s="11"/>
      <c r="W82" s="11"/>
      <c r="X82" s="11"/>
      <c r="Y82" s="11"/>
      <c r="Z82" s="11"/>
      <c r="AA82" s="11"/>
      <c r="AC82" s="11"/>
      <c r="AD82" s="11"/>
      <c r="AE82" s="19"/>
      <c r="AF82" s="19"/>
      <c r="AG82" s="19"/>
      <c r="AH82" s="19"/>
      <c r="AI82" s="19"/>
      <c r="AJ82" s="19"/>
      <c r="AK82" s="11"/>
      <c r="AL82" s="11"/>
      <c r="AM82" s="11"/>
      <c r="AN82" s="11"/>
      <c r="AO82" s="11"/>
      <c r="AP82" s="11"/>
      <c r="AR82" s="11"/>
      <c r="AS82" s="11"/>
      <c r="AT82" s="11"/>
      <c r="AU82" s="11"/>
      <c r="AV82" s="11"/>
      <c r="AW82" s="11"/>
      <c r="AY82" s="11"/>
      <c r="AZ82" s="11"/>
      <c r="BA82" s="11"/>
      <c r="BB82" s="11"/>
      <c r="BC82" s="11"/>
      <c r="BD82" s="11"/>
    </row>
    <row r="83" spans="1:56" ht="14.25" customHeight="1">
      <c r="A83" s="19"/>
      <c r="B83" s="19"/>
      <c r="C83" s="19"/>
      <c r="D83" s="19"/>
      <c r="E83" s="19"/>
      <c r="F83" s="19"/>
      <c r="G83" s="19"/>
      <c r="H83" s="12"/>
      <c r="I83" s="11"/>
      <c r="J83" s="11"/>
      <c r="K83" s="11"/>
      <c r="L83" s="11"/>
      <c r="M83" s="11"/>
      <c r="P83" s="11"/>
      <c r="Q83" s="11"/>
      <c r="R83" s="11"/>
      <c r="S83" s="11"/>
      <c r="T83" s="11"/>
      <c r="U83" s="11"/>
      <c r="W83" s="11"/>
      <c r="X83" s="11"/>
      <c r="Y83" s="11"/>
      <c r="Z83" s="11"/>
      <c r="AA83" s="11"/>
      <c r="AC83" s="11"/>
      <c r="AD83" s="11"/>
      <c r="AE83" s="19"/>
      <c r="AF83" s="19"/>
      <c r="AG83" s="19"/>
      <c r="AH83" s="19"/>
      <c r="AI83" s="19"/>
      <c r="AJ83" s="19"/>
      <c r="AK83" s="11"/>
      <c r="AL83" s="11"/>
      <c r="AM83" s="11"/>
      <c r="AN83" s="11"/>
      <c r="AO83" s="11"/>
      <c r="AP83" s="11"/>
      <c r="AR83" s="11"/>
      <c r="AS83" s="11"/>
      <c r="AT83" s="11"/>
      <c r="AU83" s="11"/>
      <c r="AV83" s="11"/>
      <c r="AW83" s="11"/>
      <c r="AY83" s="11"/>
      <c r="AZ83" s="11"/>
      <c r="BA83" s="11"/>
      <c r="BB83" s="11"/>
      <c r="BC83" s="11"/>
      <c r="BD83" s="11"/>
    </row>
    <row r="84" spans="1:56" ht="14.25" customHeight="1">
      <c r="A84" s="19"/>
      <c r="B84" s="19"/>
      <c r="C84" s="19"/>
      <c r="D84" s="19"/>
      <c r="E84" s="19"/>
      <c r="F84" s="19"/>
      <c r="G84" s="19"/>
      <c r="H84" s="12"/>
      <c r="I84" s="11"/>
      <c r="J84" s="11"/>
      <c r="K84" s="11"/>
      <c r="L84" s="11"/>
      <c r="M84" s="11"/>
      <c r="P84" s="11"/>
      <c r="Q84" s="11"/>
      <c r="R84" s="11"/>
      <c r="S84" s="11"/>
      <c r="T84" s="11"/>
      <c r="U84" s="11"/>
      <c r="W84" s="11"/>
      <c r="X84" s="11"/>
      <c r="Y84" s="11"/>
      <c r="Z84" s="11"/>
      <c r="AA84" s="11"/>
      <c r="AC84" s="11"/>
      <c r="AD84" s="11"/>
      <c r="AE84" s="19"/>
      <c r="AF84" s="19"/>
      <c r="AG84" s="19"/>
      <c r="AH84" s="19"/>
      <c r="AI84" s="19"/>
      <c r="AJ84" s="19"/>
      <c r="AK84" s="11"/>
      <c r="AL84" s="11"/>
      <c r="AM84" s="11"/>
      <c r="AN84" s="11"/>
      <c r="AO84" s="11"/>
      <c r="AP84" s="11"/>
      <c r="AR84" s="11"/>
      <c r="AS84" s="11"/>
      <c r="AT84" s="11"/>
      <c r="AU84" s="11"/>
      <c r="AV84" s="11"/>
      <c r="AW84" s="11"/>
      <c r="AY84" s="11"/>
      <c r="AZ84" s="11"/>
      <c r="BA84" s="11"/>
      <c r="BB84" s="11"/>
      <c r="BC84" s="11"/>
      <c r="BD84" s="11"/>
    </row>
    <row r="85" spans="1:56" ht="14.25" customHeight="1">
      <c r="A85" s="19"/>
      <c r="B85" s="19"/>
      <c r="C85" s="19"/>
      <c r="D85" s="19"/>
      <c r="E85" s="19"/>
      <c r="F85" s="19"/>
      <c r="G85" s="19"/>
      <c r="H85" s="12"/>
      <c r="I85" s="11"/>
      <c r="J85" s="11"/>
      <c r="K85" s="11"/>
      <c r="L85" s="11"/>
      <c r="M85" s="11"/>
      <c r="P85" s="11"/>
      <c r="Q85" s="11"/>
      <c r="R85" s="11"/>
      <c r="S85" s="11"/>
      <c r="T85" s="11"/>
      <c r="U85" s="11"/>
      <c r="W85" s="11"/>
      <c r="X85" s="11"/>
      <c r="Y85" s="11"/>
      <c r="Z85" s="11"/>
      <c r="AA85" s="11"/>
      <c r="AC85" s="11"/>
      <c r="AD85" s="11"/>
      <c r="AE85" s="19"/>
      <c r="AF85" s="19"/>
      <c r="AG85" s="19"/>
      <c r="AH85" s="19"/>
      <c r="AI85" s="19"/>
      <c r="AJ85" s="19"/>
      <c r="AK85" s="11"/>
      <c r="AL85" s="11"/>
      <c r="AM85" s="11"/>
      <c r="AN85" s="11"/>
      <c r="AO85" s="11"/>
      <c r="AP85" s="11"/>
      <c r="AR85" s="11"/>
      <c r="AS85" s="11"/>
      <c r="AT85" s="11"/>
      <c r="AU85" s="11"/>
      <c r="AV85" s="11"/>
      <c r="AW85" s="11"/>
      <c r="AY85" s="11"/>
      <c r="AZ85" s="11"/>
      <c r="BA85" s="11"/>
      <c r="BB85" s="11"/>
      <c r="BC85" s="11"/>
      <c r="BD85" s="11"/>
    </row>
    <row r="86" spans="1:56" ht="14.25" customHeight="1">
      <c r="A86" s="19"/>
      <c r="B86" s="19"/>
      <c r="C86" s="19"/>
      <c r="D86" s="19"/>
      <c r="E86" s="19"/>
      <c r="F86" s="19"/>
      <c r="G86" s="19"/>
      <c r="H86" s="12"/>
      <c r="I86" s="11"/>
      <c r="J86" s="11"/>
      <c r="K86" s="11"/>
      <c r="L86" s="11"/>
      <c r="M86" s="11"/>
      <c r="P86" s="11"/>
      <c r="Q86" s="11"/>
      <c r="R86" s="11"/>
      <c r="S86" s="11"/>
      <c r="T86" s="11"/>
      <c r="U86" s="11"/>
      <c r="W86" s="11"/>
      <c r="X86" s="11"/>
      <c r="Y86" s="11"/>
      <c r="Z86" s="11"/>
      <c r="AA86" s="11"/>
      <c r="AC86" s="11"/>
      <c r="AD86" s="11"/>
      <c r="AE86" s="19"/>
      <c r="AF86" s="19"/>
      <c r="AG86" s="19"/>
      <c r="AH86" s="19"/>
      <c r="AI86" s="19"/>
      <c r="AJ86" s="19"/>
      <c r="AK86" s="11"/>
      <c r="AL86" s="11"/>
      <c r="AM86" s="11"/>
      <c r="AN86" s="11"/>
      <c r="AO86" s="11"/>
      <c r="AP86" s="11"/>
      <c r="AR86" s="11"/>
      <c r="AS86" s="11"/>
      <c r="AT86" s="11"/>
      <c r="AU86" s="11"/>
      <c r="AV86" s="11"/>
      <c r="AW86" s="11"/>
      <c r="AY86" s="11"/>
      <c r="AZ86" s="11"/>
      <c r="BA86" s="11"/>
      <c r="BB86" s="11"/>
      <c r="BC86" s="11"/>
      <c r="BD86" s="11"/>
    </row>
    <row r="87" spans="1:56" ht="14.25" customHeight="1">
      <c r="A87" s="19"/>
      <c r="B87" s="19"/>
      <c r="C87" s="19"/>
      <c r="D87" s="19"/>
      <c r="E87" s="19"/>
      <c r="F87" s="19"/>
      <c r="G87" s="19"/>
      <c r="H87" s="12"/>
      <c r="I87" s="11"/>
      <c r="J87" s="11"/>
      <c r="K87" s="11"/>
      <c r="L87" s="11"/>
      <c r="M87" s="11"/>
      <c r="P87" s="11"/>
      <c r="Q87" s="11"/>
      <c r="R87" s="11"/>
      <c r="S87" s="11"/>
      <c r="T87" s="11"/>
      <c r="U87" s="11"/>
      <c r="W87" s="11"/>
      <c r="X87" s="11"/>
      <c r="Y87" s="11"/>
      <c r="Z87" s="11"/>
      <c r="AA87" s="11"/>
      <c r="AC87" s="11"/>
      <c r="AD87" s="11"/>
      <c r="AE87" s="19"/>
      <c r="AF87" s="19"/>
      <c r="AG87" s="19"/>
      <c r="AH87" s="19"/>
      <c r="AI87" s="19"/>
      <c r="AJ87" s="19"/>
      <c r="AK87" s="11"/>
      <c r="AL87" s="11"/>
      <c r="AM87" s="11"/>
      <c r="AN87" s="11"/>
      <c r="AO87" s="11"/>
      <c r="AP87" s="11"/>
      <c r="AR87" s="11"/>
      <c r="AS87" s="11"/>
      <c r="AT87" s="11"/>
      <c r="AU87" s="11"/>
      <c r="AV87" s="11"/>
      <c r="AW87" s="11"/>
      <c r="AY87" s="11"/>
      <c r="AZ87" s="11"/>
      <c r="BA87" s="11"/>
      <c r="BB87" s="11"/>
      <c r="BC87" s="11"/>
      <c r="BD87" s="11"/>
    </row>
    <row r="88" spans="1:56" ht="14.25" customHeight="1">
      <c r="A88" s="19"/>
      <c r="B88" s="19"/>
      <c r="C88" s="19"/>
      <c r="D88" s="19"/>
      <c r="E88" s="19"/>
      <c r="F88" s="19"/>
      <c r="G88" s="19"/>
      <c r="H88" s="12"/>
      <c r="I88" s="11"/>
      <c r="J88" s="11"/>
      <c r="K88" s="11"/>
      <c r="L88" s="11"/>
      <c r="M88" s="11"/>
      <c r="P88" s="11"/>
      <c r="Q88" s="11"/>
      <c r="R88" s="11"/>
      <c r="S88" s="11"/>
      <c r="T88" s="11"/>
      <c r="U88" s="11"/>
      <c r="W88" s="11"/>
      <c r="X88" s="11"/>
      <c r="Y88" s="11"/>
      <c r="Z88" s="11"/>
      <c r="AA88" s="11"/>
      <c r="AC88" s="11"/>
      <c r="AD88" s="11"/>
      <c r="AE88" s="19"/>
      <c r="AF88" s="19"/>
      <c r="AG88" s="19"/>
      <c r="AH88" s="19"/>
      <c r="AI88" s="19"/>
      <c r="AJ88" s="19"/>
      <c r="AK88" s="11"/>
      <c r="AL88" s="11"/>
      <c r="AM88" s="11"/>
      <c r="AN88" s="11"/>
      <c r="AO88" s="11"/>
      <c r="AP88" s="11"/>
      <c r="AR88" s="11"/>
      <c r="AS88" s="11"/>
      <c r="AT88" s="11"/>
      <c r="AU88" s="11"/>
      <c r="AV88" s="11"/>
      <c r="AW88" s="11"/>
      <c r="AY88" s="11"/>
      <c r="AZ88" s="11"/>
      <c r="BA88" s="11"/>
      <c r="BB88" s="11"/>
      <c r="BC88" s="11"/>
      <c r="BD88" s="11"/>
    </row>
    <row r="89" spans="1:56" ht="14.25" customHeight="1">
      <c r="A89" s="19"/>
      <c r="B89" s="19"/>
      <c r="C89" s="19"/>
      <c r="D89" s="19"/>
      <c r="E89" s="19"/>
      <c r="F89" s="19"/>
      <c r="G89" s="19"/>
      <c r="H89" s="12"/>
      <c r="I89" s="11"/>
      <c r="J89" s="11"/>
      <c r="K89" s="11"/>
      <c r="L89" s="11"/>
      <c r="M89" s="11"/>
      <c r="P89" s="11"/>
      <c r="Q89" s="11"/>
      <c r="R89" s="11"/>
      <c r="S89" s="11"/>
      <c r="T89" s="11"/>
      <c r="U89" s="11"/>
      <c r="W89" s="11"/>
      <c r="X89" s="11"/>
      <c r="Y89" s="11"/>
      <c r="Z89" s="11"/>
      <c r="AA89" s="11"/>
      <c r="AC89" s="11"/>
      <c r="AD89" s="11"/>
      <c r="AE89" s="19"/>
      <c r="AF89" s="19"/>
      <c r="AG89" s="19"/>
      <c r="AH89" s="19"/>
      <c r="AI89" s="19"/>
      <c r="AJ89" s="19"/>
      <c r="AK89" s="11"/>
      <c r="AL89" s="11"/>
      <c r="AM89" s="11"/>
      <c r="AN89" s="11"/>
      <c r="AO89" s="11"/>
      <c r="AP89" s="11"/>
      <c r="AR89" s="11"/>
      <c r="AS89" s="11"/>
      <c r="AT89" s="11"/>
      <c r="AU89" s="11"/>
      <c r="AV89" s="11"/>
      <c r="AW89" s="11"/>
      <c r="AY89" s="11"/>
      <c r="AZ89" s="11"/>
      <c r="BA89" s="11"/>
      <c r="BB89" s="11"/>
      <c r="BC89" s="11"/>
      <c r="BD89" s="11"/>
    </row>
    <row r="90" spans="1:56" ht="14.25" customHeight="1">
      <c r="A90" s="19"/>
      <c r="B90" s="19"/>
      <c r="C90" s="19"/>
      <c r="D90" s="19"/>
      <c r="E90" s="19"/>
      <c r="F90" s="19"/>
      <c r="G90" s="19"/>
      <c r="H90" s="12"/>
      <c r="I90" s="11"/>
      <c r="J90" s="11"/>
      <c r="K90" s="11"/>
      <c r="L90" s="11"/>
      <c r="M90" s="11"/>
      <c r="P90" s="11"/>
      <c r="Q90" s="11"/>
      <c r="R90" s="11"/>
      <c r="S90" s="11"/>
      <c r="T90" s="11"/>
      <c r="U90" s="11"/>
      <c r="W90" s="11"/>
      <c r="X90" s="11"/>
      <c r="Y90" s="11"/>
      <c r="Z90" s="11"/>
      <c r="AA90" s="11"/>
      <c r="AC90" s="11"/>
      <c r="AD90" s="11"/>
      <c r="AE90" s="19"/>
      <c r="AF90" s="19"/>
      <c r="AG90" s="19"/>
      <c r="AH90" s="19"/>
      <c r="AI90" s="19"/>
      <c r="AJ90" s="19"/>
      <c r="AK90" s="11"/>
      <c r="AL90" s="11"/>
      <c r="AM90" s="11"/>
      <c r="AN90" s="11"/>
      <c r="AO90" s="11"/>
      <c r="AP90" s="11"/>
      <c r="AR90" s="11"/>
      <c r="AS90" s="11"/>
      <c r="AT90" s="11"/>
      <c r="AU90" s="11"/>
      <c r="AV90" s="11"/>
      <c r="AW90" s="11"/>
      <c r="AY90" s="11"/>
      <c r="AZ90" s="11"/>
      <c r="BA90" s="11"/>
      <c r="BB90" s="11"/>
      <c r="BC90" s="11"/>
      <c r="BD90" s="11"/>
    </row>
    <row r="91" spans="1:56" ht="14.25" customHeight="1">
      <c r="A91" s="19"/>
      <c r="B91" s="19"/>
      <c r="C91" s="19"/>
      <c r="D91" s="19"/>
      <c r="E91" s="19"/>
      <c r="F91" s="19"/>
      <c r="G91" s="19"/>
      <c r="H91" s="12"/>
      <c r="I91" s="11"/>
      <c r="J91" s="11"/>
      <c r="K91" s="11"/>
      <c r="L91" s="11"/>
      <c r="M91" s="11"/>
      <c r="P91" s="11"/>
      <c r="Q91" s="11"/>
      <c r="R91" s="11"/>
      <c r="S91" s="11"/>
      <c r="T91" s="11"/>
      <c r="U91" s="11"/>
      <c r="W91" s="11"/>
      <c r="X91" s="11"/>
      <c r="Y91" s="11"/>
      <c r="Z91" s="11"/>
      <c r="AA91" s="11"/>
      <c r="AC91" s="11"/>
      <c r="AD91" s="11"/>
      <c r="AE91" s="19"/>
      <c r="AF91" s="19"/>
      <c r="AG91" s="19"/>
      <c r="AH91" s="19"/>
      <c r="AI91" s="19"/>
      <c r="AJ91" s="19"/>
      <c r="AK91" s="11"/>
      <c r="AL91" s="11"/>
      <c r="AM91" s="11"/>
      <c r="AN91" s="11"/>
      <c r="AO91" s="11"/>
      <c r="AP91" s="11"/>
      <c r="AR91" s="11"/>
      <c r="AS91" s="11"/>
      <c r="AT91" s="11"/>
      <c r="AU91" s="11"/>
      <c r="AV91" s="11"/>
      <c r="AW91" s="11"/>
      <c r="AY91" s="11"/>
      <c r="AZ91" s="11"/>
      <c r="BA91" s="11"/>
      <c r="BB91" s="11"/>
      <c r="BC91" s="11"/>
      <c r="BD91" s="11"/>
    </row>
    <row r="92" spans="1:56" ht="14.25" customHeight="1">
      <c r="A92" s="19"/>
      <c r="B92" s="19"/>
      <c r="C92" s="19"/>
      <c r="D92" s="19"/>
      <c r="E92" s="19"/>
      <c r="F92" s="19"/>
      <c r="G92" s="19"/>
      <c r="H92" s="12"/>
      <c r="I92" s="11"/>
      <c r="J92" s="11"/>
      <c r="K92" s="11"/>
      <c r="L92" s="11"/>
      <c r="M92" s="11"/>
      <c r="P92" s="11"/>
      <c r="Q92" s="11"/>
      <c r="R92" s="11"/>
      <c r="S92" s="11"/>
      <c r="T92" s="11"/>
      <c r="U92" s="11"/>
      <c r="W92" s="11"/>
      <c r="X92" s="11"/>
      <c r="Y92" s="11"/>
      <c r="Z92" s="11"/>
      <c r="AA92" s="11"/>
      <c r="AC92" s="11"/>
      <c r="AD92" s="11"/>
      <c r="AE92" s="19"/>
      <c r="AF92" s="19"/>
      <c r="AG92" s="19"/>
      <c r="AH92" s="19"/>
      <c r="AI92" s="19"/>
      <c r="AJ92" s="19"/>
      <c r="AK92" s="11"/>
      <c r="AL92" s="11"/>
      <c r="AM92" s="11"/>
      <c r="AN92" s="11"/>
      <c r="AO92" s="11"/>
      <c r="AP92" s="11"/>
      <c r="AR92" s="11"/>
      <c r="AS92" s="11"/>
      <c r="AT92" s="11"/>
      <c r="AU92" s="11"/>
      <c r="AV92" s="11"/>
      <c r="AW92" s="11"/>
      <c r="AY92" s="11"/>
      <c r="AZ92" s="11"/>
      <c r="BA92" s="11"/>
      <c r="BB92" s="11"/>
      <c r="BC92" s="11"/>
      <c r="BD92" s="11"/>
    </row>
    <row r="93" spans="1:56" ht="14.25" customHeight="1">
      <c r="A93" s="19"/>
      <c r="B93" s="19"/>
      <c r="C93" s="19"/>
      <c r="D93" s="19"/>
      <c r="E93" s="19"/>
      <c r="F93" s="19"/>
      <c r="G93" s="19"/>
      <c r="H93" s="12"/>
      <c r="I93" s="11"/>
      <c r="J93" s="11"/>
      <c r="K93" s="11"/>
      <c r="L93" s="11"/>
      <c r="M93" s="11"/>
      <c r="P93" s="11"/>
      <c r="Q93" s="11"/>
      <c r="R93" s="11"/>
      <c r="S93" s="11"/>
      <c r="T93" s="11"/>
      <c r="U93" s="11"/>
      <c r="W93" s="11"/>
      <c r="X93" s="11"/>
      <c r="Y93" s="11"/>
      <c r="Z93" s="11"/>
      <c r="AA93" s="11"/>
      <c r="AC93" s="11"/>
      <c r="AD93" s="11"/>
      <c r="AE93" s="19"/>
      <c r="AF93" s="19"/>
      <c r="AG93" s="19"/>
      <c r="AH93" s="19"/>
      <c r="AI93" s="19"/>
      <c r="AJ93" s="19"/>
      <c r="AK93" s="11"/>
      <c r="AL93" s="11"/>
      <c r="AM93" s="11"/>
      <c r="AN93" s="11"/>
      <c r="AO93" s="11"/>
      <c r="AP93" s="11"/>
      <c r="AR93" s="11"/>
      <c r="AS93" s="11"/>
      <c r="AT93" s="11"/>
      <c r="AU93" s="11"/>
      <c r="AV93" s="11"/>
      <c r="AW93" s="11"/>
      <c r="AY93" s="11"/>
      <c r="AZ93" s="11"/>
      <c r="BA93" s="11"/>
      <c r="BB93" s="11"/>
      <c r="BC93" s="11"/>
      <c r="BD93" s="11"/>
    </row>
    <row r="94" spans="1:56" ht="14.25" customHeight="1">
      <c r="A94" s="19"/>
      <c r="B94" s="19"/>
      <c r="C94" s="19"/>
      <c r="D94" s="19"/>
      <c r="E94" s="19"/>
      <c r="F94" s="19"/>
      <c r="G94" s="19"/>
      <c r="H94" s="12"/>
      <c r="I94" s="11"/>
      <c r="J94" s="11"/>
      <c r="K94" s="11"/>
      <c r="L94" s="11"/>
      <c r="M94" s="11"/>
      <c r="P94" s="11"/>
      <c r="Q94" s="11"/>
      <c r="R94" s="11"/>
      <c r="S94" s="11"/>
      <c r="T94" s="11"/>
      <c r="U94" s="11"/>
      <c r="W94" s="11"/>
      <c r="X94" s="11"/>
      <c r="Y94" s="11"/>
      <c r="Z94" s="11"/>
      <c r="AA94" s="11"/>
      <c r="AC94" s="11"/>
      <c r="AD94" s="11"/>
      <c r="AE94" s="19"/>
      <c r="AF94" s="19"/>
      <c r="AG94" s="19"/>
      <c r="AH94" s="19"/>
      <c r="AI94" s="19"/>
      <c r="AJ94" s="19"/>
      <c r="AK94" s="11"/>
      <c r="AL94" s="11"/>
      <c r="AM94" s="11"/>
      <c r="AN94" s="11"/>
      <c r="AO94" s="11"/>
      <c r="AP94" s="11"/>
      <c r="AR94" s="11"/>
      <c r="AS94" s="11"/>
      <c r="AT94" s="11"/>
      <c r="AU94" s="11"/>
      <c r="AV94" s="11"/>
      <c r="AW94" s="11"/>
      <c r="AY94" s="11"/>
      <c r="AZ94" s="11"/>
      <c r="BA94" s="11"/>
      <c r="BB94" s="11"/>
      <c r="BC94" s="11"/>
      <c r="BD94" s="11"/>
    </row>
    <row r="95" spans="1:56" ht="14.25" customHeight="1">
      <c r="A95" s="19"/>
      <c r="B95" s="19"/>
      <c r="C95" s="19"/>
      <c r="D95" s="19"/>
      <c r="E95" s="19"/>
      <c r="F95" s="19"/>
      <c r="G95" s="19"/>
      <c r="H95" s="12"/>
      <c r="I95" s="11"/>
      <c r="J95" s="11"/>
      <c r="K95" s="11"/>
      <c r="L95" s="11"/>
      <c r="M95" s="11"/>
      <c r="P95" s="11"/>
      <c r="Q95" s="11"/>
      <c r="R95" s="11"/>
      <c r="S95" s="11"/>
      <c r="T95" s="11"/>
      <c r="U95" s="11"/>
      <c r="W95" s="11"/>
      <c r="X95" s="11"/>
      <c r="Y95" s="11"/>
      <c r="Z95" s="11"/>
      <c r="AA95" s="11"/>
      <c r="AC95" s="11"/>
      <c r="AD95" s="11"/>
      <c r="AE95" s="19"/>
      <c r="AF95" s="19"/>
      <c r="AG95" s="19"/>
      <c r="AH95" s="19"/>
      <c r="AI95" s="19"/>
      <c r="AJ95" s="19"/>
      <c r="AK95" s="11"/>
      <c r="AL95" s="11"/>
      <c r="AM95" s="11"/>
      <c r="AN95" s="11"/>
      <c r="AO95" s="11"/>
      <c r="AP95" s="11"/>
      <c r="AR95" s="11"/>
      <c r="AS95" s="11"/>
      <c r="AT95" s="11"/>
      <c r="AU95" s="11"/>
      <c r="AV95" s="11"/>
      <c r="AW95" s="11"/>
      <c r="AY95" s="11"/>
      <c r="AZ95" s="11"/>
      <c r="BA95" s="11"/>
      <c r="BB95" s="11"/>
      <c r="BC95" s="11"/>
      <c r="BD95" s="11"/>
    </row>
    <row r="96" spans="1:56" ht="14.25" customHeight="1">
      <c r="A96" s="19"/>
      <c r="B96" s="19"/>
      <c r="C96" s="19"/>
      <c r="D96" s="19"/>
      <c r="E96" s="19"/>
      <c r="F96" s="19"/>
      <c r="G96" s="19"/>
      <c r="H96" s="12"/>
      <c r="I96" s="11"/>
      <c r="J96" s="11"/>
      <c r="K96" s="11"/>
      <c r="L96" s="11"/>
      <c r="M96" s="11"/>
      <c r="P96" s="11"/>
      <c r="Q96" s="11"/>
      <c r="R96" s="11"/>
      <c r="S96" s="11"/>
      <c r="T96" s="11"/>
      <c r="U96" s="11"/>
      <c r="W96" s="11"/>
      <c r="X96" s="11"/>
      <c r="Y96" s="11"/>
      <c r="Z96" s="11"/>
      <c r="AA96" s="11"/>
      <c r="AC96" s="11"/>
      <c r="AD96" s="11"/>
      <c r="AE96" s="19"/>
      <c r="AF96" s="19"/>
      <c r="AG96" s="19"/>
      <c r="AH96" s="19"/>
      <c r="AI96" s="19"/>
      <c r="AJ96" s="19"/>
      <c r="AK96" s="11"/>
      <c r="AL96" s="11"/>
      <c r="AM96" s="11"/>
      <c r="AN96" s="11"/>
      <c r="AO96" s="11"/>
      <c r="AP96" s="11"/>
      <c r="AR96" s="11"/>
      <c r="AS96" s="11"/>
      <c r="AT96" s="11"/>
      <c r="AU96" s="11"/>
      <c r="AV96" s="11"/>
      <c r="AW96" s="11"/>
      <c r="AY96" s="11"/>
      <c r="AZ96" s="11"/>
      <c r="BA96" s="11"/>
      <c r="BB96" s="11"/>
      <c r="BC96" s="11"/>
      <c r="BD96" s="11"/>
    </row>
    <row r="97" spans="1:56" ht="14.25" customHeight="1">
      <c r="A97" s="19"/>
      <c r="B97" s="19"/>
      <c r="C97" s="19"/>
      <c r="D97" s="19"/>
      <c r="E97" s="19"/>
      <c r="F97" s="19"/>
      <c r="G97" s="19"/>
      <c r="H97" s="12"/>
      <c r="I97" s="11"/>
      <c r="J97" s="11"/>
      <c r="K97" s="11"/>
      <c r="L97" s="11"/>
      <c r="M97" s="11"/>
      <c r="P97" s="11"/>
      <c r="Q97" s="11"/>
      <c r="R97" s="11"/>
      <c r="S97" s="11"/>
      <c r="T97" s="11"/>
      <c r="U97" s="11"/>
      <c r="W97" s="11"/>
      <c r="X97" s="11"/>
      <c r="Y97" s="11"/>
      <c r="Z97" s="11"/>
      <c r="AA97" s="11"/>
      <c r="AC97" s="11"/>
      <c r="AD97" s="11"/>
      <c r="AE97" s="19"/>
      <c r="AF97" s="19"/>
      <c r="AG97" s="19"/>
      <c r="AH97" s="19"/>
      <c r="AI97" s="19"/>
      <c r="AJ97" s="19"/>
      <c r="AK97" s="11"/>
      <c r="AL97" s="11"/>
      <c r="AM97" s="11"/>
      <c r="AN97" s="11"/>
      <c r="AO97" s="11"/>
      <c r="AP97" s="11"/>
      <c r="AR97" s="11"/>
      <c r="AS97" s="11"/>
      <c r="AT97" s="11"/>
      <c r="AU97" s="11"/>
      <c r="AV97" s="11"/>
      <c r="AW97" s="11"/>
      <c r="AY97" s="11"/>
      <c r="AZ97" s="11"/>
      <c r="BA97" s="11"/>
      <c r="BB97" s="11"/>
      <c r="BC97" s="11"/>
      <c r="BD97" s="11"/>
    </row>
    <row r="98" spans="1:56" ht="14.25" customHeight="1">
      <c r="A98" s="19"/>
      <c r="B98" s="19"/>
      <c r="C98" s="19"/>
      <c r="D98" s="19"/>
      <c r="E98" s="19"/>
      <c r="F98" s="19"/>
      <c r="G98" s="19"/>
      <c r="H98" s="12"/>
      <c r="I98" s="11"/>
      <c r="J98" s="11"/>
      <c r="K98" s="11"/>
      <c r="L98" s="11"/>
      <c r="M98" s="11"/>
      <c r="P98" s="11"/>
      <c r="Q98" s="11"/>
      <c r="R98" s="11"/>
      <c r="S98" s="11"/>
      <c r="T98" s="11"/>
      <c r="U98" s="11"/>
      <c r="W98" s="11"/>
      <c r="X98" s="11"/>
      <c r="Y98" s="11"/>
      <c r="Z98" s="11"/>
      <c r="AA98" s="11"/>
      <c r="AC98" s="11"/>
      <c r="AD98" s="11"/>
      <c r="AE98" s="19"/>
      <c r="AF98" s="19"/>
      <c r="AG98" s="19"/>
      <c r="AH98" s="19"/>
      <c r="AI98" s="19"/>
      <c r="AJ98" s="19"/>
      <c r="AK98" s="11"/>
      <c r="AL98" s="11"/>
      <c r="AM98" s="11"/>
      <c r="AN98" s="11"/>
      <c r="AO98" s="11"/>
      <c r="AP98" s="11"/>
      <c r="AR98" s="11"/>
      <c r="AS98" s="11"/>
      <c r="AT98" s="11"/>
      <c r="AU98" s="11"/>
      <c r="AV98" s="11"/>
      <c r="AW98" s="11"/>
      <c r="AY98" s="11"/>
      <c r="AZ98" s="11"/>
      <c r="BA98" s="11"/>
      <c r="BB98" s="11"/>
      <c r="BC98" s="11"/>
      <c r="BD98" s="11"/>
    </row>
    <row r="99" spans="1:56" ht="14.25" customHeight="1">
      <c r="A99" s="19"/>
      <c r="B99" s="19"/>
      <c r="C99" s="19"/>
      <c r="D99" s="19"/>
      <c r="E99" s="19"/>
      <c r="F99" s="19"/>
      <c r="G99" s="19"/>
      <c r="H99" s="12"/>
      <c r="I99" s="11"/>
      <c r="J99" s="11"/>
      <c r="K99" s="11"/>
      <c r="L99" s="11"/>
      <c r="M99" s="11"/>
      <c r="P99" s="11"/>
      <c r="Q99" s="11"/>
      <c r="R99" s="11"/>
      <c r="S99" s="11"/>
      <c r="T99" s="11"/>
      <c r="U99" s="11"/>
      <c r="W99" s="11"/>
      <c r="X99" s="11"/>
      <c r="Y99" s="11"/>
      <c r="Z99" s="11"/>
      <c r="AA99" s="11"/>
      <c r="AC99" s="11"/>
      <c r="AD99" s="11"/>
      <c r="AE99" s="19"/>
      <c r="AF99" s="19"/>
      <c r="AG99" s="19"/>
      <c r="AH99" s="19"/>
      <c r="AI99" s="19"/>
      <c r="AJ99" s="19"/>
      <c r="AK99" s="11"/>
      <c r="AL99" s="11"/>
      <c r="AM99" s="11"/>
      <c r="AN99" s="11"/>
      <c r="AO99" s="11"/>
      <c r="AP99" s="11"/>
      <c r="AR99" s="11"/>
      <c r="AS99" s="11"/>
      <c r="AT99" s="11"/>
      <c r="AU99" s="11"/>
      <c r="AV99" s="11"/>
      <c r="AW99" s="11"/>
      <c r="AY99" s="11"/>
      <c r="AZ99" s="11"/>
      <c r="BA99" s="11"/>
      <c r="BB99" s="11"/>
      <c r="BC99" s="11"/>
      <c r="BD99" s="11"/>
    </row>
    <row r="100" spans="1:56" ht="14.25" customHeight="1">
      <c r="A100" s="19"/>
      <c r="B100" s="19"/>
      <c r="C100" s="19"/>
      <c r="D100" s="19"/>
      <c r="E100" s="19"/>
      <c r="F100" s="19"/>
      <c r="G100" s="19"/>
      <c r="H100" s="12"/>
      <c r="I100" s="11"/>
      <c r="J100" s="11"/>
      <c r="K100" s="11"/>
      <c r="L100" s="11"/>
      <c r="M100" s="11"/>
      <c r="P100" s="11"/>
      <c r="Q100" s="11"/>
      <c r="R100" s="11"/>
      <c r="S100" s="11"/>
      <c r="T100" s="11"/>
      <c r="U100" s="11"/>
      <c r="W100" s="11"/>
      <c r="X100" s="11"/>
      <c r="Y100" s="11"/>
      <c r="Z100" s="11"/>
      <c r="AA100" s="11"/>
      <c r="AC100" s="11"/>
      <c r="AD100" s="11"/>
      <c r="AE100" s="19"/>
      <c r="AF100" s="19"/>
      <c r="AG100" s="19"/>
      <c r="AH100" s="19"/>
      <c r="AI100" s="19"/>
      <c r="AJ100" s="19"/>
      <c r="AK100" s="11"/>
      <c r="AL100" s="11"/>
      <c r="AM100" s="11"/>
      <c r="AN100" s="11"/>
      <c r="AO100" s="11"/>
      <c r="AP100" s="11"/>
      <c r="AR100" s="11"/>
      <c r="AS100" s="11"/>
      <c r="AT100" s="11"/>
      <c r="AU100" s="11"/>
      <c r="AV100" s="11"/>
      <c r="AW100" s="11"/>
      <c r="AY100" s="11"/>
      <c r="AZ100" s="11"/>
      <c r="BA100" s="11"/>
      <c r="BB100" s="11"/>
      <c r="BC100" s="11"/>
      <c r="BD100" s="11"/>
    </row>
  </sheetData>
  <dataValidations count="2">
    <dataValidation type="list" allowBlank="1" showErrorMessage="1" sqref="A1">
      <formula1>$H$2:$H$61</formula1>
    </dataValidation>
    <dataValidation type="list" allowBlank="1" showErrorMessage="1" sqref="AE1">
      <formula1>$H$32:$H$61</formula1>
    </dataValidation>
  </dataValidations>
  <hyperlinks>
    <hyperlink ref="O12" r:id="rId1"/>
    <hyperlink ref="O22" r:id="rId2"/>
    <hyperlink ref="O27" r:id="rId3"/>
    <hyperlink ref="V17" r:id="rId4"/>
  </hyperlinks>
  <pageMargins left="0.7" right="0.7" top="0.75" bottom="0.75" header="0" footer="0"/>
  <pageSetup orientation="portrait" useFirstPageNumber="1"/>
  <headerFooter>
    <oddHeader>&amp;L&amp;C&amp;R</oddHeader>
    <oddFooter>&amp;L&amp;C&amp;R</oddFooter>
  </headerFooter>
  <extLst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00B0F0"/>
  </sheetPr>
  <dimension ref="A1:BN100"/>
  <sheetViews>
    <sheetView workbookViewId="0">
      <selection activeCell="A41" sqref="A41"/>
    </sheetView>
  </sheetViews>
  <sheetFormatPr defaultColWidth="8.85546875" defaultRowHeight="15" customHeight="1"/>
  <cols>
    <col min="1" max="1" width="23.7109375" style="57" customWidth="1"/>
    <col min="2" max="6" width="7.7109375" style="57" customWidth="1"/>
    <col min="7" max="7" width="15.140625" style="57" hidden="1" customWidth="1"/>
    <col min="8" max="8" width="27.85546875" style="58" hidden="1" customWidth="1"/>
    <col min="9" max="9" width="19" style="59" hidden="1" customWidth="1"/>
    <col min="10" max="14" width="7.7109375" style="59" hidden="1" customWidth="1"/>
    <col min="15" max="15" width="13.7109375" style="60" hidden="1" customWidth="1"/>
    <col min="16" max="16" width="18" style="59" hidden="1" customWidth="1"/>
    <col min="17" max="21" width="7.7109375" style="59" hidden="1" customWidth="1"/>
    <col min="22" max="22" width="17.5703125" style="60" hidden="1" customWidth="1"/>
    <col min="23" max="23" width="17.7109375" style="59" hidden="1" customWidth="1"/>
    <col min="24" max="24" width="12.85546875" style="59" hidden="1" customWidth="1"/>
    <col min="25" max="28" width="7.7109375" style="59" hidden="1" customWidth="1"/>
    <col min="29" max="29" width="12.7109375" style="60" hidden="1" customWidth="1"/>
    <col min="30" max="30" width="7.7109375" style="59" hidden="1" customWidth="1"/>
    <col min="31" max="34" width="7.7109375" style="57" hidden="1" customWidth="1"/>
    <col min="35" max="35" width="12.85546875" style="57" hidden="1" customWidth="1"/>
    <col min="36" max="36" width="7.7109375" style="57" hidden="1" customWidth="1"/>
    <col min="37" max="37" width="7.7109375" style="59" hidden="1" customWidth="1"/>
    <col min="38" max="38" width="18.42578125" style="59" hidden="1" customWidth="1"/>
    <col min="39" max="43" width="7.7109375" style="59" hidden="1" customWidth="1"/>
    <col min="44" max="44" width="13.28515625" style="60" hidden="1" customWidth="1"/>
    <col min="45" max="45" width="16.7109375" style="60" hidden="1" customWidth="1"/>
    <col min="46" max="50" width="7.7109375" style="59" hidden="1" customWidth="1"/>
    <col min="51" max="51" width="15.42578125" style="60" hidden="1" customWidth="1"/>
    <col min="52" max="52" width="14.42578125" style="60" hidden="1" customWidth="1"/>
    <col min="53" max="57" width="7.7109375" style="59" hidden="1" customWidth="1"/>
    <col min="58" max="58" width="24.42578125" style="117" hidden="1" customWidth="1"/>
    <col min="59" max="59" width="7.7109375" style="57" hidden="1" customWidth="1"/>
    <col min="60" max="60" width="18.140625" style="117" hidden="1" customWidth="1"/>
    <col min="61" max="61" width="7.7109375" style="57" hidden="1" customWidth="1"/>
    <col min="62" max="65" width="8.85546875" style="57" hidden="1" customWidth="1"/>
    <col min="66" max="66" width="17.42578125" style="115" hidden="1" customWidth="1"/>
    <col min="67" max="78" width="0" hidden="1" customWidth="1"/>
  </cols>
  <sheetData>
    <row r="1" spans="1:66" ht="24" customHeight="1" thickBot="1">
      <c r="A1" s="28" t="s">
        <v>613</v>
      </c>
      <c r="B1" s="29"/>
      <c r="C1" s="29"/>
      <c r="D1" s="29"/>
      <c r="E1" s="29"/>
      <c r="F1" s="29"/>
      <c r="G1" s="29"/>
      <c r="H1" s="30"/>
      <c r="I1" s="29"/>
      <c r="J1" s="29"/>
      <c r="K1" s="29"/>
      <c r="L1" s="29"/>
      <c r="M1" s="29"/>
      <c r="N1" s="29"/>
      <c r="O1" s="55"/>
      <c r="P1" s="29"/>
      <c r="Q1" s="29"/>
      <c r="R1" s="29"/>
      <c r="S1" s="29"/>
      <c r="T1" s="29"/>
      <c r="U1" s="29"/>
      <c r="V1" s="55"/>
      <c r="W1" s="29"/>
      <c r="X1" s="29"/>
      <c r="Y1" s="29"/>
      <c r="Z1" s="29"/>
      <c r="AA1" s="29"/>
      <c r="AB1" s="29"/>
      <c r="AC1" s="55"/>
      <c r="AD1" s="29"/>
      <c r="AE1" s="28" t="s">
        <v>319</v>
      </c>
      <c r="AF1" s="29"/>
      <c r="AG1" s="29"/>
      <c r="AH1" s="29"/>
      <c r="AI1" s="29"/>
      <c r="AJ1" s="29"/>
      <c r="AK1" s="29"/>
      <c r="AL1" s="31"/>
      <c r="AM1" s="31"/>
      <c r="AN1" s="31"/>
      <c r="AO1" s="31"/>
      <c r="AP1" s="31"/>
      <c r="AQ1" s="31"/>
      <c r="AR1" s="32"/>
      <c r="AS1" s="32"/>
      <c r="AT1" s="31"/>
      <c r="AU1" s="31"/>
      <c r="AV1" s="31"/>
      <c r="AW1" s="31"/>
      <c r="AX1" s="31"/>
      <c r="AY1" s="32"/>
      <c r="AZ1" s="32"/>
      <c r="BA1" s="31"/>
      <c r="BB1" s="31"/>
      <c r="BC1" s="31"/>
      <c r="BD1" s="31"/>
      <c r="BE1" s="31"/>
    </row>
    <row r="2" spans="1:66" ht="15" hidden="1" customHeight="1" thickBot="1">
      <c r="A2" s="33" t="str">
        <f t="shared" ref="A2:G2" si="0">IF($A$1=$H$2,I2,IF($A$1=$H$3,I7,IF($A$1=$H$4,I12,IF($A$1=$H$5,I17,IF($A$1=$H$6,I22,IF($A$1=$H$7,I27,IF($A$1=$H$8,I32,IF($A$1=$H$9,I37,IF($A$1=$H$10,I42,IF($A$1=$H$11,I47,IF($A$1=$H$12,P2,IF($A$1=$H$13,P7,IF($A$1=$H$14,P12,IF($A$1=$H$15,P17,IF($A$1=$H$16,P22,IF($A$1=$H$17,P27,IF($A$1=$H$18,P32,IF($A$1=$H$19,P37,IF($A$1=$H$20,P42,IF($A$1=$H$21,P47,IF($A$1=$H$21,P52,IF($A$1=$H$22,W2,IF($A$1=$H$23,W7,IF($A$1=$H$24,W12,IF($A$1=$H$25,W17,IF($A$1=$H$26,W22,IF($A$1=$H$27,W27,IF($A$1=$H$28,W32,IF($A$1=$H$29,W37,IF($A$1=$H$30,W42,IF($A$1=$H$31,W47,IF($A$1=$H$32,AL2,IF($A$1=$H$33,AL7,IF($A$1=$H$34,AL12,IF($A$1=$H$35,AL17,IF($A$1=$H$36,AL22,IF($A$1=$H$37,AL27,IF($A$1=$H$38,AL32,IF($A$1=$H$39,AL37,IF($A$1=$H$40,AL42,IF($A$1=$H$41,AL47,IF($A$1=$H$42,AS2,IF($A$1=$H$43,AS7,IF($A$1=$H$44,AS12,IF($A$1=$H$45,AS17,IF($A$1=$H$46,AS22,IF($A$1=$H$47,AS27,IF($A$1=$H$48,AS32,IF($A$1=$H$49,AS37,IF($A$1=$H$50,AS42,IF($A$1=$H$51,AS47,IF($A$1=$H$51,AS52,IF($A$1=$H$52,AZ2,IF($A$1=$H$53,AZ7,IF($A$1=$H$54,AZ12,IF($A$1=$H$55,AZ17,IF($A$1=$H$56,AZ22,IF($A$1=$H$57,AZ27,IF($A$1=$H$58,AZ32,IF($A$1=$H$59,AZ37,IF($A$1=$H$60,AZ42,IF($A$1=$H$61,AZ47))))))))))))))))))))))))))))))))))))))))))))))))))))))))))))))</f>
        <v>59 ਮਾਣ ਸਿੰਘ ਨਿਹੰਗ</v>
      </c>
      <c r="B2" s="33" t="str">
        <f t="shared" si="0"/>
        <v xml:space="preserve">ਸ਼ੇਰ ਸਿੰਘ </v>
      </c>
      <c r="C2" s="33" t="str">
        <f t="shared" si="0"/>
        <v>ਅਰਜਨ ਸਿੰਘ</v>
      </c>
      <c r="D2" s="33">
        <f t="shared" si="0"/>
        <v>1</v>
      </c>
      <c r="E2" s="33">
        <f t="shared" si="0"/>
        <v>1</v>
      </c>
      <c r="F2" s="102">
        <f t="shared" si="0"/>
        <v>1</v>
      </c>
      <c r="G2" s="127" t="str">
        <f t="shared" si="0"/>
        <v>https://serving.photos.photobox.com/032823845d9576a00fc079380d04d84cf033c961ab87959676681d7cfa1751accc32b522.jpg</v>
      </c>
      <c r="H2" s="129" t="str">
        <f>I2</f>
        <v>1 ਗੁਲਾਬ ਰਾਮ ਗਣੇਸਾ ਰਾਮ</v>
      </c>
      <c r="I2" s="139" t="s">
        <v>318</v>
      </c>
      <c r="J2" s="140" t="s">
        <v>320</v>
      </c>
      <c r="K2" s="140" t="s">
        <v>321</v>
      </c>
      <c r="L2" s="211" t="s">
        <v>1334</v>
      </c>
      <c r="M2" s="140">
        <v>1</v>
      </c>
      <c r="N2" s="140">
        <v>1</v>
      </c>
      <c r="O2" s="141" t="s">
        <v>1143</v>
      </c>
      <c r="P2" s="139" t="s">
        <v>322</v>
      </c>
      <c r="Q2" s="140" t="s">
        <v>323</v>
      </c>
      <c r="R2" s="140" t="s">
        <v>324</v>
      </c>
      <c r="S2" s="140" t="s">
        <v>175</v>
      </c>
      <c r="T2" s="140">
        <v>1</v>
      </c>
      <c r="U2" s="140">
        <v>1</v>
      </c>
      <c r="V2" s="141" t="s">
        <v>1146</v>
      </c>
      <c r="W2" s="139" t="s">
        <v>325</v>
      </c>
      <c r="X2" s="140">
        <v>1</v>
      </c>
      <c r="Y2" s="140">
        <v>1</v>
      </c>
      <c r="Z2" s="140">
        <v>1</v>
      </c>
      <c r="AA2" s="140">
        <v>1</v>
      </c>
      <c r="AB2" s="140">
        <v>1</v>
      </c>
      <c r="AC2" s="141" t="s">
        <v>1153</v>
      </c>
      <c r="AD2" s="29"/>
      <c r="AE2" s="33" t="str">
        <f t="shared" ref="AE2:AJ6" si="1">IF($AE$1=$H$32,AL2,IF($AE$1=$H$33,AL7,IF($AE$1=$H$34,AL12,IF($AE$1=$H$35,AL17,IF($AE$1=$H$36,AL22,IF($AE$1=$H$37,AL27,IF($AE$1=$H$38,AL32,IF($AE$1=$H$39,AL37,IF($AE$1=$H$40,AL42,IF($AE$1=$H$41,AL47,IF($AE$1=$H$42,AS2,IF($AE$1=$H$43,AS7,IF($AE$1=$H$44,AS12,IF($AE$1=$H$45,AS17,IF($AE$1=$H$46,AS22,IF($AE$1=$H$47,AS27,IF($AE$1=$H$48,AS32,IF($AE$1=$H$49,AS37,IF($AE$1=$H$50,AS42,IF($AE$1=$H$51,AS47,IF($AE$1=$H$51,AS52,IF($AE$1=$H$52,AZ2,IF($AE$1=$H$53,AZ7,IF($AE$1=$H$54,AZ12,IF($AE$1=$H$55,AZ17,IF($AE$1=$H$56,AZ22,IF($AE$1=$H$57,AZ27,IF($AE$1=$H$58,AZ32,IF($AE$1=$H$59,AZ37,IF($AE$1=$H$60,AZ42,IF($AE$1=$H$61,AZ47)))))))))))))))))))))))))))))))</f>
        <v>32 ਉੱਤਮ ਚੰਦ ਚੰਬਾ ਰਾਮ</v>
      </c>
      <c r="AF2" s="33" t="str">
        <f t="shared" si="1"/>
        <v>ਬੱਸੀ ਬਾਈ</v>
      </c>
      <c r="AG2" s="33">
        <f t="shared" si="1"/>
        <v>1</v>
      </c>
      <c r="AH2" s="33">
        <f t="shared" si="1"/>
        <v>1</v>
      </c>
      <c r="AI2" s="33">
        <f t="shared" si="1"/>
        <v>1</v>
      </c>
      <c r="AJ2" s="33">
        <f t="shared" si="1"/>
        <v>1</v>
      </c>
      <c r="AL2" s="139" t="s">
        <v>326</v>
      </c>
      <c r="AM2" s="140" t="s">
        <v>82</v>
      </c>
      <c r="AN2" s="140">
        <v>1</v>
      </c>
      <c r="AO2" s="140">
        <v>1</v>
      </c>
      <c r="AP2" s="140">
        <v>1</v>
      </c>
      <c r="AQ2" s="140">
        <v>1</v>
      </c>
      <c r="AR2" s="141" t="s">
        <v>1162</v>
      </c>
      <c r="AS2" s="164" t="s">
        <v>327</v>
      </c>
      <c r="AT2" s="140" t="s">
        <v>53</v>
      </c>
      <c r="AU2" s="140">
        <v>1</v>
      </c>
      <c r="AV2" s="140">
        <v>1</v>
      </c>
      <c r="AW2" s="140">
        <v>1</v>
      </c>
      <c r="AX2" s="140">
        <v>1</v>
      </c>
      <c r="AY2" s="141" t="s">
        <v>1172</v>
      </c>
      <c r="AZ2" s="164" t="s">
        <v>328</v>
      </c>
      <c r="BA2" s="140" t="s">
        <v>304</v>
      </c>
      <c r="BB2" s="140">
        <v>1</v>
      </c>
      <c r="BC2" s="140">
        <v>1</v>
      </c>
      <c r="BD2" s="140">
        <v>1</v>
      </c>
      <c r="BE2" s="140">
        <v>1</v>
      </c>
      <c r="BF2" s="168" t="s">
        <v>1179</v>
      </c>
      <c r="BG2" s="169"/>
      <c r="BH2" s="166" t="s">
        <v>616</v>
      </c>
      <c r="BI2" s="5" t="s">
        <v>237</v>
      </c>
      <c r="BJ2" s="5">
        <v>1</v>
      </c>
      <c r="BK2" s="5">
        <v>1</v>
      </c>
      <c r="BL2" s="5">
        <v>1</v>
      </c>
      <c r="BM2" s="5">
        <v>1</v>
      </c>
      <c r="BN2" s="174" t="s">
        <v>1195</v>
      </c>
    </row>
    <row r="3" spans="1:66" ht="14.25" hidden="1" customHeight="1">
      <c r="A3" s="33" t="str">
        <f t="shared" ref="A3:F6" si="2">IF($A$1=$H$2,I3,IF($A$1=$H$3,I8,IF($A$1=$H$4,I13,IF($A$1=$H$5,I18,IF($A$1=$H$6,I23,IF($A$1=$H$7,I28,IF($A$1=$H$8,I33,IF($A$1=$H$9,I38,IF($A$1=$H$10,I43,IF($A$1=$H$11,I48,IF($A$1=$H$12,P3,IF($A$1=$H$13,P8,IF($A$1=$H$14,P13,IF($A$1=$H$15,P18,IF($A$1=$H$16,P23,IF($A$1=$H$17,P28,IF($A$1=$H$18,P33,IF($A$1=$H$19,P38,IF($A$1=$H$20,P43,IF($A$1=$H$21,P48,IF($A$1=$H$21,P53,IF($A$1=$H$22,W3,IF($A$1=$H$23,W8,IF($A$1=$H$24,W13,IF($A$1=$H$25,W18,IF($A$1=$H$26,W23,IF($A$1=$H$27,W28,IF($A$1=$H$28,W33,IF($A$1=$H$29,W38,IF($A$1=$H$30,W43,IF($A$1=$H$31,W48,IF($A$1=$H$32,AL3,IF($A$1=$H$33,AL8,IF($A$1=$H$34,AL13,IF($A$1=$H$35,AL18,IF($A$1=$H$36,AL23,IF($A$1=$H$37,AL28,IF($A$1=$H$38,AL33,IF($A$1=$H$39,AL38,IF($A$1=$H$40,AL43,IF($A$1=$H$41,AL48,IF($A$1=$H$42,AS3,IF($A$1=$H$43,AS8,IF($A$1=$H$44,AS13,IF($A$1=$H$45,AS18,IF($A$1=$H$46,AS23,IF($A$1=$H$47,AS28,IF($A$1=$H$48,AS33,IF($A$1=$H$49,AS38,IF($A$1=$H$50,AS43,IF($A$1=$H$51,AS48,IF($A$1=$H$51,AS53,IF($A$1=$H$52,AZ3,IF($A$1=$H$53,AZ8,IF($A$1=$H$54,AZ13,IF($A$1=$H$55,AZ18,IF($A$1=$H$56,AZ23,IF($A$1=$H$57,AZ28,IF($A$1=$H$58,AZ33,IF($A$1=$H$59,AZ38,IF($A$1=$H$60,AZ43,IF($A$1=$H$61,AZ48))))))))))))))))))))))))))))))))))))))))))))))))))))))))))))))</f>
        <v>ਮਹਿੰਦਰ ਸਿੰਘ</v>
      </c>
      <c r="B3" s="33" t="str">
        <f t="shared" si="2"/>
        <v>ਕਰਮਜੀਤ</v>
      </c>
      <c r="C3" s="33" t="str">
        <f t="shared" si="2"/>
        <v>ਵਿਪਨ ਕੁਮਾਰ</v>
      </c>
      <c r="D3" s="33" t="str">
        <f t="shared" si="2"/>
        <v>ਰਾਕੇਸ਼ ਚੌਧਰੀ</v>
      </c>
      <c r="E3" s="33">
        <f t="shared" si="2"/>
        <v>1</v>
      </c>
      <c r="F3" s="33">
        <f t="shared" si="2"/>
        <v>1</v>
      </c>
      <c r="G3" s="93"/>
      <c r="H3" s="130" t="str">
        <f>I7</f>
        <v>2 ਦੇਸ ਰਾਜ</v>
      </c>
      <c r="I3" s="142" t="s">
        <v>329</v>
      </c>
      <c r="J3" s="18">
        <v>1</v>
      </c>
      <c r="K3" s="18">
        <v>1</v>
      </c>
      <c r="L3" s="18">
        <v>1</v>
      </c>
      <c r="M3" s="18">
        <v>1</v>
      </c>
      <c r="N3" s="18">
        <v>1</v>
      </c>
      <c r="O3" s="18">
        <v>1</v>
      </c>
      <c r="P3" s="142" t="s">
        <v>194</v>
      </c>
      <c r="Q3" s="120" t="s">
        <v>75</v>
      </c>
      <c r="R3" s="18">
        <v>1</v>
      </c>
      <c r="S3" s="18">
        <v>1</v>
      </c>
      <c r="T3" s="18">
        <v>1</v>
      </c>
      <c r="U3" s="18">
        <v>1</v>
      </c>
      <c r="V3" s="18">
        <v>1</v>
      </c>
      <c r="W3" s="142" t="s">
        <v>331</v>
      </c>
      <c r="X3" s="18" t="s">
        <v>332</v>
      </c>
      <c r="Y3" s="120" t="s">
        <v>1362</v>
      </c>
      <c r="Z3" s="120" t="s">
        <v>941</v>
      </c>
      <c r="AA3" s="120" t="s">
        <v>1331</v>
      </c>
      <c r="AB3" s="18">
        <v>1</v>
      </c>
      <c r="AC3" s="143"/>
      <c r="AD3" s="29"/>
      <c r="AE3" s="33" t="str">
        <f t="shared" si="1"/>
        <v>ਬਲਦੇਵ ਕ੍ਰਿਸ਼ਨ</v>
      </c>
      <c r="AF3" s="33" t="str">
        <f t="shared" si="1"/>
        <v>ਪਰਮਜੀਤ</v>
      </c>
      <c r="AG3" s="33">
        <f t="shared" si="1"/>
        <v>1</v>
      </c>
      <c r="AH3" s="33">
        <f t="shared" si="1"/>
        <v>1</v>
      </c>
      <c r="AI3" s="33">
        <f t="shared" si="1"/>
        <v>1</v>
      </c>
      <c r="AJ3" s="33">
        <f t="shared" si="1"/>
        <v>1</v>
      </c>
      <c r="AL3" s="142" t="s">
        <v>264</v>
      </c>
      <c r="AM3" s="18" t="s">
        <v>107</v>
      </c>
      <c r="AN3" s="18" t="s">
        <v>334</v>
      </c>
      <c r="AO3" s="18" t="s">
        <v>93</v>
      </c>
      <c r="AP3" s="18">
        <v>1</v>
      </c>
      <c r="AQ3" s="18">
        <v>1</v>
      </c>
      <c r="AR3" s="18">
        <v>1</v>
      </c>
      <c r="AS3" s="165" t="s">
        <v>335</v>
      </c>
      <c r="AT3" s="18">
        <v>1</v>
      </c>
      <c r="AU3" s="18">
        <v>1</v>
      </c>
      <c r="AV3" s="18">
        <v>1</v>
      </c>
      <c r="AW3" s="18">
        <v>1</v>
      </c>
      <c r="AX3" s="18">
        <v>1</v>
      </c>
      <c r="AY3" s="18">
        <v>1</v>
      </c>
      <c r="AZ3" s="165" t="s">
        <v>336</v>
      </c>
      <c r="BA3" s="18" t="s">
        <v>207</v>
      </c>
      <c r="BB3" s="18">
        <v>1</v>
      </c>
      <c r="BC3" s="18">
        <v>1</v>
      </c>
      <c r="BD3" s="18">
        <v>1</v>
      </c>
      <c r="BE3" s="18">
        <v>1</v>
      </c>
      <c r="BF3" s="18">
        <v>1</v>
      </c>
      <c r="BG3" s="171"/>
      <c r="BH3" s="165" t="s">
        <v>626</v>
      </c>
      <c r="BI3" s="5" t="s">
        <v>284</v>
      </c>
      <c r="BJ3" s="5" t="s">
        <v>566</v>
      </c>
      <c r="BK3" s="5" t="s">
        <v>314</v>
      </c>
      <c r="BL3" s="5">
        <v>1</v>
      </c>
      <c r="BM3" s="5">
        <v>1</v>
      </c>
      <c r="BN3" s="18">
        <v>1</v>
      </c>
    </row>
    <row r="4" spans="1:66" ht="14.25" hidden="1" customHeight="1">
      <c r="A4" s="33" t="str">
        <f t="shared" si="2"/>
        <v>ਦਰਸ਼ਨ ਸਿੰਘ</v>
      </c>
      <c r="B4" s="33" t="str">
        <f t="shared" si="2"/>
        <v xml:space="preserve">ਪ੍ਰਕਾਸ਼ ਰਾਣੀ </v>
      </c>
      <c r="C4" s="33" t="str">
        <f t="shared" si="2"/>
        <v>ਸਾਜਨ ਕੁਮਾਰ</v>
      </c>
      <c r="D4" s="33">
        <f t="shared" si="2"/>
        <v>1</v>
      </c>
      <c r="E4" s="33">
        <f t="shared" si="2"/>
        <v>1</v>
      </c>
      <c r="F4" s="33">
        <f t="shared" si="2"/>
        <v>1</v>
      </c>
      <c r="G4" s="93"/>
      <c r="H4" s="130" t="str">
        <f>I12</f>
        <v xml:space="preserve">3 ਲਛਮਣ ਰਾਮ </v>
      </c>
      <c r="I4" s="212" t="s">
        <v>184</v>
      </c>
      <c r="J4" s="18">
        <v>1</v>
      </c>
      <c r="K4" s="18">
        <v>1</v>
      </c>
      <c r="L4" s="18">
        <v>1</v>
      </c>
      <c r="M4" s="18">
        <v>1</v>
      </c>
      <c r="N4" s="18">
        <v>1</v>
      </c>
      <c r="O4" s="18">
        <v>1</v>
      </c>
      <c r="P4" s="142" t="s">
        <v>157</v>
      </c>
      <c r="Q4" s="120" t="s">
        <v>394</v>
      </c>
      <c r="R4" s="18">
        <v>1</v>
      </c>
      <c r="S4" s="18">
        <v>1</v>
      </c>
      <c r="T4" s="18">
        <v>1</v>
      </c>
      <c r="U4" s="18">
        <v>1</v>
      </c>
      <c r="V4" s="18">
        <v>1</v>
      </c>
      <c r="W4" s="142">
        <v>3</v>
      </c>
      <c r="X4" s="18">
        <v>1</v>
      </c>
      <c r="Y4" s="18">
        <v>1</v>
      </c>
      <c r="Z4" s="18">
        <v>1</v>
      </c>
      <c r="AA4" s="18">
        <v>1</v>
      </c>
      <c r="AB4" s="18">
        <v>1</v>
      </c>
      <c r="AC4" s="143"/>
      <c r="AD4" s="29"/>
      <c r="AE4" s="33" t="str">
        <f t="shared" si="1"/>
        <v>ਪੂਰਨ ਪ੍ਰਕਾਸ਼</v>
      </c>
      <c r="AF4" s="33">
        <f t="shared" si="1"/>
        <v>1</v>
      </c>
      <c r="AG4" s="33">
        <f t="shared" si="1"/>
        <v>1</v>
      </c>
      <c r="AH4" s="33">
        <f t="shared" si="1"/>
        <v>1</v>
      </c>
      <c r="AI4" s="33">
        <f t="shared" si="1"/>
        <v>1</v>
      </c>
      <c r="AJ4" s="33">
        <f t="shared" si="1"/>
        <v>1</v>
      </c>
      <c r="AL4" s="142" t="s">
        <v>339</v>
      </c>
      <c r="AM4" s="18" t="s">
        <v>164</v>
      </c>
      <c r="AN4" s="18"/>
      <c r="AO4" s="18">
        <v>1</v>
      </c>
      <c r="AP4" s="18">
        <v>1</v>
      </c>
      <c r="AQ4" s="18">
        <v>1</v>
      </c>
      <c r="AR4" s="18">
        <v>1</v>
      </c>
      <c r="AS4" s="165" t="s">
        <v>340</v>
      </c>
      <c r="AT4" s="18">
        <v>1</v>
      </c>
      <c r="AU4" s="18">
        <v>1</v>
      </c>
      <c r="AV4" s="18">
        <v>1</v>
      </c>
      <c r="AW4" s="18">
        <v>1</v>
      </c>
      <c r="AX4" s="18">
        <v>1</v>
      </c>
      <c r="AY4" s="18">
        <v>1</v>
      </c>
      <c r="AZ4" s="165" t="s">
        <v>124</v>
      </c>
      <c r="BA4" s="18" t="s">
        <v>341</v>
      </c>
      <c r="BB4" s="18" t="s">
        <v>342</v>
      </c>
      <c r="BC4" s="18">
        <v>1</v>
      </c>
      <c r="BD4" s="18">
        <v>1</v>
      </c>
      <c r="BE4" s="18">
        <v>1</v>
      </c>
      <c r="BF4" s="18">
        <v>1</v>
      </c>
      <c r="BG4" s="171"/>
      <c r="BH4" s="165" t="s">
        <v>89</v>
      </c>
      <c r="BI4" s="5" t="s">
        <v>388</v>
      </c>
      <c r="BJ4" s="5" t="s">
        <v>634</v>
      </c>
      <c r="BK4" s="5">
        <v>1</v>
      </c>
      <c r="BL4" s="5">
        <v>1</v>
      </c>
      <c r="BM4" s="5">
        <v>1</v>
      </c>
      <c r="BN4" s="18">
        <v>1</v>
      </c>
    </row>
    <row r="5" spans="1:66" ht="14.25" hidden="1" customHeight="1">
      <c r="A5" s="33" t="str">
        <f t="shared" si="2"/>
        <v>ਰਾਜਨ ਕੁਮਾਰ</v>
      </c>
      <c r="B5" s="33">
        <f t="shared" si="2"/>
        <v>1</v>
      </c>
      <c r="C5" s="33">
        <f t="shared" si="2"/>
        <v>1</v>
      </c>
      <c r="D5" s="33">
        <f t="shared" si="2"/>
        <v>1</v>
      </c>
      <c r="E5" s="33">
        <f t="shared" si="2"/>
        <v>1</v>
      </c>
      <c r="F5" s="33">
        <f t="shared" si="2"/>
        <v>1</v>
      </c>
      <c r="G5" s="93"/>
      <c r="H5" s="130" t="str">
        <f>I17</f>
        <v>4 ਕਮਲਦੀਪ ਪੁੱਤਰ ਹਰੀ ਚੰਦ</v>
      </c>
      <c r="I5" s="142">
        <v>4</v>
      </c>
      <c r="J5" s="18">
        <v>1</v>
      </c>
      <c r="K5" s="18">
        <v>1</v>
      </c>
      <c r="L5" s="18">
        <v>1</v>
      </c>
      <c r="M5" s="18">
        <v>1</v>
      </c>
      <c r="N5" s="18">
        <v>1</v>
      </c>
      <c r="O5" s="18">
        <v>1</v>
      </c>
      <c r="P5" s="142" t="s">
        <v>89</v>
      </c>
      <c r="Q5" s="18" t="s">
        <v>344</v>
      </c>
      <c r="R5" s="18" t="s">
        <v>345</v>
      </c>
      <c r="S5" s="18">
        <v>1</v>
      </c>
      <c r="T5" s="18">
        <v>1</v>
      </c>
      <c r="U5" s="18">
        <v>1</v>
      </c>
      <c r="V5" s="18">
        <v>1</v>
      </c>
      <c r="W5" s="142" t="s">
        <v>346</v>
      </c>
      <c r="X5" s="18" t="s">
        <v>271</v>
      </c>
      <c r="Y5" s="120" t="s">
        <v>1332</v>
      </c>
      <c r="Z5" s="120" t="s">
        <v>1363</v>
      </c>
      <c r="AA5" s="18">
        <v>1</v>
      </c>
      <c r="AB5" s="18">
        <v>1</v>
      </c>
      <c r="AC5" s="143"/>
      <c r="AD5" s="29"/>
      <c r="AE5" s="33">
        <f t="shared" si="1"/>
        <v>9</v>
      </c>
      <c r="AF5" s="33">
        <f t="shared" si="1"/>
        <v>1</v>
      </c>
      <c r="AG5" s="33">
        <f t="shared" si="1"/>
        <v>1</v>
      </c>
      <c r="AH5" s="33">
        <f t="shared" si="1"/>
        <v>1</v>
      </c>
      <c r="AI5" s="33">
        <f t="shared" si="1"/>
        <v>1</v>
      </c>
      <c r="AJ5" s="33">
        <f t="shared" si="1"/>
        <v>1</v>
      </c>
      <c r="AL5" s="142" t="s">
        <v>55</v>
      </c>
      <c r="AM5" s="18" t="s">
        <v>347</v>
      </c>
      <c r="AN5" s="18">
        <v>1</v>
      </c>
      <c r="AO5" s="18">
        <v>1</v>
      </c>
      <c r="AP5" s="18">
        <v>1</v>
      </c>
      <c r="AQ5" s="18">
        <v>1</v>
      </c>
      <c r="AR5" s="18">
        <v>1</v>
      </c>
      <c r="AS5" s="165">
        <v>4</v>
      </c>
      <c r="AT5" s="18">
        <v>1</v>
      </c>
      <c r="AU5" s="18">
        <v>1</v>
      </c>
      <c r="AV5" s="18">
        <v>1</v>
      </c>
      <c r="AW5" s="18">
        <v>1</v>
      </c>
      <c r="AX5" s="18">
        <v>1</v>
      </c>
      <c r="AY5" s="18">
        <v>1</v>
      </c>
      <c r="AZ5" s="165" t="s">
        <v>348</v>
      </c>
      <c r="BA5" s="18" t="s">
        <v>349</v>
      </c>
      <c r="BB5" s="18" t="s">
        <v>350</v>
      </c>
      <c r="BC5" s="18" t="s">
        <v>351</v>
      </c>
      <c r="BD5" s="18" t="s">
        <v>352</v>
      </c>
      <c r="BE5" s="18" t="s">
        <v>353</v>
      </c>
      <c r="BF5" s="18">
        <v>1</v>
      </c>
      <c r="BG5" s="171"/>
      <c r="BH5" s="165"/>
      <c r="BI5" s="5"/>
      <c r="BJ5" s="5"/>
      <c r="BK5" s="5"/>
      <c r="BL5" s="5">
        <v>1</v>
      </c>
      <c r="BM5" s="5">
        <v>1</v>
      </c>
      <c r="BN5" s="18">
        <v>1</v>
      </c>
    </row>
    <row r="6" spans="1:66" ht="14.25" hidden="1" customHeight="1">
      <c r="A6" s="33">
        <f t="shared" si="2"/>
        <v>45</v>
      </c>
      <c r="B6" s="33">
        <f t="shared" si="2"/>
        <v>1</v>
      </c>
      <c r="C6" s="33">
        <f t="shared" si="2"/>
        <v>1</v>
      </c>
      <c r="D6" s="33">
        <f t="shared" si="2"/>
        <v>1</v>
      </c>
      <c r="E6" s="33">
        <f t="shared" si="2"/>
        <v>1</v>
      </c>
      <c r="F6" s="33">
        <f t="shared" si="2"/>
        <v>1</v>
      </c>
      <c r="G6" s="93"/>
      <c r="H6" s="131" t="str">
        <f>I22</f>
        <v>5 ਅਮੀਰ ਚੰਦ ਲਛਮਣ ਰਾਮ</v>
      </c>
      <c r="I6" s="142">
        <v>5</v>
      </c>
      <c r="J6" s="18">
        <v>1</v>
      </c>
      <c r="K6" s="18">
        <v>1</v>
      </c>
      <c r="L6" s="18">
        <v>1</v>
      </c>
      <c r="M6" s="18">
        <v>1</v>
      </c>
      <c r="N6" s="18">
        <v>1</v>
      </c>
      <c r="O6" s="18">
        <v>1</v>
      </c>
      <c r="P6" s="142" t="s">
        <v>212</v>
      </c>
      <c r="Q6" s="18" t="s">
        <v>355</v>
      </c>
      <c r="R6" s="18">
        <v>1</v>
      </c>
      <c r="S6" s="18">
        <v>1</v>
      </c>
      <c r="T6" s="18">
        <v>1</v>
      </c>
      <c r="U6" s="18">
        <v>1</v>
      </c>
      <c r="V6" s="18">
        <v>1</v>
      </c>
      <c r="W6" s="142">
        <v>5</v>
      </c>
      <c r="X6" s="18">
        <v>1</v>
      </c>
      <c r="Y6" s="18">
        <v>1</v>
      </c>
      <c r="Z6" s="18">
        <v>1</v>
      </c>
      <c r="AA6" s="18">
        <v>1</v>
      </c>
      <c r="AB6" s="18">
        <v>1</v>
      </c>
      <c r="AC6" s="143"/>
      <c r="AD6" s="29"/>
      <c r="AE6" s="33">
        <f t="shared" si="1"/>
        <v>10</v>
      </c>
      <c r="AF6" s="33">
        <f t="shared" si="1"/>
        <v>1</v>
      </c>
      <c r="AG6" s="33">
        <f t="shared" si="1"/>
        <v>1</v>
      </c>
      <c r="AH6" s="33">
        <f t="shared" si="1"/>
        <v>1</v>
      </c>
      <c r="AI6" s="33">
        <f t="shared" si="1"/>
        <v>1</v>
      </c>
      <c r="AJ6" s="33">
        <f t="shared" si="1"/>
        <v>1</v>
      </c>
      <c r="AL6" s="142">
        <v>5</v>
      </c>
      <c r="AM6" s="18">
        <v>1</v>
      </c>
      <c r="AN6" s="18">
        <v>1</v>
      </c>
      <c r="AO6" s="18">
        <v>1</v>
      </c>
      <c r="AP6" s="18">
        <v>1</v>
      </c>
      <c r="AQ6" s="18">
        <v>1</v>
      </c>
      <c r="AR6" s="18">
        <v>1</v>
      </c>
      <c r="AS6" s="165">
        <v>5</v>
      </c>
      <c r="AT6" s="18">
        <v>1</v>
      </c>
      <c r="AU6" s="18">
        <v>1</v>
      </c>
      <c r="AV6" s="18">
        <v>1</v>
      </c>
      <c r="AW6" s="18">
        <v>1</v>
      </c>
      <c r="AX6" s="18">
        <v>1</v>
      </c>
      <c r="AY6" s="18">
        <v>1</v>
      </c>
      <c r="AZ6" s="165">
        <v>5</v>
      </c>
      <c r="BA6" s="18">
        <v>1</v>
      </c>
      <c r="BB6" s="18">
        <v>1</v>
      </c>
      <c r="BC6" s="18">
        <v>1</v>
      </c>
      <c r="BD6" s="18">
        <v>1</v>
      </c>
      <c r="BE6" s="18">
        <v>1</v>
      </c>
      <c r="BF6" s="18">
        <v>1</v>
      </c>
      <c r="BG6" s="171"/>
      <c r="BH6" s="165"/>
      <c r="BI6" s="5"/>
      <c r="BJ6" s="5"/>
      <c r="BK6" s="5"/>
      <c r="BL6" s="5">
        <v>1</v>
      </c>
      <c r="BM6" s="5">
        <v>1</v>
      </c>
      <c r="BN6" s="18">
        <v>1</v>
      </c>
    </row>
    <row r="7" spans="1:66" ht="14.25" hidden="1" customHeight="1">
      <c r="A7" s="35"/>
      <c r="B7" s="35"/>
      <c r="C7" s="35"/>
      <c r="D7" s="35"/>
      <c r="E7" s="35"/>
      <c r="F7" s="35"/>
      <c r="G7" s="35"/>
      <c r="H7" s="131" t="str">
        <f>I27</f>
        <v>6 ਰਾਮ ਚੰਦ ਲਛਮਣ ਰਾਮ</v>
      </c>
      <c r="I7" s="144" t="s">
        <v>330</v>
      </c>
      <c r="J7" s="18" t="s">
        <v>357</v>
      </c>
      <c r="K7" s="18" t="s">
        <v>358</v>
      </c>
      <c r="L7" s="18">
        <v>1</v>
      </c>
      <c r="M7" s="18">
        <v>1</v>
      </c>
      <c r="N7" s="18">
        <v>1</v>
      </c>
      <c r="O7" s="143" t="s">
        <v>1138</v>
      </c>
      <c r="P7" s="144" t="s">
        <v>359</v>
      </c>
      <c r="Q7" s="18" t="s">
        <v>360</v>
      </c>
      <c r="R7" s="18" t="s">
        <v>222</v>
      </c>
      <c r="S7" s="18"/>
      <c r="T7" s="18">
        <v>1</v>
      </c>
      <c r="U7" s="18">
        <v>1</v>
      </c>
      <c r="V7" s="145" t="s">
        <v>1415</v>
      </c>
      <c r="W7" s="144" t="s">
        <v>361</v>
      </c>
      <c r="X7" s="18">
        <v>1</v>
      </c>
      <c r="Y7" s="18">
        <v>1</v>
      </c>
      <c r="Z7" s="18">
        <v>1</v>
      </c>
      <c r="AA7" s="18">
        <v>1</v>
      </c>
      <c r="AB7" s="18">
        <v>1</v>
      </c>
      <c r="AC7" s="143" t="s">
        <v>1154</v>
      </c>
      <c r="AD7" s="29"/>
      <c r="AE7" s="35"/>
      <c r="AF7" s="35"/>
      <c r="AG7" s="35"/>
      <c r="AH7" s="35"/>
      <c r="AI7" s="35"/>
      <c r="AJ7" s="35"/>
      <c r="AL7" s="144" t="s">
        <v>319</v>
      </c>
      <c r="AM7" s="18" t="s">
        <v>241</v>
      </c>
      <c r="AN7" s="18">
        <v>1</v>
      </c>
      <c r="AO7" s="18">
        <v>1</v>
      </c>
      <c r="AP7" s="18">
        <v>1</v>
      </c>
      <c r="AQ7" s="18">
        <v>1</v>
      </c>
      <c r="AR7" s="143" t="s">
        <v>1163</v>
      </c>
      <c r="AS7" s="166" t="s">
        <v>362</v>
      </c>
      <c r="AT7" s="18">
        <v>1</v>
      </c>
      <c r="AU7" s="18">
        <v>1</v>
      </c>
      <c r="AV7" s="18">
        <v>1</v>
      </c>
      <c r="AW7" s="18">
        <v>1</v>
      </c>
      <c r="AX7" s="18">
        <v>1</v>
      </c>
      <c r="AY7" s="145">
        <v>55</v>
      </c>
      <c r="AZ7" s="166" t="s">
        <v>363</v>
      </c>
      <c r="BA7" s="18">
        <v>1</v>
      </c>
      <c r="BB7" s="18">
        <v>1</v>
      </c>
      <c r="BC7" s="18">
        <v>1</v>
      </c>
      <c r="BD7" s="18">
        <v>1</v>
      </c>
      <c r="BE7" s="18">
        <v>1</v>
      </c>
      <c r="BF7" s="170" t="s">
        <v>1180</v>
      </c>
      <c r="BG7" s="171"/>
      <c r="BH7" s="166" t="s">
        <v>364</v>
      </c>
      <c r="BI7" s="5">
        <v>1</v>
      </c>
      <c r="BJ7" s="5">
        <v>1</v>
      </c>
      <c r="BK7" s="5">
        <v>1</v>
      </c>
      <c r="BL7" s="5">
        <v>1</v>
      </c>
      <c r="BM7" s="5">
        <v>1</v>
      </c>
      <c r="BN7" s="174" t="s">
        <v>1188</v>
      </c>
    </row>
    <row r="8" spans="1:66" ht="14.25" hidden="1" customHeight="1">
      <c r="A8" s="35"/>
      <c r="B8" s="35"/>
      <c r="C8" s="35"/>
      <c r="D8" s="35"/>
      <c r="E8" s="35"/>
      <c r="F8" s="35"/>
      <c r="G8" s="35"/>
      <c r="H8" s="132" t="str">
        <f>I32</f>
        <v xml:space="preserve">7 ਸਾਬੂ ਰਾਮ </v>
      </c>
      <c r="I8" s="142" t="s">
        <v>366</v>
      </c>
      <c r="J8" s="18" t="s">
        <v>367</v>
      </c>
      <c r="K8" s="18" t="s">
        <v>368</v>
      </c>
      <c r="L8" s="18" t="s">
        <v>369</v>
      </c>
      <c r="M8" s="18" t="s">
        <v>370</v>
      </c>
      <c r="N8" s="18" t="s">
        <v>223</v>
      </c>
      <c r="O8" s="18">
        <v>1</v>
      </c>
      <c r="P8" s="142" t="s">
        <v>112</v>
      </c>
      <c r="Q8" s="18">
        <v>1</v>
      </c>
      <c r="R8" s="18">
        <v>1</v>
      </c>
      <c r="S8" s="18">
        <v>1</v>
      </c>
      <c r="T8" s="18">
        <v>1</v>
      </c>
      <c r="U8" s="18">
        <v>1</v>
      </c>
      <c r="V8" s="18">
        <v>1</v>
      </c>
      <c r="W8" s="142" t="s">
        <v>371</v>
      </c>
      <c r="X8" s="18" t="s">
        <v>372</v>
      </c>
      <c r="Y8" s="120" t="s">
        <v>1364</v>
      </c>
      <c r="Z8" s="18">
        <v>1</v>
      </c>
      <c r="AA8" s="18">
        <v>1</v>
      </c>
      <c r="AB8" s="18">
        <v>1</v>
      </c>
      <c r="AC8" s="143"/>
      <c r="AD8" s="29"/>
      <c r="AE8" s="35"/>
      <c r="AF8" s="35"/>
      <c r="AG8" s="35"/>
      <c r="AH8" s="35"/>
      <c r="AI8" s="35"/>
      <c r="AJ8" s="35"/>
      <c r="AL8" s="142" t="s">
        <v>333</v>
      </c>
      <c r="AM8" s="18" t="s">
        <v>163</v>
      </c>
      <c r="AN8" s="18">
        <v>1</v>
      </c>
      <c r="AO8" s="18">
        <v>1</v>
      </c>
      <c r="AP8" s="18">
        <v>1</v>
      </c>
      <c r="AQ8" s="18">
        <v>1</v>
      </c>
      <c r="AR8" s="18">
        <v>1</v>
      </c>
      <c r="AS8" s="165" t="s">
        <v>373</v>
      </c>
      <c r="AT8" s="18">
        <v>1</v>
      </c>
      <c r="AU8" s="18" t="s">
        <v>147</v>
      </c>
      <c r="AV8" s="18">
        <v>1</v>
      </c>
      <c r="AW8" s="18">
        <v>1</v>
      </c>
      <c r="AX8" s="18">
        <v>1</v>
      </c>
      <c r="AY8" s="18">
        <v>1</v>
      </c>
      <c r="AZ8" s="165" t="s">
        <v>338</v>
      </c>
      <c r="BA8" s="18">
        <v>1</v>
      </c>
      <c r="BB8" s="18" t="s">
        <v>374</v>
      </c>
      <c r="BC8" s="18" t="s">
        <v>375</v>
      </c>
      <c r="BD8" s="18" t="s">
        <v>335</v>
      </c>
      <c r="BE8" s="18" t="s">
        <v>376</v>
      </c>
      <c r="BF8" s="18">
        <v>1</v>
      </c>
      <c r="BG8" s="171"/>
      <c r="BH8" s="165" t="s">
        <v>377</v>
      </c>
      <c r="BI8" s="5" t="s">
        <v>150</v>
      </c>
      <c r="BJ8" s="5" t="s">
        <v>378</v>
      </c>
      <c r="BK8" s="5" t="s">
        <v>161</v>
      </c>
      <c r="BL8" s="5">
        <v>1</v>
      </c>
      <c r="BM8" s="5">
        <v>1</v>
      </c>
      <c r="BN8" s="18">
        <v>1</v>
      </c>
    </row>
    <row r="9" spans="1:66" ht="14.25" hidden="1" customHeight="1">
      <c r="A9" s="35"/>
      <c r="B9" s="35"/>
      <c r="C9" s="35"/>
      <c r="D9" s="35"/>
      <c r="E9" s="35"/>
      <c r="F9" s="35"/>
      <c r="G9" s="35"/>
      <c r="H9" s="133" t="str">
        <f>I37</f>
        <v>8 ਸਤਨਾਮ ਦਾਸ ਮੁਨਸੀ ਰਾਮ</v>
      </c>
      <c r="I9" s="142" t="s">
        <v>380</v>
      </c>
      <c r="J9" s="18" t="s">
        <v>381</v>
      </c>
      <c r="K9" s="18" t="s">
        <v>52</v>
      </c>
      <c r="L9" s="18" t="s">
        <v>332</v>
      </c>
      <c r="M9" s="18" t="s">
        <v>382</v>
      </c>
      <c r="N9" s="18" t="s">
        <v>383</v>
      </c>
      <c r="O9" s="18">
        <v>1</v>
      </c>
      <c r="P9" s="142">
        <v>8</v>
      </c>
      <c r="Q9" s="18">
        <v>1</v>
      </c>
      <c r="R9" s="18">
        <v>1</v>
      </c>
      <c r="S9" s="18">
        <v>1</v>
      </c>
      <c r="T9" s="18">
        <v>1</v>
      </c>
      <c r="U9" s="18">
        <v>1</v>
      </c>
      <c r="V9" s="18">
        <v>1</v>
      </c>
      <c r="W9" s="142" t="s">
        <v>384</v>
      </c>
      <c r="X9" s="18" t="s">
        <v>175</v>
      </c>
      <c r="Y9" s="18">
        <v>1</v>
      </c>
      <c r="Z9" s="18">
        <v>1</v>
      </c>
      <c r="AA9" s="18">
        <v>1</v>
      </c>
      <c r="AB9" s="18">
        <v>1</v>
      </c>
      <c r="AC9" s="143"/>
      <c r="AD9" s="29"/>
      <c r="AE9" s="35"/>
      <c r="AF9" s="35"/>
      <c r="AG9" s="35"/>
      <c r="AH9" s="35"/>
      <c r="AI9" s="35"/>
      <c r="AJ9" s="35"/>
      <c r="AL9" s="142" t="s">
        <v>338</v>
      </c>
      <c r="AM9" s="18">
        <v>1</v>
      </c>
      <c r="AN9" s="18">
        <v>1</v>
      </c>
      <c r="AO9" s="18">
        <v>1</v>
      </c>
      <c r="AP9" s="18">
        <v>1</v>
      </c>
      <c r="AQ9" s="18">
        <v>1</v>
      </c>
      <c r="AR9" s="18">
        <v>1</v>
      </c>
      <c r="AS9" s="165" t="s">
        <v>60</v>
      </c>
      <c r="AT9" s="18">
        <v>1</v>
      </c>
      <c r="AU9" s="18">
        <v>1</v>
      </c>
      <c r="AV9" s="18">
        <v>1</v>
      </c>
      <c r="AW9" s="18">
        <v>1</v>
      </c>
      <c r="AX9" s="18">
        <v>1</v>
      </c>
      <c r="AY9" s="18">
        <v>1</v>
      </c>
      <c r="AZ9" s="165" t="s">
        <v>89</v>
      </c>
      <c r="BA9" s="18" t="s">
        <v>385</v>
      </c>
      <c r="BB9" s="18" t="s">
        <v>386</v>
      </c>
      <c r="BC9" s="18" t="s">
        <v>387</v>
      </c>
      <c r="BD9" s="18">
        <v>1</v>
      </c>
      <c r="BE9" s="18">
        <v>1</v>
      </c>
      <c r="BF9" s="18">
        <v>1</v>
      </c>
      <c r="BG9" s="171"/>
      <c r="BH9" s="165" t="s">
        <v>267</v>
      </c>
      <c r="BI9" s="5" t="s">
        <v>388</v>
      </c>
      <c r="BJ9" s="5" t="s">
        <v>389</v>
      </c>
      <c r="BK9" s="5" t="s">
        <v>90</v>
      </c>
      <c r="BL9" s="5" t="s">
        <v>334</v>
      </c>
      <c r="BM9" s="5">
        <v>1</v>
      </c>
      <c r="BN9" s="18">
        <v>1</v>
      </c>
    </row>
    <row r="10" spans="1:66" ht="15.75">
      <c r="A10" s="35"/>
      <c r="B10" s="35"/>
      <c r="C10" s="35"/>
      <c r="D10" s="35"/>
      <c r="E10" s="35"/>
      <c r="F10" s="35"/>
      <c r="G10" s="94"/>
      <c r="H10" s="134" t="str">
        <f>I42</f>
        <v>9 ਰਾਮ ਲੁਭਾਇਆ ਜੋਧਾ ਰਾਮ</v>
      </c>
      <c r="I10" s="142" t="s">
        <v>391</v>
      </c>
      <c r="J10" s="18" t="s">
        <v>392</v>
      </c>
      <c r="K10" s="18" t="s">
        <v>393</v>
      </c>
      <c r="L10" s="18" t="s">
        <v>394</v>
      </c>
      <c r="M10" s="18">
        <v>1</v>
      </c>
      <c r="N10" s="18">
        <v>1</v>
      </c>
      <c r="O10" s="18">
        <v>1</v>
      </c>
      <c r="P10" s="142">
        <v>9</v>
      </c>
      <c r="Q10" s="18">
        <v>1</v>
      </c>
      <c r="R10" s="18">
        <v>1</v>
      </c>
      <c r="S10" s="18">
        <v>1</v>
      </c>
      <c r="T10" s="18">
        <v>1</v>
      </c>
      <c r="U10" s="18">
        <v>1</v>
      </c>
      <c r="V10" s="18">
        <v>1</v>
      </c>
      <c r="W10" s="142" t="s">
        <v>142</v>
      </c>
      <c r="X10" s="18" t="s">
        <v>395</v>
      </c>
      <c r="Y10" s="18">
        <v>1</v>
      </c>
      <c r="Z10" s="18">
        <v>1</v>
      </c>
      <c r="AA10" s="18">
        <v>1</v>
      </c>
      <c r="AB10" s="18">
        <v>1</v>
      </c>
      <c r="AC10" s="143"/>
      <c r="AD10" s="29"/>
      <c r="AE10" s="35"/>
      <c r="AF10" s="35"/>
      <c r="AG10" s="35"/>
      <c r="AH10" s="35"/>
      <c r="AI10" s="35"/>
      <c r="AJ10" s="35"/>
      <c r="AL10" s="142">
        <v>9</v>
      </c>
      <c r="AM10" s="18">
        <v>1</v>
      </c>
      <c r="AN10" s="18">
        <v>1</v>
      </c>
      <c r="AO10" s="18">
        <v>1</v>
      </c>
      <c r="AP10" s="18">
        <v>1</v>
      </c>
      <c r="AQ10" s="18">
        <v>1</v>
      </c>
      <c r="AR10" s="18">
        <v>1</v>
      </c>
      <c r="AS10" s="165" t="s">
        <v>396</v>
      </c>
      <c r="AT10" s="18" t="s">
        <v>48</v>
      </c>
      <c r="AU10" s="18">
        <v>1</v>
      </c>
      <c r="AV10" s="18">
        <v>1</v>
      </c>
      <c r="AW10" s="18">
        <v>1</v>
      </c>
      <c r="AX10" s="18">
        <v>1</v>
      </c>
      <c r="AY10" s="18">
        <v>1</v>
      </c>
      <c r="AZ10" s="165" t="s">
        <v>397</v>
      </c>
      <c r="BA10" s="18" t="s">
        <v>398</v>
      </c>
      <c r="BB10" s="18" t="s">
        <v>369</v>
      </c>
      <c r="BC10" s="18" t="s">
        <v>399</v>
      </c>
      <c r="BD10" s="18">
        <v>1</v>
      </c>
      <c r="BE10" s="18">
        <v>1</v>
      </c>
      <c r="BF10" s="18">
        <v>1</v>
      </c>
      <c r="BG10" s="171"/>
      <c r="BH10" s="165">
        <v>9</v>
      </c>
      <c r="BI10" s="5">
        <v>1</v>
      </c>
      <c r="BJ10" s="5">
        <v>1</v>
      </c>
      <c r="BK10" s="5">
        <v>1</v>
      </c>
      <c r="BL10" s="5">
        <v>1</v>
      </c>
      <c r="BM10" s="5">
        <v>1</v>
      </c>
      <c r="BN10" s="18">
        <v>1</v>
      </c>
    </row>
    <row r="11" spans="1:66" ht="14.25" customHeight="1">
      <c r="A11" s="37" t="s">
        <v>13</v>
      </c>
      <c r="B11" s="37" t="s">
        <v>14</v>
      </c>
      <c r="C11" s="37" t="s">
        <v>15</v>
      </c>
      <c r="D11" s="37" t="s">
        <v>16</v>
      </c>
      <c r="E11" s="37" t="s">
        <v>17</v>
      </c>
      <c r="F11" s="37" t="s">
        <v>18</v>
      </c>
      <c r="G11" s="95"/>
      <c r="H11" s="134" t="str">
        <f>I47</f>
        <v>10 ਰਮੇਸ਼ ਕੁਮਾਰ ਜੋਧਾ ਰਾਮ</v>
      </c>
      <c r="I11" s="142" t="s">
        <v>401</v>
      </c>
      <c r="J11" s="18" t="s">
        <v>402</v>
      </c>
      <c r="K11" s="18" t="s">
        <v>219</v>
      </c>
      <c r="L11" s="18" t="s">
        <v>403</v>
      </c>
      <c r="M11" s="120" t="s">
        <v>1335</v>
      </c>
      <c r="N11" s="18">
        <v>1</v>
      </c>
      <c r="O11" s="18">
        <v>1</v>
      </c>
      <c r="P11" s="142">
        <v>10</v>
      </c>
      <c r="Q11" s="18">
        <v>1</v>
      </c>
      <c r="R11" s="18">
        <v>1</v>
      </c>
      <c r="S11" s="18">
        <v>1</v>
      </c>
      <c r="T11" s="18">
        <v>1</v>
      </c>
      <c r="U11" s="18">
        <v>1</v>
      </c>
      <c r="V11" s="18">
        <v>1</v>
      </c>
      <c r="W11" s="142">
        <v>10</v>
      </c>
      <c r="X11" s="18">
        <v>1</v>
      </c>
      <c r="Y11" s="18">
        <v>1</v>
      </c>
      <c r="Z11" s="18">
        <v>1</v>
      </c>
      <c r="AA11" s="18">
        <v>1</v>
      </c>
      <c r="AB11" s="18">
        <v>1</v>
      </c>
      <c r="AC11" s="143"/>
      <c r="AD11" s="29"/>
      <c r="AE11" s="38" t="s">
        <v>13</v>
      </c>
      <c r="AF11" s="38" t="s">
        <v>14</v>
      </c>
      <c r="AG11" s="38" t="s">
        <v>15</v>
      </c>
      <c r="AH11" s="38" t="s">
        <v>16</v>
      </c>
      <c r="AI11" s="38" t="s">
        <v>17</v>
      </c>
      <c r="AJ11" s="38" t="s">
        <v>18</v>
      </c>
      <c r="AL11" s="142">
        <v>10</v>
      </c>
      <c r="AM11" s="18">
        <v>1</v>
      </c>
      <c r="AN11" s="18">
        <v>1</v>
      </c>
      <c r="AO11" s="18">
        <v>1</v>
      </c>
      <c r="AP11" s="18">
        <v>1</v>
      </c>
      <c r="AQ11" s="18">
        <v>1</v>
      </c>
      <c r="AR11" s="18">
        <v>1</v>
      </c>
      <c r="AS11" s="165">
        <v>10</v>
      </c>
      <c r="AT11" s="18">
        <v>1</v>
      </c>
      <c r="AU11" s="18">
        <v>1</v>
      </c>
      <c r="AV11" s="18">
        <v>1</v>
      </c>
      <c r="AW11" s="18">
        <v>1</v>
      </c>
      <c r="AX11" s="18">
        <v>1</v>
      </c>
      <c r="AY11" s="18">
        <v>1</v>
      </c>
      <c r="AZ11" s="165">
        <v>10</v>
      </c>
      <c r="BA11" s="18">
        <v>1</v>
      </c>
      <c r="BB11" s="18">
        <v>1</v>
      </c>
      <c r="BC11" s="18">
        <v>1</v>
      </c>
      <c r="BD11" s="18">
        <v>1</v>
      </c>
      <c r="BE11" s="18">
        <v>1</v>
      </c>
      <c r="BF11" s="18">
        <v>1</v>
      </c>
      <c r="BG11" s="171"/>
      <c r="BH11" s="165">
        <v>10</v>
      </c>
      <c r="BI11" s="5">
        <v>1</v>
      </c>
      <c r="BJ11" s="5">
        <v>1</v>
      </c>
      <c r="BK11" s="5">
        <v>1</v>
      </c>
      <c r="BL11" s="5">
        <v>1</v>
      </c>
      <c r="BM11" s="5">
        <v>1</v>
      </c>
      <c r="BN11" s="18">
        <v>1</v>
      </c>
    </row>
    <row r="12" spans="1:66" ht="14.25" customHeight="1">
      <c r="A12" s="39" t="str">
        <f t="shared" ref="A12:F16" si="3">IF(A2&lt;100,"",A2)</f>
        <v>59 ਮਾਣ ਸਿੰਘ ਨਿਹੰਗ</v>
      </c>
      <c r="B12" s="39" t="str">
        <f t="shared" si="3"/>
        <v xml:space="preserve">ਸ਼ੇਰ ਸਿੰਘ </v>
      </c>
      <c r="C12" s="39" t="str">
        <f t="shared" si="3"/>
        <v>ਅਰਜਨ ਸਿੰਘ</v>
      </c>
      <c r="D12" s="39" t="str">
        <f t="shared" si="3"/>
        <v/>
      </c>
      <c r="E12" s="39" t="str">
        <f t="shared" si="3"/>
        <v/>
      </c>
      <c r="F12" s="39" t="str">
        <f t="shared" si="3"/>
        <v/>
      </c>
      <c r="G12" s="96"/>
      <c r="H12" s="135" t="str">
        <f>P2</f>
        <v>11 ਸਾਬੂ ਰਾਮ</v>
      </c>
      <c r="I12" s="144" t="s">
        <v>337</v>
      </c>
      <c r="J12" s="18">
        <v>1</v>
      </c>
      <c r="K12" s="18">
        <v>1</v>
      </c>
      <c r="L12" s="18">
        <v>1</v>
      </c>
      <c r="M12" s="18">
        <v>1</v>
      </c>
      <c r="N12" s="18">
        <v>1</v>
      </c>
      <c r="O12" s="145" t="s">
        <v>1414</v>
      </c>
      <c r="P12" s="144" t="s">
        <v>404</v>
      </c>
      <c r="Q12" s="18" t="s">
        <v>405</v>
      </c>
      <c r="R12" s="18">
        <v>1</v>
      </c>
      <c r="S12" s="18">
        <v>1</v>
      </c>
      <c r="T12" s="18">
        <v>1</v>
      </c>
      <c r="U12" s="18">
        <v>1</v>
      </c>
      <c r="V12" s="143" t="s">
        <v>1147</v>
      </c>
      <c r="W12" s="144" t="s">
        <v>406</v>
      </c>
      <c r="X12" s="18" t="s">
        <v>407</v>
      </c>
      <c r="Y12" s="18" t="s">
        <v>111</v>
      </c>
      <c r="Z12" s="18">
        <v>1</v>
      </c>
      <c r="AA12" s="18">
        <v>1</v>
      </c>
      <c r="AB12" s="18">
        <v>1</v>
      </c>
      <c r="AC12" s="143" t="s">
        <v>1155</v>
      </c>
      <c r="AD12" s="29"/>
      <c r="AE12" s="39" t="str">
        <f t="shared" ref="AE12:AJ16" si="4">IF(AE2&lt;100,"",AE2)</f>
        <v>32 ਉੱਤਮ ਚੰਦ ਚੰਬਾ ਰਾਮ</v>
      </c>
      <c r="AF12" s="39" t="str">
        <f t="shared" si="4"/>
        <v>ਬੱਸੀ ਬਾਈ</v>
      </c>
      <c r="AG12" s="39" t="str">
        <f t="shared" si="4"/>
        <v/>
      </c>
      <c r="AH12" s="39" t="str">
        <f t="shared" si="4"/>
        <v/>
      </c>
      <c r="AI12" s="39" t="str">
        <f t="shared" si="4"/>
        <v/>
      </c>
      <c r="AJ12" s="39" t="str">
        <f t="shared" si="4"/>
        <v/>
      </c>
      <c r="AL12" s="144" t="s">
        <v>408</v>
      </c>
      <c r="AM12" s="18">
        <v>1</v>
      </c>
      <c r="AN12" s="18">
        <v>1</v>
      </c>
      <c r="AO12" s="18">
        <v>1</v>
      </c>
      <c r="AP12" s="18">
        <v>1</v>
      </c>
      <c r="AQ12" s="18">
        <v>1</v>
      </c>
      <c r="AR12" s="143" t="s">
        <v>1164</v>
      </c>
      <c r="AS12" s="166" t="s">
        <v>409</v>
      </c>
      <c r="AT12" s="18" t="s">
        <v>358</v>
      </c>
      <c r="AU12" s="18">
        <v>1</v>
      </c>
      <c r="AV12" s="18">
        <v>1</v>
      </c>
      <c r="AW12" s="18">
        <v>1</v>
      </c>
      <c r="AX12" s="18">
        <v>1</v>
      </c>
      <c r="AY12" s="143" t="s">
        <v>1173</v>
      </c>
      <c r="AZ12" s="166" t="s">
        <v>410</v>
      </c>
      <c r="BA12" s="18">
        <v>1</v>
      </c>
      <c r="BB12" s="18">
        <v>1</v>
      </c>
      <c r="BC12" s="18">
        <v>1</v>
      </c>
      <c r="BD12" s="18">
        <v>1</v>
      </c>
      <c r="BE12" s="18">
        <v>1</v>
      </c>
      <c r="BF12" s="170" t="s">
        <v>1181</v>
      </c>
      <c r="BG12" s="171"/>
      <c r="BH12" s="166" t="s">
        <v>411</v>
      </c>
      <c r="BI12" s="5" t="s">
        <v>241</v>
      </c>
      <c r="BJ12" s="5" t="s">
        <v>401</v>
      </c>
      <c r="BK12" s="5" t="s">
        <v>257</v>
      </c>
      <c r="BL12" s="5">
        <v>1</v>
      </c>
      <c r="BM12" s="5">
        <v>1</v>
      </c>
      <c r="BN12" s="174" t="s">
        <v>1189</v>
      </c>
    </row>
    <row r="13" spans="1:66" ht="14.25" customHeight="1">
      <c r="A13" s="39" t="str">
        <f t="shared" si="3"/>
        <v>ਮਹਿੰਦਰ ਸਿੰਘ</v>
      </c>
      <c r="B13" s="39" t="str">
        <f t="shared" si="3"/>
        <v>ਕਰਮਜੀਤ</v>
      </c>
      <c r="C13" s="39" t="str">
        <f t="shared" si="3"/>
        <v>ਵਿਪਨ ਕੁਮਾਰ</v>
      </c>
      <c r="D13" s="39" t="str">
        <f t="shared" si="3"/>
        <v>ਰਾਕੇਸ਼ ਚੌਧਰੀ</v>
      </c>
      <c r="E13" s="39" t="str">
        <f t="shared" si="3"/>
        <v/>
      </c>
      <c r="F13" s="39" t="str">
        <f t="shared" si="3"/>
        <v/>
      </c>
      <c r="G13" s="96"/>
      <c r="H13" s="135" t="str">
        <f>P7</f>
        <v>12 ਖਰੈਤ ਲਾਲ ਬੂਟਾ ਰਾਮ</v>
      </c>
      <c r="I13" s="142" t="s">
        <v>412</v>
      </c>
      <c r="J13" s="18" t="s">
        <v>103</v>
      </c>
      <c r="K13" s="18"/>
      <c r="L13" s="18"/>
      <c r="M13" s="18">
        <v>1</v>
      </c>
      <c r="N13" s="18">
        <v>1</v>
      </c>
      <c r="O13" s="18">
        <v>1</v>
      </c>
      <c r="P13" s="212" t="s">
        <v>596</v>
      </c>
      <c r="Q13" s="18">
        <v>1</v>
      </c>
      <c r="R13" s="18">
        <v>1</v>
      </c>
      <c r="S13" s="18">
        <v>1</v>
      </c>
      <c r="T13" s="18">
        <v>1</v>
      </c>
      <c r="U13" s="18">
        <v>1</v>
      </c>
      <c r="V13" s="18">
        <v>1</v>
      </c>
      <c r="W13" s="142" t="s">
        <v>281</v>
      </c>
      <c r="X13" s="120" t="s">
        <v>1365</v>
      </c>
      <c r="Y13" s="18">
        <v>1</v>
      </c>
      <c r="Z13" s="18">
        <v>1</v>
      </c>
      <c r="AA13" s="18">
        <v>1</v>
      </c>
      <c r="AB13" s="18">
        <v>1</v>
      </c>
      <c r="AC13" s="143"/>
      <c r="AD13" s="29"/>
      <c r="AE13" s="39" t="str">
        <f t="shared" si="4"/>
        <v>ਬਲਦੇਵ ਕ੍ਰਿਸ਼ਨ</v>
      </c>
      <c r="AF13" s="39" t="str">
        <f t="shared" si="4"/>
        <v>ਪਰਮਜੀਤ</v>
      </c>
      <c r="AG13" s="39" t="str">
        <f t="shared" si="4"/>
        <v/>
      </c>
      <c r="AH13" s="39" t="str">
        <f t="shared" si="4"/>
        <v/>
      </c>
      <c r="AI13" s="39" t="str">
        <f t="shared" si="4"/>
        <v/>
      </c>
      <c r="AJ13" s="39" t="str">
        <f t="shared" si="4"/>
        <v/>
      </c>
      <c r="AL13" s="142" t="s">
        <v>134</v>
      </c>
      <c r="AM13" s="18" t="s">
        <v>90</v>
      </c>
      <c r="AN13" s="18" t="s">
        <v>174</v>
      </c>
      <c r="AO13" s="18" t="s">
        <v>413</v>
      </c>
      <c r="AP13" s="120" t="s">
        <v>174</v>
      </c>
      <c r="AQ13" s="18">
        <v>1</v>
      </c>
      <c r="AR13" s="18">
        <v>1</v>
      </c>
      <c r="AS13" s="165" t="s">
        <v>414</v>
      </c>
      <c r="AT13" s="18" t="s">
        <v>415</v>
      </c>
      <c r="AU13" s="18">
        <v>1</v>
      </c>
      <c r="AV13" s="18">
        <v>1</v>
      </c>
      <c r="AW13" s="18">
        <v>1</v>
      </c>
      <c r="AX13" s="18">
        <v>1</v>
      </c>
      <c r="AY13" s="18">
        <v>1</v>
      </c>
      <c r="AZ13" s="165" t="s">
        <v>60</v>
      </c>
      <c r="BA13" s="18" t="s">
        <v>416</v>
      </c>
      <c r="BB13" s="18">
        <v>1</v>
      </c>
      <c r="BC13" s="18">
        <v>1</v>
      </c>
      <c r="BD13" s="18">
        <v>1</v>
      </c>
      <c r="BE13" s="18">
        <v>1</v>
      </c>
      <c r="BF13" s="18">
        <v>1</v>
      </c>
      <c r="BG13" s="171"/>
      <c r="BH13" s="165" t="s">
        <v>417</v>
      </c>
      <c r="BI13" s="5" t="s">
        <v>254</v>
      </c>
      <c r="BJ13" s="5" t="s">
        <v>55</v>
      </c>
      <c r="BK13" s="5" t="s">
        <v>418</v>
      </c>
      <c r="BL13" s="5" t="s">
        <v>419</v>
      </c>
      <c r="BM13" s="5" t="s">
        <v>420</v>
      </c>
      <c r="BN13" s="18">
        <v>1</v>
      </c>
    </row>
    <row r="14" spans="1:66" ht="14.25" customHeight="1">
      <c r="A14" s="39" t="str">
        <f t="shared" si="3"/>
        <v>ਦਰਸ਼ਨ ਸਿੰਘ</v>
      </c>
      <c r="B14" s="39" t="str">
        <f t="shared" si="3"/>
        <v xml:space="preserve">ਪ੍ਰਕਾਸ਼ ਰਾਣੀ </v>
      </c>
      <c r="C14" s="39" t="str">
        <f t="shared" si="3"/>
        <v>ਸਾਜਨ ਕੁਮਾਰ</v>
      </c>
      <c r="D14" s="39" t="str">
        <f t="shared" si="3"/>
        <v/>
      </c>
      <c r="E14" s="39" t="str">
        <f t="shared" si="3"/>
        <v/>
      </c>
      <c r="F14" s="39" t="str">
        <f t="shared" si="3"/>
        <v/>
      </c>
      <c r="G14" s="96"/>
      <c r="H14" s="136" t="str">
        <f>P12</f>
        <v>13 ਜੈ ਚੰਦ ਰਾਮ ਚੰਦ</v>
      </c>
      <c r="I14" s="142" t="s">
        <v>1406</v>
      </c>
      <c r="J14" s="18" t="s">
        <v>58</v>
      </c>
      <c r="K14" s="18">
        <v>1</v>
      </c>
      <c r="L14" s="18">
        <v>1</v>
      </c>
      <c r="M14" s="18">
        <v>1</v>
      </c>
      <c r="N14" s="18">
        <v>1</v>
      </c>
      <c r="O14" s="18">
        <v>1</v>
      </c>
      <c r="P14" s="212" t="s">
        <v>1353</v>
      </c>
      <c r="Q14" s="18">
        <v>1</v>
      </c>
      <c r="R14" s="18">
        <v>1</v>
      </c>
      <c r="S14" s="18">
        <v>1</v>
      </c>
      <c r="T14" s="18">
        <v>1</v>
      </c>
      <c r="U14" s="18">
        <v>1</v>
      </c>
      <c r="V14" s="18">
        <v>1</v>
      </c>
      <c r="W14" s="212" t="s">
        <v>1366</v>
      </c>
      <c r="X14" s="120" t="s">
        <v>687</v>
      </c>
      <c r="Y14" s="18">
        <v>1</v>
      </c>
      <c r="Z14" s="18">
        <v>1</v>
      </c>
      <c r="AA14" s="18">
        <v>1</v>
      </c>
      <c r="AB14" s="18">
        <v>1</v>
      </c>
      <c r="AC14" s="143"/>
      <c r="AD14" s="29"/>
      <c r="AE14" s="39" t="str">
        <f t="shared" si="4"/>
        <v>ਪੂਰਨ ਪ੍ਰਕਾਸ਼</v>
      </c>
      <c r="AF14" s="39" t="str">
        <f t="shared" si="4"/>
        <v/>
      </c>
      <c r="AG14" s="39" t="str">
        <f t="shared" si="4"/>
        <v/>
      </c>
      <c r="AH14" s="39" t="str">
        <f t="shared" si="4"/>
        <v/>
      </c>
      <c r="AI14" s="39" t="str">
        <f t="shared" si="4"/>
        <v/>
      </c>
      <c r="AJ14" s="39" t="str">
        <f t="shared" si="4"/>
        <v/>
      </c>
      <c r="AL14" s="142" t="s">
        <v>421</v>
      </c>
      <c r="AM14" s="18">
        <v>1</v>
      </c>
      <c r="AN14" s="18" t="s">
        <v>422</v>
      </c>
      <c r="AO14" s="18" t="s">
        <v>423</v>
      </c>
      <c r="AP14" s="120" t="s">
        <v>1333</v>
      </c>
      <c r="AQ14" s="18">
        <v>1</v>
      </c>
      <c r="AR14" s="18">
        <v>1</v>
      </c>
      <c r="AS14" s="165" t="s">
        <v>424</v>
      </c>
      <c r="AT14" s="18" t="s">
        <v>75</v>
      </c>
      <c r="AU14" s="18">
        <v>1</v>
      </c>
      <c r="AV14" s="18">
        <v>1</v>
      </c>
      <c r="AW14" s="18">
        <v>1</v>
      </c>
      <c r="AX14" s="18">
        <v>1</v>
      </c>
      <c r="AY14" s="18">
        <v>1</v>
      </c>
      <c r="AZ14" s="165" t="s">
        <v>184</v>
      </c>
      <c r="BA14" s="18" t="s">
        <v>286</v>
      </c>
      <c r="BB14" s="18">
        <v>1</v>
      </c>
      <c r="BC14" s="18">
        <v>1</v>
      </c>
      <c r="BD14" s="18">
        <v>1</v>
      </c>
      <c r="BE14" s="18">
        <v>1</v>
      </c>
      <c r="BF14" s="18">
        <v>1</v>
      </c>
      <c r="BG14" s="171"/>
      <c r="BH14" s="165" t="s">
        <v>89</v>
      </c>
      <c r="BI14" s="5" t="s">
        <v>425</v>
      </c>
      <c r="BJ14" s="5" t="s">
        <v>426</v>
      </c>
      <c r="BK14" s="5" t="s">
        <v>378</v>
      </c>
      <c r="BL14" s="5" t="s">
        <v>427</v>
      </c>
      <c r="BM14" s="5" t="s">
        <v>428</v>
      </c>
      <c r="BN14" s="18">
        <v>1</v>
      </c>
    </row>
    <row r="15" spans="1:66" ht="14.25" customHeight="1">
      <c r="A15" s="39" t="str">
        <f t="shared" si="3"/>
        <v>ਰਾਜਨ ਕੁਮਾਰ</v>
      </c>
      <c r="B15" s="39" t="str">
        <f t="shared" si="3"/>
        <v/>
      </c>
      <c r="C15" s="39" t="str">
        <f t="shared" si="3"/>
        <v/>
      </c>
      <c r="D15" s="39" t="str">
        <f t="shared" si="3"/>
        <v/>
      </c>
      <c r="E15" s="39" t="str">
        <f t="shared" si="3"/>
        <v/>
      </c>
      <c r="F15" s="39" t="str">
        <f t="shared" si="3"/>
        <v/>
      </c>
      <c r="G15" s="96"/>
      <c r="H15" s="136" t="str">
        <f>P17</f>
        <v>14 ਨੰਦ ਲਾਲ ਮੋਤੀ ਰਾਮ</v>
      </c>
      <c r="I15" s="142" t="s">
        <v>58</v>
      </c>
      <c r="J15" s="18" t="s">
        <v>58</v>
      </c>
      <c r="K15" s="18">
        <v>1</v>
      </c>
      <c r="L15" s="18">
        <v>1</v>
      </c>
      <c r="M15" s="18">
        <v>1</v>
      </c>
      <c r="N15" s="18">
        <v>1</v>
      </c>
      <c r="O15" s="18">
        <v>1</v>
      </c>
      <c r="P15" s="142">
        <v>14</v>
      </c>
      <c r="Q15" s="18">
        <v>1</v>
      </c>
      <c r="R15" s="18">
        <v>1</v>
      </c>
      <c r="S15" s="18">
        <v>1</v>
      </c>
      <c r="T15" s="18">
        <v>1</v>
      </c>
      <c r="U15" s="18">
        <v>1</v>
      </c>
      <c r="V15" s="18">
        <v>1</v>
      </c>
      <c r="W15" s="212" t="s">
        <v>524</v>
      </c>
      <c r="X15" s="120" t="s">
        <v>259</v>
      </c>
      <c r="Y15" s="18">
        <v>1</v>
      </c>
      <c r="Z15" s="18">
        <v>1</v>
      </c>
      <c r="AA15" s="18">
        <v>1</v>
      </c>
      <c r="AB15" s="18">
        <v>1</v>
      </c>
      <c r="AC15" s="143"/>
      <c r="AD15" s="29"/>
      <c r="AE15" s="39" t="str">
        <f t="shared" si="4"/>
        <v/>
      </c>
      <c r="AF15" s="39" t="str">
        <f t="shared" si="4"/>
        <v/>
      </c>
      <c r="AG15" s="39" t="str">
        <f t="shared" si="4"/>
        <v/>
      </c>
      <c r="AH15" s="39" t="str">
        <f t="shared" si="4"/>
        <v/>
      </c>
      <c r="AI15" s="39" t="str">
        <f t="shared" si="4"/>
        <v/>
      </c>
      <c r="AJ15" s="39" t="str">
        <f t="shared" si="4"/>
        <v/>
      </c>
      <c r="AL15" s="142" t="s">
        <v>348</v>
      </c>
      <c r="AM15" s="18" t="s">
        <v>164</v>
      </c>
      <c r="AN15" s="18">
        <v>1</v>
      </c>
      <c r="AO15" s="18">
        <v>1</v>
      </c>
      <c r="AP15" s="18">
        <v>1</v>
      </c>
      <c r="AQ15" s="18">
        <v>1</v>
      </c>
      <c r="AR15" s="18">
        <v>1</v>
      </c>
      <c r="AS15" s="165">
        <v>14</v>
      </c>
      <c r="AT15" s="18">
        <v>1</v>
      </c>
      <c r="AU15" s="18">
        <v>1</v>
      </c>
      <c r="AV15" s="18">
        <v>1</v>
      </c>
      <c r="AW15" s="18">
        <v>1</v>
      </c>
      <c r="AX15" s="18">
        <v>1</v>
      </c>
      <c r="AY15" s="18">
        <v>1</v>
      </c>
      <c r="AZ15" s="165" t="s">
        <v>430</v>
      </c>
      <c r="BA15" s="18" t="s">
        <v>431</v>
      </c>
      <c r="BB15" s="18">
        <v>1</v>
      </c>
      <c r="BC15" s="18">
        <v>1</v>
      </c>
      <c r="BD15" s="18">
        <v>1</v>
      </c>
      <c r="BE15" s="18">
        <v>1</v>
      </c>
      <c r="BF15" s="18">
        <v>1</v>
      </c>
      <c r="BG15" s="171"/>
      <c r="BH15" s="165" t="s">
        <v>432</v>
      </c>
      <c r="BI15" s="5" t="s">
        <v>164</v>
      </c>
      <c r="BJ15" s="5" t="s">
        <v>433</v>
      </c>
      <c r="BK15" s="5" t="s">
        <v>434</v>
      </c>
      <c r="BL15" s="5">
        <v>1</v>
      </c>
      <c r="BM15" s="5">
        <v>1</v>
      </c>
      <c r="BN15" s="18">
        <v>1</v>
      </c>
    </row>
    <row r="16" spans="1:66" ht="14.25" customHeight="1">
      <c r="A16" s="39" t="str">
        <f t="shared" si="3"/>
        <v/>
      </c>
      <c r="B16" s="39" t="str">
        <f t="shared" si="3"/>
        <v/>
      </c>
      <c r="C16" s="39" t="str">
        <f t="shared" si="3"/>
        <v/>
      </c>
      <c r="D16" s="39" t="str">
        <f t="shared" si="3"/>
        <v/>
      </c>
      <c r="E16" s="39" t="str">
        <f t="shared" si="3"/>
        <v/>
      </c>
      <c r="F16" s="39" t="str">
        <f t="shared" si="3"/>
        <v/>
      </c>
      <c r="G16" s="96"/>
      <c r="H16" s="136" t="str">
        <f>P22</f>
        <v>15 ਖਾਨ ਚੰਦ ਮੋਤੀ ਰਾਮ</v>
      </c>
      <c r="I16" s="142">
        <v>15</v>
      </c>
      <c r="J16" s="18">
        <v>1</v>
      </c>
      <c r="K16" s="18">
        <v>1</v>
      </c>
      <c r="L16" s="18">
        <v>1</v>
      </c>
      <c r="M16" s="18">
        <v>1</v>
      </c>
      <c r="N16" s="18">
        <v>1</v>
      </c>
      <c r="O16" s="18">
        <v>1</v>
      </c>
      <c r="P16" s="142">
        <v>15</v>
      </c>
      <c r="Q16" s="18">
        <v>1</v>
      </c>
      <c r="R16" s="18">
        <v>1</v>
      </c>
      <c r="S16" s="18">
        <v>1</v>
      </c>
      <c r="T16" s="18">
        <v>1</v>
      </c>
      <c r="U16" s="18">
        <v>1</v>
      </c>
      <c r="V16" s="18">
        <v>1</v>
      </c>
      <c r="W16" s="212" t="s">
        <v>93</v>
      </c>
      <c r="X16" s="18">
        <v>1</v>
      </c>
      <c r="Y16" s="18">
        <v>1</v>
      </c>
      <c r="Z16" s="18">
        <v>1</v>
      </c>
      <c r="AA16" s="18">
        <v>1</v>
      </c>
      <c r="AB16" s="18">
        <v>1</v>
      </c>
      <c r="AC16" s="143"/>
      <c r="AD16" s="29"/>
      <c r="AE16" s="39" t="str">
        <f t="shared" si="4"/>
        <v/>
      </c>
      <c r="AF16" s="39" t="str">
        <f t="shared" si="4"/>
        <v/>
      </c>
      <c r="AG16" s="39" t="str">
        <f t="shared" si="4"/>
        <v/>
      </c>
      <c r="AH16" s="39" t="str">
        <f t="shared" si="4"/>
        <v/>
      </c>
      <c r="AI16" s="39" t="str">
        <f t="shared" si="4"/>
        <v/>
      </c>
      <c r="AJ16" s="39" t="str">
        <f t="shared" si="4"/>
        <v/>
      </c>
      <c r="AL16" s="142">
        <v>15</v>
      </c>
      <c r="AM16" s="18">
        <v>1</v>
      </c>
      <c r="AN16" s="18">
        <v>1</v>
      </c>
      <c r="AO16" s="18">
        <v>1</v>
      </c>
      <c r="AP16" s="18">
        <v>1</v>
      </c>
      <c r="AQ16" s="18">
        <v>1</v>
      </c>
      <c r="AR16" s="18">
        <v>1</v>
      </c>
      <c r="AS16" s="165">
        <v>15</v>
      </c>
      <c r="AT16" s="18">
        <v>1</v>
      </c>
      <c r="AU16" s="18">
        <v>1</v>
      </c>
      <c r="AV16" s="18">
        <v>1</v>
      </c>
      <c r="AW16" s="18">
        <v>1</v>
      </c>
      <c r="AX16" s="18">
        <v>1</v>
      </c>
      <c r="AY16" s="18">
        <v>1</v>
      </c>
      <c r="AZ16" s="165">
        <v>15</v>
      </c>
      <c r="BA16" s="18">
        <v>1</v>
      </c>
      <c r="BB16" s="18">
        <v>1</v>
      </c>
      <c r="BC16" s="18">
        <v>1</v>
      </c>
      <c r="BD16" s="18">
        <v>1</v>
      </c>
      <c r="BE16" s="18">
        <v>1</v>
      </c>
      <c r="BF16" s="18">
        <v>1</v>
      </c>
      <c r="BG16" s="171"/>
      <c r="BH16" s="165" t="s">
        <v>436</v>
      </c>
      <c r="BI16" s="5" t="s">
        <v>94</v>
      </c>
      <c r="BJ16" s="5" t="s">
        <v>278</v>
      </c>
      <c r="BK16" s="5" t="s">
        <v>437</v>
      </c>
      <c r="BL16" s="5">
        <v>1</v>
      </c>
      <c r="BM16" s="5">
        <v>1</v>
      </c>
      <c r="BN16" s="18">
        <v>1</v>
      </c>
    </row>
    <row r="17" spans="1:66" ht="14.25" customHeight="1" thickBot="1">
      <c r="A17" s="35"/>
      <c r="B17" s="35"/>
      <c r="C17" s="35"/>
      <c r="D17" s="35"/>
      <c r="E17" s="35"/>
      <c r="F17" s="35"/>
      <c r="G17" s="94"/>
      <c r="H17" s="133" t="str">
        <f>P27</f>
        <v>16 ਕਮਲਦੀਪ (ਕਾਲ਼ੀ) ਹਰੀ ਚੰਦ</v>
      </c>
      <c r="I17" s="146" t="s">
        <v>343</v>
      </c>
      <c r="J17" s="116" t="s">
        <v>347</v>
      </c>
      <c r="K17" s="116" t="s">
        <v>439</v>
      </c>
      <c r="L17" s="116" t="s">
        <v>440</v>
      </c>
      <c r="M17" s="116">
        <v>1</v>
      </c>
      <c r="N17" s="116">
        <v>1</v>
      </c>
      <c r="O17" s="143" t="s">
        <v>1139</v>
      </c>
      <c r="P17" s="144" t="s">
        <v>429</v>
      </c>
      <c r="Q17" s="18" t="s">
        <v>82</v>
      </c>
      <c r="R17" s="18">
        <v>1</v>
      </c>
      <c r="S17" s="18">
        <v>1</v>
      </c>
      <c r="T17" s="18">
        <v>1</v>
      </c>
      <c r="U17" s="18">
        <v>1</v>
      </c>
      <c r="V17" s="143" t="s">
        <v>1148</v>
      </c>
      <c r="W17" s="144" t="s">
        <v>441</v>
      </c>
      <c r="X17" s="18" t="s">
        <v>442</v>
      </c>
      <c r="Y17" s="18">
        <v>1</v>
      </c>
      <c r="Z17" s="18">
        <v>1</v>
      </c>
      <c r="AA17" s="18">
        <v>1</v>
      </c>
      <c r="AB17" s="18">
        <v>1</v>
      </c>
      <c r="AC17" s="143" t="s">
        <v>1156</v>
      </c>
      <c r="AD17" s="29"/>
      <c r="AE17" s="35"/>
      <c r="AF17" s="35"/>
      <c r="AG17" s="35"/>
      <c r="AH17" s="35"/>
      <c r="AI17" s="35"/>
      <c r="AJ17" s="35"/>
      <c r="AL17" s="160" t="s">
        <v>443</v>
      </c>
      <c r="AM17" s="40">
        <v>1</v>
      </c>
      <c r="AN17" s="40">
        <v>1</v>
      </c>
      <c r="AO17" s="18">
        <v>1</v>
      </c>
      <c r="AP17" s="18">
        <v>1</v>
      </c>
      <c r="AQ17" s="18">
        <v>1</v>
      </c>
      <c r="AR17" s="143" t="s">
        <v>1165</v>
      </c>
      <c r="AS17" s="166" t="s">
        <v>444</v>
      </c>
      <c r="AT17" s="18" t="s">
        <v>82</v>
      </c>
      <c r="AU17" s="18">
        <v>1</v>
      </c>
      <c r="AV17" s="18">
        <v>1</v>
      </c>
      <c r="AW17" s="18">
        <v>1</v>
      </c>
      <c r="AX17" s="18">
        <v>1</v>
      </c>
      <c r="AY17" s="145" t="s">
        <v>1174</v>
      </c>
      <c r="AZ17" s="166" t="s">
        <v>445</v>
      </c>
      <c r="BA17" s="18" t="s">
        <v>446</v>
      </c>
      <c r="BB17" s="18">
        <v>1</v>
      </c>
      <c r="BC17" s="18">
        <v>1</v>
      </c>
      <c r="BD17" s="18">
        <v>1</v>
      </c>
      <c r="BE17" s="18">
        <v>1</v>
      </c>
      <c r="BF17" s="170" t="s">
        <v>1182</v>
      </c>
      <c r="BG17" s="171"/>
      <c r="BH17" s="166" t="s">
        <v>447</v>
      </c>
      <c r="BI17" s="5">
        <v>1</v>
      </c>
      <c r="BJ17" s="5">
        <v>1</v>
      </c>
      <c r="BK17" s="5">
        <v>1</v>
      </c>
      <c r="BL17" s="5">
        <v>1</v>
      </c>
      <c r="BM17" s="5">
        <v>1</v>
      </c>
      <c r="BN17" s="174" t="s">
        <v>1190</v>
      </c>
    </row>
    <row r="18" spans="1:66" ht="14.25" customHeight="1" thickBot="1">
      <c r="A18" s="41" t="s">
        <v>411</v>
      </c>
      <c r="B18" s="35"/>
      <c r="C18" s="35"/>
      <c r="D18" s="35"/>
      <c r="E18" s="35"/>
      <c r="F18" s="35"/>
      <c r="G18" s="35"/>
      <c r="H18" s="216" t="str">
        <f>P32</f>
        <v>17 ਟੇਕ ਚੰਦ ਪੁੰਨੂੰ ਰਾਮ</v>
      </c>
      <c r="I18" s="147" t="s">
        <v>58</v>
      </c>
      <c r="J18" s="116">
        <v>1</v>
      </c>
      <c r="K18" s="116">
        <v>1</v>
      </c>
      <c r="L18" s="116">
        <v>1</v>
      </c>
      <c r="M18" s="116">
        <v>1</v>
      </c>
      <c r="N18" s="116">
        <v>1</v>
      </c>
      <c r="O18" s="18">
        <v>1</v>
      </c>
      <c r="P18" s="142" t="s">
        <v>449</v>
      </c>
      <c r="Q18" s="18">
        <v>1</v>
      </c>
      <c r="R18" s="18">
        <v>1</v>
      </c>
      <c r="S18" s="18">
        <v>1</v>
      </c>
      <c r="T18" s="18">
        <v>1</v>
      </c>
      <c r="U18" s="18">
        <v>1</v>
      </c>
      <c r="V18" s="18">
        <v>1</v>
      </c>
      <c r="W18" s="142" t="s">
        <v>380</v>
      </c>
      <c r="X18" s="18" t="s">
        <v>284</v>
      </c>
      <c r="Y18" s="120" t="s">
        <v>1370</v>
      </c>
      <c r="Z18" s="18">
        <v>1</v>
      </c>
      <c r="AA18" s="18">
        <v>1</v>
      </c>
      <c r="AB18" s="18">
        <v>1</v>
      </c>
      <c r="AC18" s="143"/>
      <c r="AD18" s="29"/>
      <c r="AE18" s="35"/>
      <c r="AF18" s="35"/>
      <c r="AG18" s="35"/>
      <c r="AH18" s="35"/>
      <c r="AI18" s="35"/>
      <c r="AJ18" s="35"/>
      <c r="AL18" s="161" t="s">
        <v>450</v>
      </c>
      <c r="AM18" s="40" t="s">
        <v>207</v>
      </c>
      <c r="AN18" s="40">
        <v>1</v>
      </c>
      <c r="AO18" s="18">
        <v>1</v>
      </c>
      <c r="AP18" s="18">
        <v>1</v>
      </c>
      <c r="AQ18" s="18">
        <v>1</v>
      </c>
      <c r="AR18" s="18">
        <v>1</v>
      </c>
      <c r="AS18" s="165" t="s">
        <v>338</v>
      </c>
      <c r="AT18" s="18" t="s">
        <v>451</v>
      </c>
      <c r="AU18" s="18">
        <v>1</v>
      </c>
      <c r="AV18" s="18">
        <v>1</v>
      </c>
      <c r="AW18" s="18">
        <v>1</v>
      </c>
      <c r="AX18" s="18">
        <v>1</v>
      </c>
      <c r="AY18" s="18">
        <v>1</v>
      </c>
      <c r="AZ18" s="165" t="s">
        <v>112</v>
      </c>
      <c r="BA18" s="18" t="s">
        <v>452</v>
      </c>
      <c r="BB18" s="18" t="s">
        <v>453</v>
      </c>
      <c r="BC18" s="18" t="s">
        <v>454</v>
      </c>
      <c r="BD18" s="18">
        <v>1</v>
      </c>
      <c r="BE18" s="18">
        <v>1</v>
      </c>
      <c r="BF18" s="18">
        <v>1</v>
      </c>
      <c r="BG18" s="171"/>
      <c r="BH18" s="165" t="s">
        <v>380</v>
      </c>
      <c r="BI18" s="5" t="s">
        <v>455</v>
      </c>
      <c r="BJ18" s="5" t="s">
        <v>456</v>
      </c>
      <c r="BK18" s="5" t="s">
        <v>107</v>
      </c>
      <c r="BL18" s="5" t="s">
        <v>457</v>
      </c>
      <c r="BM18" s="5">
        <v>1</v>
      </c>
      <c r="BN18" s="18">
        <v>1</v>
      </c>
    </row>
    <row r="19" spans="1:66" ht="14.25" hidden="1" customHeight="1">
      <c r="A19" s="42" t="s">
        <v>13</v>
      </c>
      <c r="B19" s="43" t="s">
        <v>14</v>
      </c>
      <c r="C19" s="43" t="s">
        <v>15</v>
      </c>
      <c r="D19" s="43" t="s">
        <v>16</v>
      </c>
      <c r="E19" s="43" t="s">
        <v>17</v>
      </c>
      <c r="F19" s="43" t="s">
        <v>18</v>
      </c>
      <c r="G19" s="97"/>
      <c r="H19" s="216" t="str">
        <f>P37</f>
        <v>18 ਗੁਰਦਾਸ ਰਾਮ ਪੁੰਨੂੰ ਰਾਮ</v>
      </c>
      <c r="I19" s="147">
        <v>18</v>
      </c>
      <c r="J19" s="116">
        <v>1</v>
      </c>
      <c r="K19" s="116">
        <v>1</v>
      </c>
      <c r="L19" s="116">
        <v>1</v>
      </c>
      <c r="M19" s="116">
        <v>1</v>
      </c>
      <c r="N19" s="116">
        <v>1</v>
      </c>
      <c r="O19" s="18">
        <v>1</v>
      </c>
      <c r="P19" s="142">
        <v>18</v>
      </c>
      <c r="Q19" s="18">
        <v>1</v>
      </c>
      <c r="R19" s="18">
        <v>1</v>
      </c>
      <c r="S19" s="18">
        <v>1</v>
      </c>
      <c r="T19" s="18">
        <v>1</v>
      </c>
      <c r="U19" s="18">
        <v>1</v>
      </c>
      <c r="V19" s="18">
        <v>1</v>
      </c>
      <c r="W19" s="142" t="s">
        <v>450</v>
      </c>
      <c r="X19" s="18" t="s">
        <v>459</v>
      </c>
      <c r="Y19" s="120" t="s">
        <v>184</v>
      </c>
      <c r="Z19" s="18">
        <v>1</v>
      </c>
      <c r="AA19" s="18">
        <v>1</v>
      </c>
      <c r="AB19" s="18">
        <v>1</v>
      </c>
      <c r="AC19" s="143"/>
      <c r="AD19" s="29"/>
      <c r="AE19" s="29"/>
      <c r="AF19" s="29"/>
      <c r="AG19" s="29"/>
      <c r="AH19" s="29"/>
      <c r="AI19" s="29"/>
      <c r="AJ19" s="29"/>
      <c r="AL19" s="161" t="s">
        <v>161</v>
      </c>
      <c r="AM19" s="40" t="s">
        <v>460</v>
      </c>
      <c r="AN19" s="40">
        <v>1</v>
      </c>
      <c r="AO19" s="18">
        <v>1</v>
      </c>
      <c r="AP19" s="18">
        <v>1</v>
      </c>
      <c r="AQ19" s="18">
        <v>1</v>
      </c>
      <c r="AR19" s="18">
        <v>1</v>
      </c>
      <c r="AS19" s="165" t="s">
        <v>461</v>
      </c>
      <c r="AT19" s="18">
        <v>1</v>
      </c>
      <c r="AU19" s="18">
        <v>1</v>
      </c>
      <c r="AV19" s="18">
        <v>1</v>
      </c>
      <c r="AW19" s="18">
        <v>1</v>
      </c>
      <c r="AX19" s="18">
        <v>1</v>
      </c>
      <c r="AY19" s="18">
        <v>1</v>
      </c>
      <c r="AZ19" s="165" t="s">
        <v>430</v>
      </c>
      <c r="BA19" s="18" t="s">
        <v>39</v>
      </c>
      <c r="BB19" s="18" t="s">
        <v>462</v>
      </c>
      <c r="BC19" s="18">
        <v>1</v>
      </c>
      <c r="BD19" s="18">
        <v>1</v>
      </c>
      <c r="BE19" s="18">
        <v>1</v>
      </c>
      <c r="BF19" s="18">
        <v>1</v>
      </c>
      <c r="BG19" s="171"/>
      <c r="BH19" s="165" t="s">
        <v>463</v>
      </c>
      <c r="BI19" s="5" t="s">
        <v>143</v>
      </c>
      <c r="BJ19" s="5" t="s">
        <v>464</v>
      </c>
      <c r="BK19" s="5" t="s">
        <v>257</v>
      </c>
      <c r="BL19" s="5" t="s">
        <v>465</v>
      </c>
      <c r="BM19" s="5">
        <v>1</v>
      </c>
      <c r="BN19" s="18">
        <v>1</v>
      </c>
    </row>
    <row r="20" spans="1:66" ht="14.25" hidden="1" customHeight="1">
      <c r="A20" s="44" t="str">
        <f t="shared" ref="A20:G24" si="5">IF($A$18=$A$53,BH2,IF($A$18=$A$54,BH7,IF($A$18=$A$55,BH12,IF($A$18=$A$56,BH17,IF($A$18=$A$57,BH22,IF($A$18=$A$58,BH27,IF($A$18=$A$59,BH32,IF($A$18=$A$60,BH37,IF($A$18=$A$61,BH42,IF($A$18=$A$62,BH47))))))))))</f>
        <v>63 ਲਖਮੀ ਚੰਦ</v>
      </c>
      <c r="B20" s="44" t="str">
        <f t="shared" si="5"/>
        <v>ਬੱਸੀ ਬਾਈ</v>
      </c>
      <c r="C20" s="44" t="str">
        <f t="shared" si="5"/>
        <v>ਪਰਮਾ ਨੰਦ</v>
      </c>
      <c r="D20" s="44" t="str">
        <f t="shared" si="5"/>
        <v>ਸੰਤੋਸ਼ ਰਾਣੀ</v>
      </c>
      <c r="E20" s="44">
        <f t="shared" si="5"/>
        <v>1</v>
      </c>
      <c r="F20" s="44">
        <f t="shared" si="5"/>
        <v>1</v>
      </c>
      <c r="G20" s="128" t="str">
        <f t="shared" si="5"/>
        <v>https://serving.photos.photobox.com/11036246a969611b2cb07000e3bec8d51b9db89e344d98428816c634ef00d557f436b1fe.jpg</v>
      </c>
      <c r="H20" s="129" t="str">
        <f>P42</f>
        <v>19 ਬਲਵਿੰਦਰ ਸਿੰਘ (ਝਾਜਾਂ ਵਾਲਾ) ਵਣ ਵਾਲਾ</v>
      </c>
      <c r="I20" s="147">
        <v>19</v>
      </c>
      <c r="J20" s="116">
        <v>1</v>
      </c>
      <c r="K20" s="116">
        <v>1</v>
      </c>
      <c r="L20" s="116">
        <v>1</v>
      </c>
      <c r="M20" s="116">
        <v>1</v>
      </c>
      <c r="N20" s="116">
        <v>1</v>
      </c>
      <c r="O20" s="18">
        <v>1</v>
      </c>
      <c r="P20" s="142">
        <v>19</v>
      </c>
      <c r="Q20" s="18">
        <v>1</v>
      </c>
      <c r="R20" s="18">
        <v>1</v>
      </c>
      <c r="S20" s="18">
        <v>1</v>
      </c>
      <c r="T20" s="18">
        <v>1</v>
      </c>
      <c r="U20" s="18">
        <v>1</v>
      </c>
      <c r="V20" s="18">
        <v>1</v>
      </c>
      <c r="W20" s="142" t="s">
        <v>401</v>
      </c>
      <c r="X20" s="18" t="s">
        <v>467</v>
      </c>
      <c r="Y20" s="18" t="s">
        <v>468</v>
      </c>
      <c r="Z20" s="120" t="s">
        <v>1369</v>
      </c>
      <c r="AA20" s="120" t="s">
        <v>280</v>
      </c>
      <c r="AB20" s="18">
        <v>1</v>
      </c>
      <c r="AC20" s="143"/>
      <c r="AD20" s="29"/>
      <c r="AE20" s="29"/>
      <c r="AF20" s="29"/>
      <c r="AG20" s="29"/>
      <c r="AH20" s="29"/>
      <c r="AI20" s="29"/>
      <c r="AJ20" s="29"/>
      <c r="AL20" s="161" t="s">
        <v>469</v>
      </c>
      <c r="AM20" s="40" t="s">
        <v>470</v>
      </c>
      <c r="AN20" s="40" t="s">
        <v>388</v>
      </c>
      <c r="AO20" s="18">
        <v>1</v>
      </c>
      <c r="AP20" s="18">
        <v>1</v>
      </c>
      <c r="AQ20" s="18">
        <v>1</v>
      </c>
      <c r="AR20" s="18">
        <v>1</v>
      </c>
      <c r="AS20" s="165">
        <v>19</v>
      </c>
      <c r="AT20" s="18">
        <v>1</v>
      </c>
      <c r="AU20" s="18">
        <v>1</v>
      </c>
      <c r="AV20" s="18">
        <v>1</v>
      </c>
      <c r="AW20" s="18">
        <v>1</v>
      </c>
      <c r="AX20" s="18">
        <v>1</v>
      </c>
      <c r="AY20" s="18">
        <v>1</v>
      </c>
      <c r="AZ20" s="165">
        <v>19</v>
      </c>
      <c r="BA20" s="18">
        <v>1</v>
      </c>
      <c r="BB20" s="18">
        <v>1</v>
      </c>
      <c r="BC20" s="18">
        <v>1</v>
      </c>
      <c r="BD20" s="18">
        <v>1</v>
      </c>
      <c r="BE20" s="18">
        <v>1</v>
      </c>
      <c r="BF20" s="18">
        <v>1</v>
      </c>
      <c r="BG20" s="171"/>
      <c r="BH20" s="165" t="s">
        <v>401</v>
      </c>
      <c r="BI20" s="5" t="s">
        <v>280</v>
      </c>
      <c r="BJ20" s="5" t="s">
        <v>212</v>
      </c>
      <c r="BK20" s="5" t="s">
        <v>471</v>
      </c>
      <c r="BL20" s="5">
        <v>1</v>
      </c>
      <c r="BM20" s="5">
        <v>1</v>
      </c>
      <c r="BN20" s="18">
        <v>1</v>
      </c>
    </row>
    <row r="21" spans="1:66" ht="14.25" hidden="1" customHeight="1">
      <c r="A21" s="44" t="str">
        <f t="shared" si="5"/>
        <v>ਤੀਰਥ ਰਾਮ</v>
      </c>
      <c r="B21" s="44" t="str">
        <f t="shared" si="5"/>
        <v>ਸੁਮਿੱਤਰਾ ਰਾਣੀ</v>
      </c>
      <c r="C21" s="44" t="str">
        <f t="shared" si="5"/>
        <v>ਸੰਦੀਪ ਕੁਮਾਰ</v>
      </c>
      <c r="D21" s="44" t="str">
        <f t="shared" si="5"/>
        <v>ਊਸ਼ਾ ਰਾਣਿ</v>
      </c>
      <c r="E21" s="44" t="str">
        <f t="shared" si="5"/>
        <v>ਕੁਲਦੀਪ ਕੁਮਾਰ</v>
      </c>
      <c r="F21" s="44" t="str">
        <f t="shared" si="5"/>
        <v>ਵੀਰਾਂ ਰਾਣੀ</v>
      </c>
      <c r="G21" s="98"/>
      <c r="H21" s="217" t="str">
        <f>P47</f>
        <v>20 ਹੁਕਮ ਚੰਦ ਜੋਸਣ</v>
      </c>
      <c r="I21" s="147">
        <v>20</v>
      </c>
      <c r="J21" s="116">
        <v>1</v>
      </c>
      <c r="K21" s="116">
        <v>1</v>
      </c>
      <c r="L21" s="116">
        <v>1</v>
      </c>
      <c r="M21" s="116">
        <v>1</v>
      </c>
      <c r="N21" s="116">
        <v>1</v>
      </c>
      <c r="O21" s="18">
        <v>1</v>
      </c>
      <c r="P21" s="142">
        <v>20</v>
      </c>
      <c r="Q21" s="18">
        <v>1</v>
      </c>
      <c r="R21" s="18">
        <v>1</v>
      </c>
      <c r="S21" s="18">
        <v>1</v>
      </c>
      <c r="T21" s="18">
        <v>1</v>
      </c>
      <c r="U21" s="18">
        <v>1</v>
      </c>
      <c r="V21" s="18">
        <v>1</v>
      </c>
      <c r="W21" s="142">
        <v>35</v>
      </c>
      <c r="X21" s="18">
        <v>1</v>
      </c>
      <c r="Y21" s="18">
        <v>1</v>
      </c>
      <c r="Z21" s="18">
        <v>1</v>
      </c>
      <c r="AA21" s="18">
        <v>1</v>
      </c>
      <c r="AB21" s="18">
        <v>1</v>
      </c>
      <c r="AC21" s="143"/>
      <c r="AD21" s="29"/>
      <c r="AE21" s="29"/>
      <c r="AF21" s="29"/>
      <c r="AG21" s="29"/>
      <c r="AH21" s="29"/>
      <c r="AI21" s="29"/>
      <c r="AJ21" s="29"/>
      <c r="AL21" s="161" t="s">
        <v>472</v>
      </c>
      <c r="AM21" s="40">
        <v>1</v>
      </c>
      <c r="AN21" s="40">
        <v>1</v>
      </c>
      <c r="AO21" s="18">
        <v>1</v>
      </c>
      <c r="AP21" s="18">
        <v>1</v>
      </c>
      <c r="AQ21" s="18">
        <v>1</v>
      </c>
      <c r="AR21" s="18">
        <v>1</v>
      </c>
      <c r="AS21" s="165">
        <v>20</v>
      </c>
      <c r="AT21" s="18">
        <v>1</v>
      </c>
      <c r="AU21" s="18">
        <v>1</v>
      </c>
      <c r="AV21" s="18">
        <v>1</v>
      </c>
      <c r="AW21" s="18">
        <v>1</v>
      </c>
      <c r="AX21" s="18">
        <v>1</v>
      </c>
      <c r="AY21" s="18">
        <v>1</v>
      </c>
      <c r="AZ21" s="165">
        <v>20</v>
      </c>
      <c r="BA21" s="18">
        <v>1</v>
      </c>
      <c r="BB21" s="18">
        <v>1</v>
      </c>
      <c r="BC21" s="18">
        <v>1</v>
      </c>
      <c r="BD21" s="18">
        <v>1</v>
      </c>
      <c r="BE21" s="18">
        <v>1</v>
      </c>
      <c r="BF21" s="18">
        <v>1</v>
      </c>
      <c r="BG21" s="171"/>
      <c r="BH21" s="165">
        <v>20</v>
      </c>
      <c r="BI21" s="5">
        <v>1</v>
      </c>
      <c r="BJ21" s="5">
        <v>1</v>
      </c>
      <c r="BK21" s="5">
        <v>1</v>
      </c>
      <c r="BL21" s="5">
        <v>1</v>
      </c>
      <c r="BM21" s="5">
        <v>1</v>
      </c>
      <c r="BN21" s="18">
        <v>1</v>
      </c>
    </row>
    <row r="22" spans="1:66" ht="14.25" hidden="1" customHeight="1">
      <c r="A22" s="44" t="str">
        <f t="shared" si="5"/>
        <v>ਓਮ ਪ੍ਰਕਾਸ਼</v>
      </c>
      <c r="B22" s="44" t="str">
        <f t="shared" si="5"/>
        <v>ਦਰਸਣਾ ਰਾਣੀ</v>
      </c>
      <c r="C22" s="44" t="str">
        <f t="shared" si="5"/>
        <v>ਨਵਦੀਪ ਕੁਮਾਰ</v>
      </c>
      <c r="D22" s="44" t="str">
        <f t="shared" si="5"/>
        <v>ਗੁਰਪ੍ਰੀਤ ਰਾਣੀ</v>
      </c>
      <c r="E22" s="44" t="str">
        <f t="shared" si="5"/>
        <v>ਪੁਨੀਤ</v>
      </c>
      <c r="F22" s="44" t="str">
        <f t="shared" si="5"/>
        <v>ਵਨੀਸਾ ਕੰਬੋਜ</v>
      </c>
      <c r="G22" s="98"/>
      <c r="H22" s="137" t="str">
        <f>W2</f>
        <v>21 ਲਾਲ ਚੰਦ</v>
      </c>
      <c r="I22" s="144" t="s">
        <v>354</v>
      </c>
      <c r="J22" s="18" t="s">
        <v>129</v>
      </c>
      <c r="K22" s="18" t="s">
        <v>473</v>
      </c>
      <c r="L22" s="18" t="s">
        <v>474</v>
      </c>
      <c r="M22" s="18">
        <v>1</v>
      </c>
      <c r="N22" s="18">
        <v>1</v>
      </c>
      <c r="O22" s="143" t="s">
        <v>1140</v>
      </c>
      <c r="P22" s="144" t="s">
        <v>435</v>
      </c>
      <c r="Q22" s="18">
        <v>1</v>
      </c>
      <c r="R22" s="18">
        <v>1</v>
      </c>
      <c r="S22" s="18">
        <v>1</v>
      </c>
      <c r="T22" s="18">
        <v>1</v>
      </c>
      <c r="U22" s="18">
        <v>1</v>
      </c>
      <c r="V22" s="143" t="s">
        <v>1149</v>
      </c>
      <c r="W22" s="144" t="s">
        <v>475</v>
      </c>
      <c r="X22" s="18" t="s">
        <v>476</v>
      </c>
      <c r="Y22" s="18" t="s">
        <v>234</v>
      </c>
      <c r="Z22" s="18" t="s">
        <v>477</v>
      </c>
      <c r="AA22" s="18">
        <v>1</v>
      </c>
      <c r="AB22" s="18">
        <v>1</v>
      </c>
      <c r="AC22" s="143" t="s">
        <v>1157</v>
      </c>
      <c r="AD22" s="29"/>
      <c r="AE22" s="29"/>
      <c r="AF22" s="29"/>
      <c r="AG22" s="29"/>
      <c r="AH22" s="29"/>
      <c r="AI22" s="29"/>
      <c r="AJ22" s="29"/>
      <c r="AL22" s="144" t="s">
        <v>478</v>
      </c>
      <c r="AM22" s="18">
        <v>1</v>
      </c>
      <c r="AN22" s="18">
        <v>1</v>
      </c>
      <c r="AO22" s="18">
        <v>1</v>
      </c>
      <c r="AP22" s="18">
        <v>1</v>
      </c>
      <c r="AQ22" s="18">
        <v>1</v>
      </c>
      <c r="AR22" s="143" t="s">
        <v>1166</v>
      </c>
      <c r="AS22" s="166" t="s">
        <v>479</v>
      </c>
      <c r="AT22" s="18">
        <v>1</v>
      </c>
      <c r="AU22" s="18">
        <v>1</v>
      </c>
      <c r="AV22" s="18">
        <v>1</v>
      </c>
      <c r="AW22" s="18">
        <v>1</v>
      </c>
      <c r="AX22" s="18">
        <v>1</v>
      </c>
      <c r="AY22" s="143" t="s">
        <v>1175</v>
      </c>
      <c r="AZ22" s="166" t="s">
        <v>480</v>
      </c>
      <c r="BA22" s="18">
        <v>1</v>
      </c>
      <c r="BB22" s="18">
        <v>1</v>
      </c>
      <c r="BC22" s="18">
        <v>1</v>
      </c>
      <c r="BD22" s="18">
        <v>1</v>
      </c>
      <c r="BE22" s="18">
        <v>1</v>
      </c>
      <c r="BF22" s="170" t="s">
        <v>1183</v>
      </c>
      <c r="BG22" s="171"/>
      <c r="BH22" s="166" t="s">
        <v>481</v>
      </c>
      <c r="BI22" s="5">
        <v>1</v>
      </c>
      <c r="BJ22" s="5">
        <v>1</v>
      </c>
      <c r="BK22" s="5">
        <v>1</v>
      </c>
      <c r="BL22" s="5">
        <v>1</v>
      </c>
      <c r="BM22" s="5">
        <v>1</v>
      </c>
      <c r="BN22" s="174" t="s">
        <v>1191</v>
      </c>
    </row>
    <row r="23" spans="1:66" ht="14.25" hidden="1" customHeight="1">
      <c r="A23" s="44" t="str">
        <f t="shared" si="5"/>
        <v>ਪਰਸ਼ੋਤਮ ਚੰਦ</v>
      </c>
      <c r="B23" s="44" t="str">
        <f t="shared" si="5"/>
        <v>ਕੈਲਾਸ਼ ਰਾਣੀ</v>
      </c>
      <c r="C23" s="44" t="str">
        <f t="shared" si="5"/>
        <v>ਪਾਇਲ ਕੰਬੋਜ</v>
      </c>
      <c r="D23" s="44" t="str">
        <f t="shared" si="5"/>
        <v>ਸਾਗਰ</v>
      </c>
      <c r="E23" s="44">
        <f t="shared" si="5"/>
        <v>1</v>
      </c>
      <c r="F23" s="44">
        <f t="shared" si="5"/>
        <v>1</v>
      </c>
      <c r="G23" s="98"/>
      <c r="H23" s="129" t="str">
        <f>W7</f>
        <v>22 ਹੁਕਮ ਚੰਦ ਫੌਜੀ ਪੁੰਨੂੰ ਰਾਮ</v>
      </c>
      <c r="I23" s="142" t="s">
        <v>333</v>
      </c>
      <c r="J23" s="18" t="s">
        <v>482</v>
      </c>
      <c r="K23" s="120" t="s">
        <v>565</v>
      </c>
      <c r="L23" s="18">
        <v>1</v>
      </c>
      <c r="M23" s="18">
        <v>1</v>
      </c>
      <c r="N23" s="18">
        <v>1</v>
      </c>
      <c r="O23" s="18">
        <v>1</v>
      </c>
      <c r="P23" s="142" t="s">
        <v>483</v>
      </c>
      <c r="Q23" s="18" t="s">
        <v>94</v>
      </c>
      <c r="R23" s="18">
        <v>1</v>
      </c>
      <c r="S23" s="18">
        <v>1</v>
      </c>
      <c r="T23" s="18">
        <v>1</v>
      </c>
      <c r="U23" s="18">
        <v>1</v>
      </c>
      <c r="V23" s="18">
        <v>1</v>
      </c>
      <c r="W23" s="142" t="s">
        <v>177</v>
      </c>
      <c r="X23" s="18" t="s">
        <v>311</v>
      </c>
      <c r="Y23" s="120" t="s">
        <v>1320</v>
      </c>
      <c r="Z23" s="18">
        <v>1</v>
      </c>
      <c r="AA23" s="18">
        <v>1</v>
      </c>
      <c r="AB23" s="18">
        <v>1</v>
      </c>
      <c r="AC23" s="143"/>
      <c r="AD23" s="29"/>
      <c r="AE23" s="29"/>
      <c r="AF23" s="29"/>
      <c r="AG23" s="29"/>
      <c r="AH23" s="29"/>
      <c r="AI23" s="29"/>
      <c r="AJ23" s="29"/>
      <c r="AL23" s="142" t="s">
        <v>484</v>
      </c>
      <c r="AM23" s="18" t="s">
        <v>485</v>
      </c>
      <c r="AN23" s="18">
        <v>1</v>
      </c>
      <c r="AO23" s="18">
        <v>1</v>
      </c>
      <c r="AP23" s="18">
        <v>1</v>
      </c>
      <c r="AQ23" s="18">
        <v>1</v>
      </c>
      <c r="AR23" s="18">
        <v>1</v>
      </c>
      <c r="AS23" s="165" t="s">
        <v>486</v>
      </c>
      <c r="AT23" s="18" t="s">
        <v>487</v>
      </c>
      <c r="AU23" s="18" t="s">
        <v>488</v>
      </c>
      <c r="AV23" s="18">
        <v>1</v>
      </c>
      <c r="AW23" s="18">
        <v>1</v>
      </c>
      <c r="AX23" s="18">
        <v>1</v>
      </c>
      <c r="AY23" s="18">
        <v>1</v>
      </c>
      <c r="AZ23" s="165" t="s">
        <v>134</v>
      </c>
      <c r="BA23" s="18" t="s">
        <v>94</v>
      </c>
      <c r="BB23" s="18">
        <v>1</v>
      </c>
      <c r="BC23" s="18">
        <v>1</v>
      </c>
      <c r="BD23" s="18">
        <v>1</v>
      </c>
      <c r="BE23" s="18">
        <v>1</v>
      </c>
      <c r="BF23" s="18">
        <v>1</v>
      </c>
      <c r="BG23" s="171"/>
      <c r="BH23" s="165" t="s">
        <v>214</v>
      </c>
      <c r="BI23" s="5" t="s">
        <v>489</v>
      </c>
      <c r="BJ23" s="5">
        <v>1</v>
      </c>
      <c r="BK23" s="5">
        <v>1</v>
      </c>
      <c r="BL23" s="5">
        <v>1</v>
      </c>
      <c r="BM23" s="5">
        <v>1</v>
      </c>
      <c r="BN23" s="18">
        <v>1</v>
      </c>
    </row>
    <row r="24" spans="1:66" ht="14.25" hidden="1" customHeight="1">
      <c r="A24" s="44" t="str">
        <f t="shared" si="5"/>
        <v>ਜਗਦੇਵ ਚੰਦ</v>
      </c>
      <c r="B24" s="44" t="str">
        <f t="shared" si="5"/>
        <v>ਰਾਜ ਰਾਣੀ</v>
      </c>
      <c r="C24" s="44" t="str">
        <f t="shared" si="5"/>
        <v>ਮਨੀਸ਼ ਕੁਮਾਰ</v>
      </c>
      <c r="D24" s="44" t="str">
        <f t="shared" si="5"/>
        <v>ਮੰਜੂ ਬਾਲਾ</v>
      </c>
      <c r="E24" s="44">
        <f t="shared" si="5"/>
        <v>1</v>
      </c>
      <c r="F24" s="44">
        <f t="shared" si="5"/>
        <v>1</v>
      </c>
      <c r="G24" s="98"/>
      <c r="H24" s="129" t="str">
        <f>W12</f>
        <v>23 ਸੋਨਾਂ ਰਾਮ ਪੁੰਨੂੰ ਰਾਮ</v>
      </c>
      <c r="I24" s="142" t="s">
        <v>490</v>
      </c>
      <c r="J24" s="18" t="s">
        <v>491</v>
      </c>
      <c r="K24" s="18">
        <v>1</v>
      </c>
      <c r="L24" s="18">
        <v>1</v>
      </c>
      <c r="M24" s="18">
        <v>1</v>
      </c>
      <c r="N24" s="18">
        <v>1</v>
      </c>
      <c r="O24" s="18">
        <v>1</v>
      </c>
      <c r="P24" s="142" t="s">
        <v>128</v>
      </c>
      <c r="Q24" s="18" t="s">
        <v>405</v>
      </c>
      <c r="R24" s="120" t="s">
        <v>1354</v>
      </c>
      <c r="S24" s="18">
        <v>1</v>
      </c>
      <c r="T24" s="18">
        <v>1</v>
      </c>
      <c r="U24" s="18">
        <v>1</v>
      </c>
      <c r="V24" s="18">
        <v>1</v>
      </c>
      <c r="W24" s="142" t="s">
        <v>492</v>
      </c>
      <c r="X24" s="18" t="s">
        <v>107</v>
      </c>
      <c r="Y24" s="18" t="s">
        <v>493</v>
      </c>
      <c r="Z24" s="18">
        <v>1</v>
      </c>
      <c r="AA24" s="18">
        <v>1</v>
      </c>
      <c r="AB24" s="18">
        <v>1</v>
      </c>
      <c r="AC24" s="143"/>
      <c r="AD24" s="29"/>
      <c r="AE24" s="29"/>
      <c r="AF24" s="29"/>
      <c r="AG24" s="29"/>
      <c r="AH24" s="29"/>
      <c r="AI24" s="29"/>
      <c r="AJ24" s="29"/>
      <c r="AL24" s="142" t="s">
        <v>457</v>
      </c>
      <c r="AM24" s="18">
        <v>1</v>
      </c>
      <c r="AN24" s="18">
        <v>1</v>
      </c>
      <c r="AO24" s="18">
        <v>1</v>
      </c>
      <c r="AP24" s="18">
        <v>1</v>
      </c>
      <c r="AQ24" s="18">
        <v>1</v>
      </c>
      <c r="AR24" s="18">
        <v>1</v>
      </c>
      <c r="AS24" s="165" t="s">
        <v>494</v>
      </c>
      <c r="AT24" s="18">
        <v>1</v>
      </c>
      <c r="AU24" s="18">
        <v>1</v>
      </c>
      <c r="AV24" s="18">
        <v>1</v>
      </c>
      <c r="AW24" s="18">
        <v>1</v>
      </c>
      <c r="AX24" s="18">
        <v>1</v>
      </c>
      <c r="AY24" s="18">
        <v>1</v>
      </c>
      <c r="AZ24" s="165" t="s">
        <v>93</v>
      </c>
      <c r="BA24" s="18" t="s">
        <v>495</v>
      </c>
      <c r="BB24" s="18" t="s">
        <v>496</v>
      </c>
      <c r="BC24" s="18">
        <v>1</v>
      </c>
      <c r="BD24" s="18">
        <v>1</v>
      </c>
      <c r="BE24" s="18">
        <v>1</v>
      </c>
      <c r="BF24" s="18">
        <v>1</v>
      </c>
      <c r="BG24" s="171"/>
      <c r="BH24" s="165" t="s">
        <v>161</v>
      </c>
      <c r="BI24" s="5" t="s">
        <v>175</v>
      </c>
      <c r="BJ24" s="5">
        <v>1</v>
      </c>
      <c r="BK24" s="5">
        <v>1</v>
      </c>
      <c r="BL24" s="5">
        <v>1</v>
      </c>
      <c r="BM24" s="5">
        <v>1</v>
      </c>
      <c r="BN24" s="18">
        <v>1</v>
      </c>
    </row>
    <row r="25" spans="1:66" ht="14.25" hidden="1" customHeight="1">
      <c r="G25" s="99"/>
      <c r="H25" s="131" t="str">
        <f>W17</f>
        <v>24 ਹਰੀ ਚੰਦ ਪੁੰਨੂੰ ਰਾਮ</v>
      </c>
      <c r="I25" s="142" t="s">
        <v>497</v>
      </c>
      <c r="J25" s="120" t="s">
        <v>1336</v>
      </c>
      <c r="K25" s="18">
        <v>1</v>
      </c>
      <c r="L25" s="18">
        <v>1</v>
      </c>
      <c r="M25" s="18">
        <v>1</v>
      </c>
      <c r="N25" s="18">
        <v>1</v>
      </c>
      <c r="O25" s="18">
        <v>1</v>
      </c>
      <c r="P25" s="212" t="s">
        <v>1355</v>
      </c>
      <c r="Q25" s="18">
        <v>1</v>
      </c>
      <c r="R25" s="18">
        <v>1</v>
      </c>
      <c r="S25" s="18">
        <v>1</v>
      </c>
      <c r="T25" s="18">
        <v>1</v>
      </c>
      <c r="U25" s="18">
        <v>1</v>
      </c>
      <c r="V25" s="18">
        <v>1</v>
      </c>
      <c r="W25" s="142" t="s">
        <v>112</v>
      </c>
      <c r="X25" s="18" t="s">
        <v>75</v>
      </c>
      <c r="Y25" s="18">
        <v>1</v>
      </c>
      <c r="Z25" s="18">
        <v>1</v>
      </c>
      <c r="AA25" s="18">
        <v>1</v>
      </c>
      <c r="AB25" s="18">
        <v>1</v>
      </c>
      <c r="AC25" s="143"/>
      <c r="AD25" s="29"/>
      <c r="AE25" s="29"/>
      <c r="AF25" s="29"/>
      <c r="AG25" s="29"/>
      <c r="AH25" s="29"/>
      <c r="AI25" s="29"/>
      <c r="AJ25" s="29"/>
      <c r="AL25" s="142" t="s">
        <v>498</v>
      </c>
      <c r="AM25" s="18">
        <v>1</v>
      </c>
      <c r="AN25" s="18">
        <v>1</v>
      </c>
      <c r="AO25" s="18">
        <v>1</v>
      </c>
      <c r="AP25" s="18">
        <v>1</v>
      </c>
      <c r="AQ25" s="18">
        <v>1</v>
      </c>
      <c r="AR25" s="18">
        <v>1</v>
      </c>
      <c r="AS25" s="165" t="s">
        <v>499</v>
      </c>
      <c r="AT25" s="18">
        <v>1</v>
      </c>
      <c r="AU25" s="18">
        <v>1</v>
      </c>
      <c r="AV25" s="18">
        <v>1</v>
      </c>
      <c r="AW25" s="18">
        <v>1</v>
      </c>
      <c r="AX25" s="18">
        <v>1</v>
      </c>
      <c r="AY25" s="18">
        <v>1</v>
      </c>
      <c r="AZ25" s="165">
        <v>24</v>
      </c>
      <c r="BA25" s="18">
        <v>1</v>
      </c>
      <c r="BB25" s="18">
        <v>1</v>
      </c>
      <c r="BC25" s="18">
        <v>1</v>
      </c>
      <c r="BD25" s="18">
        <v>1</v>
      </c>
      <c r="BE25" s="18">
        <v>1</v>
      </c>
      <c r="BF25" s="18">
        <v>1</v>
      </c>
      <c r="BG25" s="171"/>
      <c r="BH25" s="165" t="s">
        <v>279</v>
      </c>
      <c r="BI25" s="5" t="s">
        <v>348</v>
      </c>
      <c r="BJ25" s="5">
        <v>1</v>
      </c>
      <c r="BK25" s="5">
        <v>1</v>
      </c>
      <c r="BL25" s="5">
        <v>1</v>
      </c>
      <c r="BM25" s="5">
        <v>1</v>
      </c>
      <c r="BN25" s="18">
        <v>1</v>
      </c>
    </row>
    <row r="26" spans="1:66" ht="14.25" customHeight="1">
      <c r="G26" s="99"/>
      <c r="H26" s="133" t="str">
        <f>W22</f>
        <v>25 ਅਮਰ ਸਿੰਘ ਮਾਣ ਸਿੰਘ</v>
      </c>
      <c r="I26" s="142">
        <v>25</v>
      </c>
      <c r="J26" s="18">
        <v>1</v>
      </c>
      <c r="K26" s="18">
        <v>1</v>
      </c>
      <c r="L26" s="18">
        <v>1</v>
      </c>
      <c r="M26" s="18">
        <v>1</v>
      </c>
      <c r="N26" s="18">
        <v>1</v>
      </c>
      <c r="O26" s="18">
        <v>1</v>
      </c>
      <c r="P26" s="142">
        <v>25</v>
      </c>
      <c r="Q26" s="18">
        <v>1</v>
      </c>
      <c r="R26" s="18">
        <v>1</v>
      </c>
      <c r="S26" s="18">
        <v>1</v>
      </c>
      <c r="T26" s="18">
        <v>1</v>
      </c>
      <c r="U26" s="18">
        <v>1</v>
      </c>
      <c r="V26" s="18">
        <v>1</v>
      </c>
      <c r="W26" s="142" t="s">
        <v>201</v>
      </c>
      <c r="X26" s="120" t="s">
        <v>175</v>
      </c>
      <c r="Y26" s="18">
        <v>1</v>
      </c>
      <c r="Z26" s="18">
        <v>1</v>
      </c>
      <c r="AA26" s="18">
        <v>1</v>
      </c>
      <c r="AB26" s="18">
        <v>1</v>
      </c>
      <c r="AC26" s="143"/>
      <c r="AD26" s="29"/>
      <c r="AE26" s="29"/>
      <c r="AF26" s="29"/>
      <c r="AG26" s="29"/>
      <c r="AH26" s="29"/>
      <c r="AI26" s="29"/>
      <c r="AJ26" s="29"/>
      <c r="AL26" s="142">
        <v>25</v>
      </c>
      <c r="AM26" s="18">
        <v>1</v>
      </c>
      <c r="AN26" s="18">
        <v>1</v>
      </c>
      <c r="AO26" s="18">
        <v>1</v>
      </c>
      <c r="AP26" s="18">
        <v>1</v>
      </c>
      <c r="AQ26" s="18">
        <v>1</v>
      </c>
      <c r="AR26" s="18">
        <v>1</v>
      </c>
      <c r="AS26" s="165">
        <v>25</v>
      </c>
      <c r="AT26" s="18">
        <v>1</v>
      </c>
      <c r="AU26" s="18">
        <v>1</v>
      </c>
      <c r="AV26" s="18">
        <v>1</v>
      </c>
      <c r="AW26" s="18">
        <v>1</v>
      </c>
      <c r="AX26" s="18">
        <v>1</v>
      </c>
      <c r="AY26" s="18">
        <v>1</v>
      </c>
      <c r="AZ26" s="165" t="s">
        <v>69</v>
      </c>
      <c r="BA26" s="18" t="s">
        <v>500</v>
      </c>
      <c r="BB26" s="18" t="s">
        <v>501</v>
      </c>
      <c r="BC26" s="18" t="s">
        <v>502</v>
      </c>
      <c r="BD26" s="18">
        <v>1</v>
      </c>
      <c r="BE26" s="18">
        <v>1</v>
      </c>
      <c r="BF26" s="18">
        <v>1</v>
      </c>
      <c r="BG26" s="171"/>
      <c r="BH26" s="165">
        <v>25</v>
      </c>
      <c r="BI26" s="5">
        <v>1</v>
      </c>
      <c r="BJ26" s="5">
        <v>1</v>
      </c>
      <c r="BK26" s="5">
        <v>1</v>
      </c>
      <c r="BL26" s="5">
        <v>1</v>
      </c>
      <c r="BM26" s="5">
        <v>1</v>
      </c>
      <c r="BN26" s="18">
        <v>1</v>
      </c>
    </row>
    <row r="27" spans="1:66" ht="14.25" customHeight="1">
      <c r="A27" s="43" t="s">
        <v>13</v>
      </c>
      <c r="B27" s="43" t="s">
        <v>14</v>
      </c>
      <c r="C27" s="43" t="s">
        <v>15</v>
      </c>
      <c r="D27" s="43" t="s">
        <v>16</v>
      </c>
      <c r="E27" s="43" t="s">
        <v>17</v>
      </c>
      <c r="F27" s="43" t="s">
        <v>18</v>
      </c>
      <c r="G27" s="97"/>
      <c r="H27" s="131" t="str">
        <f>W27</f>
        <v>26 ਪ੍ਰੇਮ ਚੰਦ ਕਾਲੂ ਰਾਮ</v>
      </c>
      <c r="I27" s="144" t="s">
        <v>356</v>
      </c>
      <c r="J27" s="18" t="s">
        <v>164</v>
      </c>
      <c r="K27" s="18" t="s">
        <v>504</v>
      </c>
      <c r="L27" s="18">
        <v>1</v>
      </c>
      <c r="M27" s="18">
        <v>1</v>
      </c>
      <c r="N27" s="18">
        <v>1</v>
      </c>
      <c r="O27" s="143" t="s">
        <v>1141</v>
      </c>
      <c r="P27" s="146" t="s">
        <v>438</v>
      </c>
      <c r="Q27" s="116" t="s">
        <v>347</v>
      </c>
      <c r="R27" s="116" t="s">
        <v>505</v>
      </c>
      <c r="S27" s="116">
        <v>1</v>
      </c>
      <c r="T27" s="116">
        <v>1</v>
      </c>
      <c r="U27" s="116">
        <v>1</v>
      </c>
      <c r="V27" s="143"/>
      <c r="W27" s="144" t="s">
        <v>503</v>
      </c>
      <c r="X27" s="18" t="s">
        <v>150</v>
      </c>
      <c r="Y27" s="18">
        <v>1</v>
      </c>
      <c r="Z27" s="18">
        <v>1</v>
      </c>
      <c r="AA27" s="18">
        <v>1</v>
      </c>
      <c r="AB27" s="18">
        <v>1</v>
      </c>
      <c r="AC27" s="143" t="s">
        <v>1158</v>
      </c>
      <c r="AD27" s="29"/>
      <c r="AE27" s="29"/>
      <c r="AF27" s="29"/>
      <c r="AG27" s="29"/>
      <c r="AH27" s="29"/>
      <c r="AI27" s="29"/>
      <c r="AJ27" s="29"/>
      <c r="AL27" s="162" t="s">
        <v>506</v>
      </c>
      <c r="AM27" s="46">
        <v>1</v>
      </c>
      <c r="AN27" s="46">
        <v>1</v>
      </c>
      <c r="AO27" s="46">
        <v>1</v>
      </c>
      <c r="AP27" s="46">
        <v>1</v>
      </c>
      <c r="AQ27" s="46">
        <v>1</v>
      </c>
      <c r="AR27" s="143" t="s">
        <v>1167</v>
      </c>
      <c r="AS27" s="166" t="s">
        <v>507</v>
      </c>
      <c r="AT27" s="18" t="s">
        <v>508</v>
      </c>
      <c r="AU27" s="18">
        <v>1</v>
      </c>
      <c r="AV27" s="18" t="s">
        <v>509</v>
      </c>
      <c r="AW27" s="18" t="s">
        <v>116</v>
      </c>
      <c r="AX27" s="18">
        <v>1</v>
      </c>
      <c r="AY27" s="145" t="s">
        <v>1418</v>
      </c>
      <c r="AZ27" s="166" t="s">
        <v>510</v>
      </c>
      <c r="BA27" s="18">
        <v>1</v>
      </c>
      <c r="BB27" s="18">
        <v>1</v>
      </c>
      <c r="BC27" s="18">
        <v>1</v>
      </c>
      <c r="BD27" s="18">
        <v>1</v>
      </c>
      <c r="BE27" s="18">
        <v>1</v>
      </c>
      <c r="BF27" s="170" t="s">
        <v>1184</v>
      </c>
      <c r="BG27" s="171"/>
      <c r="BH27" s="166" t="s">
        <v>511</v>
      </c>
      <c r="BI27" s="5" t="s">
        <v>512</v>
      </c>
      <c r="BJ27" s="5" t="s">
        <v>513</v>
      </c>
      <c r="BK27" s="5" t="s">
        <v>514</v>
      </c>
      <c r="BL27" s="5">
        <v>1</v>
      </c>
      <c r="BM27" s="5">
        <v>1</v>
      </c>
      <c r="BN27" s="174" t="s">
        <v>1192</v>
      </c>
    </row>
    <row r="28" spans="1:66" ht="14.25" customHeight="1">
      <c r="A28" s="44" t="str">
        <f t="shared" ref="A28:F32" si="6">IF(A20&lt;100,"",A20)</f>
        <v>63 ਲਖਮੀ ਚੰਦ</v>
      </c>
      <c r="B28" s="44" t="str">
        <f t="shared" si="6"/>
        <v>ਬੱਸੀ ਬਾਈ</v>
      </c>
      <c r="C28" s="44" t="str">
        <f t="shared" si="6"/>
        <v>ਪਰਮਾ ਨੰਦ</v>
      </c>
      <c r="D28" s="44" t="str">
        <f t="shared" si="6"/>
        <v>ਸੰਤੋਸ਼ ਰਾਣੀ</v>
      </c>
      <c r="E28" s="44" t="str">
        <f t="shared" si="6"/>
        <v/>
      </c>
      <c r="F28" s="44" t="str">
        <f t="shared" si="6"/>
        <v/>
      </c>
      <c r="G28" s="98"/>
      <c r="H28" s="129" t="str">
        <f>W32</f>
        <v>27 ਭਗਵਾਨ ਚੰਦ ਕਾਲੂ ਰਾਮ</v>
      </c>
      <c r="I28" s="142" t="s">
        <v>516</v>
      </c>
      <c r="J28" s="18">
        <v>1</v>
      </c>
      <c r="K28" s="18">
        <v>1</v>
      </c>
      <c r="L28" s="18">
        <v>1</v>
      </c>
      <c r="M28" s="18">
        <v>1</v>
      </c>
      <c r="N28" s="18">
        <v>1</v>
      </c>
      <c r="O28" s="18">
        <v>1</v>
      </c>
      <c r="P28" s="147" t="s">
        <v>440</v>
      </c>
      <c r="Q28" s="116">
        <v>1</v>
      </c>
      <c r="R28" s="116">
        <v>1</v>
      </c>
      <c r="S28" s="116">
        <v>1</v>
      </c>
      <c r="T28" s="116">
        <v>1</v>
      </c>
      <c r="U28" s="116">
        <v>1</v>
      </c>
      <c r="V28" s="18">
        <v>1</v>
      </c>
      <c r="W28" s="142" t="s">
        <v>517</v>
      </c>
      <c r="X28" s="18" t="s">
        <v>518</v>
      </c>
      <c r="Y28" s="18">
        <v>1</v>
      </c>
      <c r="Z28" s="18">
        <v>1</v>
      </c>
      <c r="AA28" s="18">
        <v>1</v>
      </c>
      <c r="AB28" s="18">
        <v>1</v>
      </c>
      <c r="AC28" s="143"/>
      <c r="AD28" s="29"/>
      <c r="AE28" s="29"/>
      <c r="AF28" s="29"/>
      <c r="AG28" s="29"/>
      <c r="AH28" s="29"/>
      <c r="AI28" s="29"/>
      <c r="AJ28" s="29"/>
      <c r="AL28" s="163" t="s">
        <v>519</v>
      </c>
      <c r="AM28" s="46" t="s">
        <v>129</v>
      </c>
      <c r="AN28" s="46">
        <v>1</v>
      </c>
      <c r="AO28" s="46">
        <v>1</v>
      </c>
      <c r="AP28" s="46">
        <v>1</v>
      </c>
      <c r="AQ28" s="18">
        <v>1</v>
      </c>
      <c r="AR28" s="18">
        <v>1</v>
      </c>
      <c r="AS28" s="165" t="s">
        <v>520</v>
      </c>
      <c r="AT28" s="18" t="s">
        <v>103</v>
      </c>
      <c r="AU28" s="18" t="s">
        <v>521</v>
      </c>
      <c r="AV28" s="18" t="s">
        <v>522</v>
      </c>
      <c r="AW28" s="18">
        <v>1</v>
      </c>
      <c r="AX28" s="18">
        <v>1</v>
      </c>
      <c r="AY28" s="18">
        <v>1</v>
      </c>
      <c r="AZ28" s="165" t="s">
        <v>523</v>
      </c>
      <c r="BA28" s="18" t="s">
        <v>311</v>
      </c>
      <c r="BB28" s="18" t="s">
        <v>459</v>
      </c>
      <c r="BC28" s="18" t="s">
        <v>423</v>
      </c>
      <c r="BD28" s="18" t="s">
        <v>524</v>
      </c>
      <c r="BE28" s="18">
        <v>1</v>
      </c>
      <c r="BF28" s="18">
        <v>1</v>
      </c>
      <c r="BG28" s="171"/>
      <c r="BH28" s="165" t="s">
        <v>69</v>
      </c>
      <c r="BI28" s="5" t="s">
        <v>143</v>
      </c>
      <c r="BJ28" s="5" t="s">
        <v>525</v>
      </c>
      <c r="BK28" s="5">
        <v>1</v>
      </c>
      <c r="BL28" s="5">
        <v>1</v>
      </c>
      <c r="BM28" s="5">
        <v>1</v>
      </c>
      <c r="BN28" s="18">
        <v>1</v>
      </c>
    </row>
    <row r="29" spans="1:66" ht="14.25" customHeight="1">
      <c r="A29" s="44" t="str">
        <f t="shared" si="6"/>
        <v>ਤੀਰਥ ਰਾਮ</v>
      </c>
      <c r="B29" s="44" t="str">
        <f t="shared" si="6"/>
        <v>ਸੁਮਿੱਤਰਾ ਰਾਣੀ</v>
      </c>
      <c r="C29" s="44" t="str">
        <f t="shared" si="6"/>
        <v>ਸੰਦੀਪ ਕੁਮਾਰ</v>
      </c>
      <c r="D29" s="44" t="str">
        <f t="shared" si="6"/>
        <v>ਊਸ਼ਾ ਰਾਣਿ</v>
      </c>
      <c r="E29" s="44" t="str">
        <f t="shared" si="6"/>
        <v>ਕੁਲਦੀਪ ਕੁਮਾਰ</v>
      </c>
      <c r="F29" s="44" t="str">
        <f t="shared" si="6"/>
        <v>ਵੀਰਾਂ ਰਾਣੀ</v>
      </c>
      <c r="G29" s="98"/>
      <c r="H29" s="138" t="str">
        <f>W37</f>
        <v>28 ਗੱਜਣ ਰਾਮ</v>
      </c>
      <c r="I29" s="142" t="s">
        <v>374</v>
      </c>
      <c r="J29" s="120" t="s">
        <v>75</v>
      </c>
      <c r="K29" s="18">
        <v>1</v>
      </c>
      <c r="L29" s="18">
        <v>1</v>
      </c>
      <c r="M29" s="18">
        <v>1</v>
      </c>
      <c r="N29" s="18">
        <v>1</v>
      </c>
      <c r="O29" s="18">
        <v>1</v>
      </c>
      <c r="P29" s="147">
        <v>28</v>
      </c>
      <c r="Q29" s="116">
        <v>1</v>
      </c>
      <c r="R29" s="116">
        <v>1</v>
      </c>
      <c r="S29" s="116">
        <v>1</v>
      </c>
      <c r="T29" s="116">
        <v>1</v>
      </c>
      <c r="U29" s="116">
        <v>1</v>
      </c>
      <c r="V29" s="18">
        <v>1</v>
      </c>
      <c r="W29" s="142" t="s">
        <v>334</v>
      </c>
      <c r="X29" s="120" t="s">
        <v>1371</v>
      </c>
      <c r="Y29" s="18">
        <v>1</v>
      </c>
      <c r="Z29" s="18">
        <v>1</v>
      </c>
      <c r="AA29" s="18">
        <v>1</v>
      </c>
      <c r="AB29" s="18">
        <v>1</v>
      </c>
      <c r="AC29" s="143"/>
      <c r="AD29" s="29"/>
      <c r="AE29" s="29"/>
      <c r="AF29" s="29"/>
      <c r="AG29" s="29"/>
      <c r="AH29" s="29"/>
      <c r="AI29" s="29"/>
      <c r="AJ29" s="29"/>
      <c r="AL29" s="142" t="s">
        <v>527</v>
      </c>
      <c r="AM29" s="120" t="s">
        <v>90</v>
      </c>
      <c r="AN29" s="18">
        <v>1</v>
      </c>
      <c r="AO29" s="18">
        <v>1</v>
      </c>
      <c r="AP29" s="18">
        <v>1</v>
      </c>
      <c r="AQ29" s="18">
        <v>1</v>
      </c>
      <c r="AR29" s="18">
        <v>1</v>
      </c>
      <c r="AS29" s="142" t="s">
        <v>528</v>
      </c>
      <c r="AT29" s="18" t="s">
        <v>197</v>
      </c>
      <c r="AU29" s="18">
        <v>1</v>
      </c>
      <c r="AV29" s="18">
        <v>1</v>
      </c>
      <c r="AW29" s="18">
        <v>1</v>
      </c>
      <c r="AX29" s="18">
        <v>1</v>
      </c>
      <c r="AY29" s="18">
        <v>1</v>
      </c>
      <c r="AZ29" s="165" t="s">
        <v>529</v>
      </c>
      <c r="BA29" s="18">
        <v>1</v>
      </c>
      <c r="BB29" s="18">
        <v>1</v>
      </c>
      <c r="BC29" s="18">
        <v>1</v>
      </c>
      <c r="BD29" s="18">
        <v>1</v>
      </c>
      <c r="BE29" s="18">
        <v>1</v>
      </c>
      <c r="BF29" s="18">
        <v>1</v>
      </c>
      <c r="BG29" s="171"/>
      <c r="BH29" s="165" t="s">
        <v>530</v>
      </c>
      <c r="BI29" s="5" t="s">
        <v>531</v>
      </c>
      <c r="BJ29" s="5">
        <v>1</v>
      </c>
      <c r="BK29" s="5">
        <v>1</v>
      </c>
      <c r="BL29" s="5">
        <v>1</v>
      </c>
      <c r="BM29" s="5">
        <v>1</v>
      </c>
      <c r="BN29" s="18">
        <v>1</v>
      </c>
    </row>
    <row r="30" spans="1:66" ht="14.25" customHeight="1">
      <c r="A30" s="44" t="str">
        <f t="shared" si="6"/>
        <v>ਓਮ ਪ੍ਰਕਾਸ਼</v>
      </c>
      <c r="B30" s="44" t="str">
        <f t="shared" si="6"/>
        <v>ਦਰਸਣਾ ਰਾਣੀ</v>
      </c>
      <c r="C30" s="44" t="str">
        <f t="shared" si="6"/>
        <v>ਨਵਦੀਪ ਕੁਮਾਰ</v>
      </c>
      <c r="D30" s="44" t="str">
        <f t="shared" si="6"/>
        <v>ਗੁਰਪ੍ਰੀਤ ਰਾਣੀ</v>
      </c>
      <c r="E30" s="44" t="str">
        <f t="shared" si="6"/>
        <v>ਪੁਨੀਤ</v>
      </c>
      <c r="F30" s="44" t="str">
        <f t="shared" si="6"/>
        <v>ਵਨੀਸਾ ਕੰਬੋਜ</v>
      </c>
      <c r="G30" s="98"/>
      <c r="H30" s="220" t="str">
        <f>W42</f>
        <v>29 ਰਾਮ ਦਾਸ ਨਰੈਣ ਦਾਸ</v>
      </c>
      <c r="I30" s="142">
        <v>29</v>
      </c>
      <c r="J30" s="18">
        <v>1</v>
      </c>
      <c r="K30" s="18">
        <v>1</v>
      </c>
      <c r="L30" s="18">
        <v>1</v>
      </c>
      <c r="M30" s="18">
        <v>1</v>
      </c>
      <c r="N30" s="18">
        <v>1</v>
      </c>
      <c r="O30" s="18">
        <v>1</v>
      </c>
      <c r="P30" s="147">
        <v>29</v>
      </c>
      <c r="Q30" s="116">
        <v>1</v>
      </c>
      <c r="R30" s="116">
        <v>1</v>
      </c>
      <c r="S30" s="116">
        <v>1</v>
      </c>
      <c r="T30" s="116">
        <v>1</v>
      </c>
      <c r="U30" s="116">
        <v>1</v>
      </c>
      <c r="V30" s="18">
        <v>1</v>
      </c>
      <c r="W30" s="212" t="s">
        <v>44</v>
      </c>
      <c r="X30" s="120" t="s">
        <v>143</v>
      </c>
      <c r="Y30" s="18">
        <v>1</v>
      </c>
      <c r="Z30" s="18">
        <v>1</v>
      </c>
      <c r="AA30" s="18">
        <v>1</v>
      </c>
      <c r="AB30" s="18">
        <v>1</v>
      </c>
      <c r="AC30" s="143"/>
      <c r="AD30" s="29"/>
      <c r="AE30" s="29"/>
      <c r="AF30" s="29"/>
      <c r="AG30" s="29"/>
      <c r="AH30" s="29"/>
      <c r="AI30" s="29"/>
      <c r="AJ30" s="29"/>
      <c r="AL30" s="142" t="s">
        <v>184</v>
      </c>
      <c r="AM30" s="120" t="s">
        <v>1399</v>
      </c>
      <c r="AN30" s="18">
        <v>1</v>
      </c>
      <c r="AO30" s="18">
        <v>1</v>
      </c>
      <c r="AP30" s="18">
        <v>1</v>
      </c>
      <c r="AQ30" s="18">
        <v>1</v>
      </c>
      <c r="AR30" s="18">
        <v>1</v>
      </c>
      <c r="AS30" s="165" t="s">
        <v>533</v>
      </c>
      <c r="AT30" s="18" t="s">
        <v>534</v>
      </c>
      <c r="AU30" s="18" t="s">
        <v>90</v>
      </c>
      <c r="AV30" s="18" t="s">
        <v>488</v>
      </c>
      <c r="AW30" s="18" t="s">
        <v>137</v>
      </c>
      <c r="AX30" s="18">
        <v>1</v>
      </c>
      <c r="AY30" s="18">
        <v>1</v>
      </c>
      <c r="AZ30" s="165" t="s">
        <v>457</v>
      </c>
      <c r="BA30" s="18">
        <v>1</v>
      </c>
      <c r="BB30" s="18">
        <v>1</v>
      </c>
      <c r="BC30" s="18">
        <v>1</v>
      </c>
      <c r="BD30" s="18">
        <v>1</v>
      </c>
      <c r="BE30" s="18">
        <v>1</v>
      </c>
      <c r="BF30" s="18">
        <v>1</v>
      </c>
      <c r="BG30" s="171"/>
      <c r="BH30" s="165" t="s">
        <v>535</v>
      </c>
      <c r="BI30" s="5" t="s">
        <v>536</v>
      </c>
      <c r="BJ30" s="5" t="s">
        <v>537</v>
      </c>
      <c r="BK30" s="5" t="s">
        <v>175</v>
      </c>
      <c r="BL30" s="5" t="s">
        <v>538</v>
      </c>
      <c r="BM30" s="5">
        <v>1</v>
      </c>
      <c r="BN30" s="18">
        <v>1</v>
      </c>
    </row>
    <row r="31" spans="1:66" ht="14.25" customHeight="1">
      <c r="A31" s="44" t="str">
        <f t="shared" si="6"/>
        <v>ਪਰਸ਼ੋਤਮ ਚੰਦ</v>
      </c>
      <c r="B31" s="44" t="str">
        <f t="shared" si="6"/>
        <v>ਕੈਲਾਸ਼ ਰਾਣੀ</v>
      </c>
      <c r="C31" s="44" t="str">
        <f t="shared" si="6"/>
        <v>ਪਾਇਲ ਕੰਬੋਜ</v>
      </c>
      <c r="D31" s="44" t="str">
        <f t="shared" si="6"/>
        <v>ਸਾਗਰ</v>
      </c>
      <c r="E31" s="44" t="str">
        <f t="shared" si="6"/>
        <v/>
      </c>
      <c r="F31" s="44" t="str">
        <f t="shared" si="6"/>
        <v/>
      </c>
      <c r="G31" s="100"/>
      <c r="H31" s="221" t="str">
        <f>W47</f>
        <v>30 ਹਾਕਮ ਚੰਦ ਨਰੈਣ ਦਾਸ</v>
      </c>
      <c r="I31" s="142">
        <v>30</v>
      </c>
      <c r="J31" s="18">
        <v>1</v>
      </c>
      <c r="K31" s="18">
        <v>1</v>
      </c>
      <c r="L31" s="18">
        <v>1</v>
      </c>
      <c r="M31" s="18">
        <v>1</v>
      </c>
      <c r="N31" s="18">
        <v>1</v>
      </c>
      <c r="O31" s="18">
        <v>1</v>
      </c>
      <c r="P31" s="147">
        <v>30</v>
      </c>
      <c r="Q31" s="116">
        <v>1</v>
      </c>
      <c r="R31" s="116">
        <v>1</v>
      </c>
      <c r="S31" s="116">
        <v>1</v>
      </c>
      <c r="T31" s="116">
        <v>1</v>
      </c>
      <c r="U31" s="116">
        <v>1</v>
      </c>
      <c r="V31" s="18">
        <v>1</v>
      </c>
      <c r="W31" s="142">
        <v>45</v>
      </c>
      <c r="X31" s="18">
        <v>1</v>
      </c>
      <c r="Y31" s="18">
        <v>1</v>
      </c>
      <c r="Z31" s="18">
        <v>1</v>
      </c>
      <c r="AA31" s="18">
        <v>1</v>
      </c>
      <c r="AB31" s="18">
        <v>1</v>
      </c>
      <c r="AC31" s="143"/>
      <c r="AD31" s="29"/>
      <c r="AE31" s="29"/>
      <c r="AF31" s="29"/>
      <c r="AG31" s="29"/>
      <c r="AH31" s="29"/>
      <c r="AI31" s="29"/>
      <c r="AJ31" s="29"/>
      <c r="AL31" s="142" t="s">
        <v>540</v>
      </c>
      <c r="AM31" s="18" t="s">
        <v>257</v>
      </c>
      <c r="AN31" s="18" t="s">
        <v>75</v>
      </c>
      <c r="AO31" s="18" t="s">
        <v>334</v>
      </c>
      <c r="AP31" s="120" t="s">
        <v>852</v>
      </c>
      <c r="AQ31" s="18">
        <v>1</v>
      </c>
      <c r="AR31" s="18">
        <v>1</v>
      </c>
      <c r="AS31" s="165" t="s">
        <v>541</v>
      </c>
      <c r="AT31" s="18" t="s">
        <v>107</v>
      </c>
      <c r="AU31" s="18" t="s">
        <v>542</v>
      </c>
      <c r="AV31" s="18" t="s">
        <v>543</v>
      </c>
      <c r="AW31" s="18">
        <v>1</v>
      </c>
      <c r="AX31" s="18">
        <v>1</v>
      </c>
      <c r="AY31" s="18">
        <v>1</v>
      </c>
      <c r="AZ31" s="165">
        <v>30</v>
      </c>
      <c r="BA31" s="18">
        <v>1</v>
      </c>
      <c r="BB31" s="18">
        <v>1</v>
      </c>
      <c r="BC31" s="18">
        <v>1</v>
      </c>
      <c r="BD31" s="18">
        <v>1</v>
      </c>
      <c r="BE31" s="18">
        <v>1</v>
      </c>
      <c r="BF31" s="18">
        <v>1</v>
      </c>
      <c r="BG31" s="171"/>
      <c r="BH31" s="165" t="s">
        <v>544</v>
      </c>
      <c r="BI31" s="5" t="s">
        <v>125</v>
      </c>
      <c r="BJ31" s="5" t="s">
        <v>194</v>
      </c>
      <c r="BK31" s="5" t="s">
        <v>545</v>
      </c>
      <c r="BL31" s="5" t="s">
        <v>546</v>
      </c>
      <c r="BM31" s="5">
        <v>1</v>
      </c>
      <c r="BN31" s="18">
        <v>1</v>
      </c>
    </row>
    <row r="32" spans="1:66" ht="14.25" customHeight="1">
      <c r="A32" s="44" t="str">
        <f t="shared" si="6"/>
        <v>ਜਗਦੇਵ ਚੰਦ</v>
      </c>
      <c r="B32" s="44" t="str">
        <f t="shared" si="6"/>
        <v>ਰਾਜ ਰਾਣੀ</v>
      </c>
      <c r="C32" s="44" t="str">
        <f t="shared" si="6"/>
        <v>ਮਨੀਸ਼ ਕੁਮਾਰ</v>
      </c>
      <c r="D32" s="44" t="str">
        <f t="shared" si="6"/>
        <v>ਮੰਜੂ ਬਾਲਾ</v>
      </c>
      <c r="E32" s="44" t="str">
        <f t="shared" si="6"/>
        <v/>
      </c>
      <c r="F32" s="44" t="str">
        <f t="shared" si="6"/>
        <v/>
      </c>
      <c r="G32" s="98"/>
      <c r="H32" s="232" t="str">
        <f>AL2</f>
        <v>31 ਸੋਭਾ ਰਾਮ ਨਿਬਾਹੁ ਰਾਮ</v>
      </c>
      <c r="I32" s="144" t="s">
        <v>365</v>
      </c>
      <c r="J32" s="18" t="s">
        <v>547</v>
      </c>
      <c r="K32" s="18" t="s">
        <v>548</v>
      </c>
      <c r="L32" s="18" t="s">
        <v>549</v>
      </c>
      <c r="M32" s="18" t="s">
        <v>550</v>
      </c>
      <c r="N32" s="18">
        <v>1</v>
      </c>
      <c r="O32" s="240" t="s">
        <v>1419</v>
      </c>
      <c r="P32" s="144" t="s">
        <v>448</v>
      </c>
      <c r="Q32" s="18" t="s">
        <v>551</v>
      </c>
      <c r="R32" s="18" t="s">
        <v>552</v>
      </c>
      <c r="S32" s="120" t="s">
        <v>60</v>
      </c>
      <c r="T32" s="120" t="s">
        <v>280</v>
      </c>
      <c r="U32" s="18">
        <v>1</v>
      </c>
      <c r="V32" s="143" t="s">
        <v>1150</v>
      </c>
      <c r="W32" s="144" t="s">
        <v>515</v>
      </c>
      <c r="X32" s="18" t="s">
        <v>489</v>
      </c>
      <c r="Y32" s="18" t="s">
        <v>553</v>
      </c>
      <c r="Z32" s="18">
        <v>1</v>
      </c>
      <c r="AA32" s="18">
        <v>1</v>
      </c>
      <c r="AB32" s="18">
        <v>1</v>
      </c>
      <c r="AC32" s="145" t="s">
        <v>1417</v>
      </c>
      <c r="AD32" s="29"/>
      <c r="AE32" s="29"/>
      <c r="AF32" s="29"/>
      <c r="AG32" s="29"/>
      <c r="AH32" s="29"/>
      <c r="AI32" s="29"/>
      <c r="AJ32" s="29"/>
      <c r="AK32" s="29"/>
      <c r="AL32" s="166" t="s">
        <v>1447</v>
      </c>
      <c r="AM32" s="18">
        <v>1</v>
      </c>
      <c r="AN32" s="18">
        <v>1</v>
      </c>
      <c r="AO32" s="18">
        <v>1</v>
      </c>
      <c r="AP32" s="18">
        <v>1</v>
      </c>
      <c r="AQ32" s="18">
        <v>1</v>
      </c>
      <c r="AR32" s="143"/>
      <c r="AS32" s="166" t="s">
        <v>556</v>
      </c>
      <c r="AT32" s="18">
        <v>1</v>
      </c>
      <c r="AU32" s="18">
        <v>1</v>
      </c>
      <c r="AV32" s="18">
        <v>1</v>
      </c>
      <c r="AW32" s="18">
        <v>1</v>
      </c>
      <c r="AX32" s="18">
        <v>1</v>
      </c>
      <c r="AY32" s="241" t="s">
        <v>1197</v>
      </c>
      <c r="AZ32" s="166" t="s">
        <v>557</v>
      </c>
      <c r="BA32" s="18"/>
      <c r="BB32" s="18">
        <v>1</v>
      </c>
      <c r="BC32" s="18">
        <v>1</v>
      </c>
      <c r="BD32" s="18">
        <v>1</v>
      </c>
      <c r="BE32" s="18">
        <v>1</v>
      </c>
      <c r="BF32" s="170" t="s">
        <v>1185</v>
      </c>
      <c r="BG32" s="171"/>
      <c r="BH32" s="166" t="s">
        <v>558</v>
      </c>
      <c r="BI32" s="5" t="s">
        <v>56</v>
      </c>
      <c r="BJ32" s="5">
        <v>1</v>
      </c>
      <c r="BK32" s="5">
        <v>1</v>
      </c>
      <c r="BL32" s="5">
        <v>1</v>
      </c>
      <c r="BM32" s="5">
        <v>1</v>
      </c>
      <c r="BN32" s="175" t="s">
        <v>1193</v>
      </c>
    </row>
    <row r="33" spans="1:66" ht="14.25" customHeight="1">
      <c r="A33" s="29"/>
      <c r="B33" s="29"/>
      <c r="C33" s="29"/>
      <c r="D33" s="29"/>
      <c r="E33" s="29"/>
      <c r="F33" s="29"/>
      <c r="G33" s="101"/>
      <c r="H33" s="216" t="str">
        <f>AL7</f>
        <v>32 ਉੱਤਮ ਚੰਦ ਚੰਬਾ ਰਾਮ</v>
      </c>
      <c r="I33" s="142" t="s">
        <v>158</v>
      </c>
      <c r="J33" s="18">
        <v>1</v>
      </c>
      <c r="K33" s="18">
        <v>1</v>
      </c>
      <c r="L33" s="18">
        <v>1</v>
      </c>
      <c r="M33" s="18">
        <v>1</v>
      </c>
      <c r="N33" s="18">
        <v>1</v>
      </c>
      <c r="O33" s="18">
        <v>1</v>
      </c>
      <c r="P33" s="142" t="s">
        <v>267</v>
      </c>
      <c r="Q33" s="120" t="s">
        <v>186</v>
      </c>
      <c r="R33" s="18">
        <v>1</v>
      </c>
      <c r="S33" s="18">
        <v>1</v>
      </c>
      <c r="T33" s="18">
        <v>1</v>
      </c>
      <c r="U33" s="18">
        <v>1</v>
      </c>
      <c r="V33" s="18">
        <v>1</v>
      </c>
      <c r="W33" s="142" t="s">
        <v>55</v>
      </c>
      <c r="X33" s="18" t="s">
        <v>367</v>
      </c>
      <c r="Y33" s="18">
        <v>1</v>
      </c>
      <c r="Z33" s="18">
        <v>1</v>
      </c>
      <c r="AA33" s="18">
        <v>1</v>
      </c>
      <c r="AB33" s="18">
        <v>1</v>
      </c>
      <c r="AC33" s="143"/>
      <c r="AD33" s="29"/>
      <c r="AE33" s="29"/>
      <c r="AF33" s="29"/>
      <c r="AG33" s="29"/>
      <c r="AH33" s="29"/>
      <c r="AI33" s="29"/>
      <c r="AJ33" s="29"/>
      <c r="AK33" s="29"/>
      <c r="AL33" s="165" t="s">
        <v>134</v>
      </c>
      <c r="AM33" s="18" t="s">
        <v>257</v>
      </c>
      <c r="AN33" s="18" t="s">
        <v>619</v>
      </c>
      <c r="AO33" s="18" t="s">
        <v>347</v>
      </c>
      <c r="AP33" s="18">
        <v>1</v>
      </c>
      <c r="AQ33" s="18">
        <v>1</v>
      </c>
      <c r="AR33" s="18"/>
      <c r="AS33" s="165" t="s">
        <v>561</v>
      </c>
      <c r="AT33" s="18" t="s">
        <v>562</v>
      </c>
      <c r="AU33" s="18" t="s">
        <v>563</v>
      </c>
      <c r="AV33" s="18">
        <v>1</v>
      </c>
      <c r="AW33" s="18">
        <v>1</v>
      </c>
      <c r="AX33" s="18">
        <v>1</v>
      </c>
      <c r="AY33" s="18">
        <v>1</v>
      </c>
      <c r="AZ33" s="165" t="s">
        <v>564</v>
      </c>
      <c r="BA33" s="18" t="s">
        <v>219</v>
      </c>
      <c r="BB33" s="18" t="s">
        <v>59</v>
      </c>
      <c r="BC33" s="18">
        <v>1</v>
      </c>
      <c r="BD33" s="18">
        <v>1</v>
      </c>
      <c r="BE33" s="18">
        <v>1</v>
      </c>
      <c r="BF33" s="18">
        <v>1</v>
      </c>
      <c r="BG33" s="171"/>
      <c r="BH33" s="165" t="s">
        <v>538</v>
      </c>
      <c r="BI33" s="5" t="s">
        <v>565</v>
      </c>
      <c r="BJ33" s="5">
        <v>1</v>
      </c>
      <c r="BK33" s="5">
        <v>1</v>
      </c>
      <c r="BL33" s="5">
        <v>1</v>
      </c>
      <c r="BM33" s="5">
        <v>1</v>
      </c>
      <c r="BN33" s="18">
        <v>1</v>
      </c>
    </row>
    <row r="34" spans="1:66" ht="14.25" customHeight="1">
      <c r="A34" s="29"/>
      <c r="B34" s="29"/>
      <c r="C34" s="29"/>
      <c r="D34" s="29"/>
      <c r="E34" s="29"/>
      <c r="F34" s="29"/>
      <c r="G34" s="101"/>
      <c r="H34" s="216" t="str">
        <f>AL12</f>
        <v>33 ਮੁਨਸੀ ਰਾਮ ਚੰਬਾ ਰਾਮ</v>
      </c>
      <c r="I34" s="142" t="s">
        <v>60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42" t="s">
        <v>348</v>
      </c>
      <c r="Q34" s="18" t="s">
        <v>129</v>
      </c>
      <c r="R34" s="120" t="s">
        <v>606</v>
      </c>
      <c r="S34" s="120" t="s">
        <v>266</v>
      </c>
      <c r="T34" s="18">
        <v>1</v>
      </c>
      <c r="U34" s="18">
        <v>1</v>
      </c>
      <c r="V34" s="18">
        <v>1</v>
      </c>
      <c r="W34" s="142" t="s">
        <v>194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43"/>
      <c r="AD34" s="29"/>
      <c r="AE34" s="29"/>
      <c r="AF34" s="29"/>
      <c r="AG34" s="29"/>
      <c r="AH34" s="29"/>
      <c r="AI34" s="29"/>
      <c r="AJ34" s="29"/>
      <c r="AK34" s="29"/>
      <c r="AL34" s="165" t="s">
        <v>652</v>
      </c>
      <c r="AM34" s="18" t="s">
        <v>97</v>
      </c>
      <c r="AN34" s="18" t="s">
        <v>653</v>
      </c>
      <c r="AO34" s="18">
        <v>1</v>
      </c>
      <c r="AP34" s="18">
        <v>1</v>
      </c>
      <c r="AQ34" s="18">
        <v>1</v>
      </c>
      <c r="AR34" s="18"/>
      <c r="AS34" s="165">
        <v>33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65" t="s">
        <v>236</v>
      </c>
      <c r="BA34" s="18" t="s">
        <v>164</v>
      </c>
      <c r="BB34" s="18" t="s">
        <v>212</v>
      </c>
      <c r="BC34" s="18" t="s">
        <v>437</v>
      </c>
      <c r="BD34" s="18">
        <v>1</v>
      </c>
      <c r="BE34" s="18">
        <v>1</v>
      </c>
      <c r="BF34" s="18">
        <v>1</v>
      </c>
      <c r="BG34" s="171"/>
      <c r="BH34" s="165">
        <v>33</v>
      </c>
      <c r="BI34" s="5">
        <v>1</v>
      </c>
      <c r="BJ34" s="5">
        <v>1</v>
      </c>
      <c r="BK34" s="5">
        <v>1</v>
      </c>
      <c r="BL34" s="5">
        <v>1</v>
      </c>
      <c r="BM34" s="5">
        <v>1</v>
      </c>
      <c r="BN34" s="18">
        <v>1</v>
      </c>
    </row>
    <row r="35" spans="1:66" ht="14.25" customHeight="1">
      <c r="A35" s="29"/>
      <c r="B35" s="29"/>
      <c r="C35" s="29"/>
      <c r="D35" s="29"/>
      <c r="E35" s="29"/>
      <c r="F35" s="29"/>
      <c r="G35" s="101"/>
      <c r="H35" s="234" t="str">
        <f>AL17</f>
        <v>34 ਮਲਾਵਾ ਰਾਮ ਜੋਸਣ</v>
      </c>
      <c r="I35" s="142">
        <v>34</v>
      </c>
      <c r="J35" s="18">
        <v>1</v>
      </c>
      <c r="K35" s="18">
        <v>1</v>
      </c>
      <c r="L35" s="18">
        <v>1</v>
      </c>
      <c r="M35" s="18">
        <v>1</v>
      </c>
      <c r="N35" s="18">
        <v>1</v>
      </c>
      <c r="O35" s="18">
        <v>1</v>
      </c>
      <c r="P35" s="142">
        <v>34</v>
      </c>
      <c r="Q35" s="18">
        <v>1</v>
      </c>
      <c r="R35" s="18">
        <v>1</v>
      </c>
      <c r="S35" s="18">
        <v>1</v>
      </c>
      <c r="T35" s="18">
        <v>1</v>
      </c>
      <c r="U35" s="18">
        <v>1</v>
      </c>
      <c r="V35" s="18">
        <v>1</v>
      </c>
      <c r="W35" s="142">
        <v>34</v>
      </c>
      <c r="X35" s="18">
        <v>1</v>
      </c>
      <c r="Y35" s="18">
        <v>1</v>
      </c>
      <c r="Z35" s="18">
        <v>1</v>
      </c>
      <c r="AA35" s="18">
        <v>1</v>
      </c>
      <c r="AB35" s="18">
        <v>1</v>
      </c>
      <c r="AC35" s="143"/>
      <c r="AD35" s="29"/>
      <c r="AE35" s="29"/>
      <c r="AF35" s="29"/>
      <c r="AG35" s="29"/>
      <c r="AH35" s="29"/>
      <c r="AI35" s="29"/>
      <c r="AJ35" s="29"/>
      <c r="AK35" s="29"/>
      <c r="AL35" s="165" t="s">
        <v>566</v>
      </c>
      <c r="AM35" s="18" t="s">
        <v>175</v>
      </c>
      <c r="AN35" s="18">
        <v>1</v>
      </c>
      <c r="AO35" s="18">
        <v>1</v>
      </c>
      <c r="AP35" s="18">
        <v>1</v>
      </c>
      <c r="AQ35" s="18">
        <v>1</v>
      </c>
      <c r="AR35" s="18"/>
      <c r="AS35" s="165" t="s">
        <v>567</v>
      </c>
      <c r="AT35" s="18" t="s">
        <v>197</v>
      </c>
      <c r="AU35" s="18">
        <v>1</v>
      </c>
      <c r="AV35" s="18">
        <v>1</v>
      </c>
      <c r="AW35" s="18">
        <v>1</v>
      </c>
      <c r="AX35" s="18">
        <v>1</v>
      </c>
      <c r="AY35" s="18">
        <v>1</v>
      </c>
      <c r="AZ35" s="165" t="s">
        <v>568</v>
      </c>
      <c r="BA35" s="18" t="s">
        <v>272</v>
      </c>
      <c r="BB35" s="18" t="s">
        <v>569</v>
      </c>
      <c r="BC35" s="18" t="s">
        <v>570</v>
      </c>
      <c r="BD35" s="18">
        <v>1</v>
      </c>
      <c r="BE35" s="18">
        <v>1</v>
      </c>
      <c r="BF35" s="18">
        <v>1</v>
      </c>
      <c r="BG35" s="171"/>
      <c r="BH35" s="165">
        <v>34</v>
      </c>
      <c r="BI35" s="5">
        <v>1</v>
      </c>
      <c r="BJ35" s="5">
        <v>1</v>
      </c>
      <c r="BK35" s="5">
        <v>1</v>
      </c>
      <c r="BL35" s="5">
        <v>1</v>
      </c>
      <c r="BM35" s="5">
        <v>1</v>
      </c>
      <c r="BN35" s="18">
        <v>1</v>
      </c>
    </row>
    <row r="36" spans="1:66" ht="14.25" customHeight="1" thickBot="1">
      <c r="A36" s="29"/>
      <c r="B36" s="29"/>
      <c r="C36" s="29"/>
      <c r="D36" s="29"/>
      <c r="E36" s="29"/>
      <c r="F36" s="29"/>
      <c r="G36" s="29"/>
      <c r="H36" s="133" t="str">
        <f>AL22</f>
        <v>35 ਸੁਦਾਗਰ ਰਾਮ ਜੋਸਣ</v>
      </c>
      <c r="I36" s="142">
        <v>35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42">
        <v>35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42">
        <v>35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43"/>
      <c r="AD36" s="29"/>
      <c r="AE36" s="29"/>
      <c r="AF36" s="29"/>
      <c r="AG36" s="29"/>
      <c r="AH36" s="29"/>
      <c r="AI36" s="29"/>
      <c r="AJ36" s="29"/>
      <c r="AK36" s="29"/>
      <c r="AL36" s="167">
        <v>50</v>
      </c>
      <c r="AM36" s="149">
        <v>1</v>
      </c>
      <c r="AN36" s="149">
        <v>1</v>
      </c>
      <c r="AO36" s="149">
        <v>1</v>
      </c>
      <c r="AP36" s="149">
        <v>1</v>
      </c>
      <c r="AQ36" s="149">
        <v>1</v>
      </c>
      <c r="AR36" s="18"/>
      <c r="AS36" s="165">
        <v>35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65">
        <v>35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71"/>
      <c r="BH36" s="165">
        <v>35</v>
      </c>
      <c r="BI36" s="5">
        <v>1</v>
      </c>
      <c r="BJ36" s="5">
        <v>1</v>
      </c>
      <c r="BK36" s="5">
        <v>1</v>
      </c>
      <c r="BL36" s="5">
        <v>1</v>
      </c>
      <c r="BM36" s="5">
        <v>1</v>
      </c>
      <c r="BN36" s="18">
        <v>1</v>
      </c>
    </row>
    <row r="37" spans="1:66" ht="14.25" customHeight="1">
      <c r="A37" s="29"/>
      <c r="B37" s="29"/>
      <c r="C37" s="29"/>
      <c r="D37" s="29"/>
      <c r="E37" s="29"/>
      <c r="F37" s="29"/>
      <c r="G37" s="29"/>
      <c r="H37" s="133" t="str">
        <f>AL27</f>
        <v>36 ਹਰੀ ਚੰਦ ਜੋਸਣ ਸਰਪੰਚ</v>
      </c>
      <c r="I37" s="144" t="s">
        <v>379</v>
      </c>
      <c r="J37" s="18" t="s">
        <v>571</v>
      </c>
      <c r="K37" s="120" t="s">
        <v>1052</v>
      </c>
      <c r="L37" s="18">
        <v>1</v>
      </c>
      <c r="M37" s="18">
        <v>1</v>
      </c>
      <c r="N37" s="18">
        <v>1</v>
      </c>
      <c r="O37" s="143" t="s">
        <v>1142</v>
      </c>
      <c r="P37" s="144" t="s">
        <v>458</v>
      </c>
      <c r="Q37" s="18" t="s">
        <v>414</v>
      </c>
      <c r="R37" s="18" t="s">
        <v>74</v>
      </c>
      <c r="S37" s="18">
        <v>1</v>
      </c>
      <c r="T37" s="18">
        <v>1</v>
      </c>
      <c r="U37" s="18">
        <v>1</v>
      </c>
      <c r="V37" s="143" t="s">
        <v>1151</v>
      </c>
      <c r="W37" s="144" t="s">
        <v>526</v>
      </c>
      <c r="X37" s="18" t="s">
        <v>414</v>
      </c>
      <c r="Y37" s="18" t="s">
        <v>572</v>
      </c>
      <c r="Z37" s="120" t="s">
        <v>1377</v>
      </c>
      <c r="AA37" s="18">
        <v>1</v>
      </c>
      <c r="AB37" s="18">
        <v>1</v>
      </c>
      <c r="AC37" s="143" t="s">
        <v>1159</v>
      </c>
      <c r="AD37" s="29"/>
      <c r="AE37" s="29"/>
      <c r="AF37" s="29"/>
      <c r="AG37" s="29"/>
      <c r="AH37" s="29"/>
      <c r="AI37" s="29"/>
      <c r="AJ37" s="29"/>
      <c r="AK37" s="29"/>
      <c r="AL37" s="144" t="s">
        <v>573</v>
      </c>
      <c r="AM37" s="18">
        <v>1</v>
      </c>
      <c r="AN37" s="18">
        <v>1</v>
      </c>
      <c r="AO37" s="18">
        <v>1</v>
      </c>
      <c r="AP37" s="18">
        <v>1</v>
      </c>
      <c r="AQ37" s="18">
        <v>1</v>
      </c>
      <c r="AR37" s="143" t="s">
        <v>1169</v>
      </c>
      <c r="AS37" s="166" t="s">
        <v>574</v>
      </c>
      <c r="AT37" s="18" t="s">
        <v>575</v>
      </c>
      <c r="AU37" s="18" t="s">
        <v>576</v>
      </c>
      <c r="AV37" s="18">
        <v>1</v>
      </c>
      <c r="AW37" s="18">
        <v>1</v>
      </c>
      <c r="AX37" s="18">
        <v>1</v>
      </c>
      <c r="AY37" s="143" t="s">
        <v>1176</v>
      </c>
      <c r="AZ37" s="166" t="s">
        <v>577</v>
      </c>
      <c r="BA37" s="18" t="s">
        <v>129</v>
      </c>
      <c r="BB37" s="18" t="s">
        <v>578</v>
      </c>
      <c r="BC37" s="18">
        <v>1</v>
      </c>
      <c r="BD37" s="18">
        <v>1</v>
      </c>
      <c r="BE37" s="18">
        <v>1</v>
      </c>
      <c r="BF37" s="170" t="s">
        <v>1186</v>
      </c>
      <c r="BG37" s="171"/>
      <c r="BH37" s="166" t="s">
        <v>579</v>
      </c>
      <c r="BI37" s="5" t="s">
        <v>580</v>
      </c>
      <c r="BJ37" s="5">
        <v>1</v>
      </c>
      <c r="BK37" s="5">
        <v>1</v>
      </c>
      <c r="BL37" s="5">
        <v>1</v>
      </c>
      <c r="BM37" s="5">
        <v>1</v>
      </c>
      <c r="BN37" s="174" t="s">
        <v>1194</v>
      </c>
    </row>
    <row r="38" spans="1:66" ht="14.25" customHeight="1">
      <c r="A38" s="29"/>
      <c r="B38" s="29"/>
      <c r="C38" s="29"/>
      <c r="D38" s="29"/>
      <c r="E38" s="29"/>
      <c r="F38" s="29"/>
      <c r="G38" s="29"/>
      <c r="H38" s="133" t="str">
        <f>AL32</f>
        <v xml:space="preserve">37 ਕਰਮ ਚੰਦ </v>
      </c>
      <c r="I38" s="212" t="s">
        <v>212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42" t="s">
        <v>581</v>
      </c>
      <c r="Q38" s="120" t="s">
        <v>1356</v>
      </c>
      <c r="R38" s="120" t="s">
        <v>1357</v>
      </c>
      <c r="S38" s="120" t="s">
        <v>1358</v>
      </c>
      <c r="T38" s="18">
        <v>1</v>
      </c>
      <c r="U38" s="18">
        <v>1</v>
      </c>
      <c r="V38" s="18">
        <v>1</v>
      </c>
      <c r="W38" s="142" t="s">
        <v>544</v>
      </c>
      <c r="X38" s="18" t="s">
        <v>50</v>
      </c>
      <c r="Y38" s="120" t="s">
        <v>1378</v>
      </c>
      <c r="Z38" s="18">
        <v>1</v>
      </c>
      <c r="AA38" s="18">
        <v>1</v>
      </c>
      <c r="AB38" s="18">
        <v>1</v>
      </c>
      <c r="AC38" s="143"/>
      <c r="AD38" s="29"/>
      <c r="AE38" s="29"/>
      <c r="AF38" s="29"/>
      <c r="AG38" s="29"/>
      <c r="AH38" s="29"/>
      <c r="AI38" s="29"/>
      <c r="AJ38" s="29"/>
      <c r="AK38" s="29"/>
      <c r="AL38" s="142" t="s">
        <v>582</v>
      </c>
      <c r="AM38" s="18" t="s">
        <v>518</v>
      </c>
      <c r="AN38" s="18" t="s">
        <v>583</v>
      </c>
      <c r="AO38" s="18" t="s">
        <v>107</v>
      </c>
      <c r="AP38" s="18">
        <v>1</v>
      </c>
      <c r="AQ38" s="18">
        <v>1</v>
      </c>
      <c r="AR38" s="18">
        <v>1</v>
      </c>
      <c r="AS38" s="165" t="s">
        <v>584</v>
      </c>
      <c r="AT38" s="18" t="s">
        <v>175</v>
      </c>
      <c r="AU38" s="18" t="s">
        <v>585</v>
      </c>
      <c r="AV38" s="18">
        <v>1</v>
      </c>
      <c r="AW38" s="18">
        <v>1</v>
      </c>
      <c r="AX38" s="18">
        <v>1</v>
      </c>
      <c r="AY38" s="18">
        <v>1</v>
      </c>
      <c r="AZ38" s="165" t="s">
        <v>586</v>
      </c>
      <c r="BA38" s="18" t="s">
        <v>111</v>
      </c>
      <c r="BB38" s="18" t="s">
        <v>566</v>
      </c>
      <c r="BC38" s="18" t="s">
        <v>75</v>
      </c>
      <c r="BD38" s="18" t="s">
        <v>587</v>
      </c>
      <c r="BE38" s="18" t="s">
        <v>280</v>
      </c>
      <c r="BF38" s="18">
        <v>1</v>
      </c>
      <c r="BG38" s="171"/>
      <c r="BH38" s="165" t="s">
        <v>588</v>
      </c>
      <c r="BI38" s="5" t="s">
        <v>589</v>
      </c>
      <c r="BJ38" s="5" t="s">
        <v>590</v>
      </c>
      <c r="BK38" s="5" t="s">
        <v>275</v>
      </c>
      <c r="BL38" s="5">
        <v>1</v>
      </c>
      <c r="BM38" s="5">
        <v>1</v>
      </c>
      <c r="BN38" s="18">
        <v>1</v>
      </c>
    </row>
    <row r="39" spans="1:66" ht="14.25" customHeight="1">
      <c r="A39" s="29"/>
      <c r="B39" s="29"/>
      <c r="C39" s="29"/>
      <c r="D39" s="29"/>
      <c r="E39" s="29"/>
      <c r="F39" s="29"/>
      <c r="G39" s="29"/>
      <c r="H39" s="133" t="str">
        <f>AL37</f>
        <v>38 ਸੱਜਣ ਰਾਮ</v>
      </c>
      <c r="I39" s="212" t="s">
        <v>1337</v>
      </c>
      <c r="J39" s="18">
        <v>1</v>
      </c>
      <c r="K39" s="18">
        <v>1</v>
      </c>
      <c r="L39" s="18">
        <v>1</v>
      </c>
      <c r="M39" s="18">
        <v>1</v>
      </c>
      <c r="N39" s="18">
        <v>1</v>
      </c>
      <c r="O39" s="18">
        <v>1</v>
      </c>
      <c r="P39" s="142" t="s">
        <v>591</v>
      </c>
      <c r="Q39" s="18" t="s">
        <v>111</v>
      </c>
      <c r="R39" s="120" t="s">
        <v>1359</v>
      </c>
      <c r="S39" s="120" t="s">
        <v>1360</v>
      </c>
      <c r="T39" s="120" t="s">
        <v>1361</v>
      </c>
      <c r="U39" s="18">
        <v>1</v>
      </c>
      <c r="V39" s="18">
        <v>1</v>
      </c>
      <c r="W39" s="142" t="s">
        <v>592</v>
      </c>
      <c r="X39" s="18" t="s">
        <v>94</v>
      </c>
      <c r="Y39" s="18">
        <v>1</v>
      </c>
      <c r="Z39" s="18">
        <v>1</v>
      </c>
      <c r="AA39" s="18">
        <v>1</v>
      </c>
      <c r="AB39" s="18">
        <v>1</v>
      </c>
      <c r="AC39" s="143"/>
      <c r="AD39" s="29"/>
      <c r="AE39" s="29"/>
      <c r="AF39" s="29"/>
      <c r="AG39" s="29"/>
      <c r="AH39" s="29"/>
      <c r="AI39" s="29"/>
      <c r="AJ39" s="29"/>
      <c r="AK39" s="29"/>
      <c r="AL39" s="142" t="s">
        <v>593</v>
      </c>
      <c r="AM39" s="18" t="s">
        <v>82</v>
      </c>
      <c r="AN39" s="18" t="s">
        <v>594</v>
      </c>
      <c r="AO39" s="18" t="s">
        <v>159</v>
      </c>
      <c r="AP39" s="18" t="s">
        <v>472</v>
      </c>
      <c r="AQ39" s="18">
        <v>1</v>
      </c>
      <c r="AR39" s="18">
        <v>1</v>
      </c>
      <c r="AS39" s="165">
        <v>38</v>
      </c>
      <c r="AT39" s="18">
        <v>1</v>
      </c>
      <c r="AU39" s="18">
        <v>1</v>
      </c>
      <c r="AV39" s="18">
        <v>1</v>
      </c>
      <c r="AW39" s="18">
        <v>1</v>
      </c>
      <c r="AX39" s="18">
        <v>1</v>
      </c>
      <c r="AY39" s="18">
        <v>1</v>
      </c>
      <c r="AZ39" s="165" t="s">
        <v>595</v>
      </c>
      <c r="BA39" s="18" t="s">
        <v>143</v>
      </c>
      <c r="BB39" s="18" t="s">
        <v>596</v>
      </c>
      <c r="BC39" s="18" t="s">
        <v>597</v>
      </c>
      <c r="BD39" s="18">
        <v>1</v>
      </c>
      <c r="BE39" s="18">
        <v>1</v>
      </c>
      <c r="BF39" s="18">
        <v>1</v>
      </c>
      <c r="BG39" s="171"/>
      <c r="BH39" s="165" t="s">
        <v>598</v>
      </c>
      <c r="BI39" s="5" t="s">
        <v>94</v>
      </c>
      <c r="BJ39" s="5">
        <v>1</v>
      </c>
      <c r="BK39" s="5">
        <v>1</v>
      </c>
      <c r="BL39" s="5">
        <v>1</v>
      </c>
      <c r="BM39" s="5">
        <v>1</v>
      </c>
      <c r="BN39" s="18">
        <v>1</v>
      </c>
    </row>
    <row r="40" spans="1:66" ht="14.25" customHeight="1">
      <c r="A40" s="29"/>
      <c r="B40" s="29"/>
      <c r="C40" s="29"/>
      <c r="D40" s="29"/>
      <c r="E40" s="29"/>
      <c r="F40" s="29"/>
      <c r="G40" s="29"/>
      <c r="H40" s="133" t="str">
        <f>AL42</f>
        <v>39 ਅਮੀਰ ਚੰਦ</v>
      </c>
      <c r="I40" s="142">
        <v>39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42" t="s">
        <v>600</v>
      </c>
      <c r="Q40" s="18" t="s">
        <v>143</v>
      </c>
      <c r="R40" s="120" t="s">
        <v>176</v>
      </c>
      <c r="S40" s="120" t="s">
        <v>140</v>
      </c>
      <c r="T40" s="18">
        <v>1</v>
      </c>
      <c r="U40" s="18">
        <v>1</v>
      </c>
      <c r="V40" s="18">
        <v>1</v>
      </c>
      <c r="W40" s="142">
        <v>39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43"/>
      <c r="AD40" s="29"/>
      <c r="AE40" s="29"/>
      <c r="AF40" s="29"/>
      <c r="AG40" s="29"/>
      <c r="AH40" s="29"/>
      <c r="AI40" s="29"/>
      <c r="AJ40" s="29"/>
      <c r="AK40" s="29"/>
      <c r="AL40" s="142">
        <v>39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65">
        <v>39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65">
        <v>39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171"/>
      <c r="BH40" s="165" t="s">
        <v>601</v>
      </c>
      <c r="BI40" s="5" t="s">
        <v>311</v>
      </c>
      <c r="BJ40" s="5">
        <v>1</v>
      </c>
      <c r="BK40" s="5">
        <v>1</v>
      </c>
      <c r="BL40" s="5">
        <v>1</v>
      </c>
      <c r="BM40" s="5">
        <v>1</v>
      </c>
      <c r="BN40" s="18">
        <v>1</v>
      </c>
    </row>
    <row r="41" spans="1:66" ht="14.25" customHeight="1" thickBot="1">
      <c r="A41" s="29"/>
      <c r="B41" s="29"/>
      <c r="C41" s="29"/>
      <c r="D41" s="29"/>
      <c r="E41" s="29"/>
      <c r="F41" s="29"/>
      <c r="G41" s="29"/>
      <c r="H41" s="133" t="str">
        <f>AL47</f>
        <v>40 ਚਾਂਦੀ ਰਾਮ</v>
      </c>
      <c r="I41" s="142">
        <v>40</v>
      </c>
      <c r="J41" s="18">
        <v>1</v>
      </c>
      <c r="K41" s="18">
        <v>1</v>
      </c>
      <c r="L41" s="18">
        <v>1</v>
      </c>
      <c r="M41" s="18">
        <v>1</v>
      </c>
      <c r="N41" s="18">
        <v>1</v>
      </c>
      <c r="O41" s="18">
        <v>1</v>
      </c>
      <c r="P41" s="142">
        <v>40</v>
      </c>
      <c r="Q41" s="18">
        <v>1</v>
      </c>
      <c r="R41" s="18">
        <v>1</v>
      </c>
      <c r="S41" s="18">
        <v>1</v>
      </c>
      <c r="T41" s="18">
        <v>1</v>
      </c>
      <c r="U41" s="18">
        <v>1</v>
      </c>
      <c r="V41" s="18">
        <v>1</v>
      </c>
      <c r="W41" s="157">
        <v>40</v>
      </c>
      <c r="X41" s="49">
        <v>1</v>
      </c>
      <c r="Y41" s="49">
        <v>1</v>
      </c>
      <c r="Z41" s="49">
        <v>1</v>
      </c>
      <c r="AA41" s="49">
        <v>1</v>
      </c>
      <c r="AB41" s="49">
        <v>1</v>
      </c>
      <c r="AC41" s="143"/>
      <c r="AD41" s="29"/>
      <c r="AE41" s="29"/>
      <c r="AF41" s="29"/>
      <c r="AG41" s="29"/>
      <c r="AH41" s="29"/>
      <c r="AI41" s="29"/>
      <c r="AJ41" s="29"/>
      <c r="AK41" s="29"/>
      <c r="AL41" s="142" t="s">
        <v>348</v>
      </c>
      <c r="AM41" s="18" t="s">
        <v>603</v>
      </c>
      <c r="AN41" s="18" t="s">
        <v>604</v>
      </c>
      <c r="AO41" s="18" t="s">
        <v>605</v>
      </c>
      <c r="AP41" s="18" t="s">
        <v>606</v>
      </c>
      <c r="AQ41" s="18">
        <v>1</v>
      </c>
      <c r="AR41" s="18">
        <v>1</v>
      </c>
      <c r="AS41" s="165">
        <v>40</v>
      </c>
      <c r="AT41" s="18">
        <v>1</v>
      </c>
      <c r="AU41" s="18">
        <v>1</v>
      </c>
      <c r="AV41" s="18">
        <v>1</v>
      </c>
      <c r="AW41" s="18">
        <v>1</v>
      </c>
      <c r="AX41" s="18">
        <v>1</v>
      </c>
      <c r="AY41" s="18">
        <v>1</v>
      </c>
      <c r="AZ41" s="165">
        <v>40</v>
      </c>
      <c r="BA41" s="18">
        <v>1</v>
      </c>
      <c r="BB41" s="18">
        <v>1</v>
      </c>
      <c r="BC41" s="18">
        <v>1</v>
      </c>
      <c r="BD41" s="18">
        <v>1</v>
      </c>
      <c r="BE41" s="18">
        <v>1</v>
      </c>
      <c r="BF41" s="18">
        <v>1</v>
      </c>
      <c r="BG41" s="171"/>
      <c r="BH41" s="165" t="s">
        <v>607</v>
      </c>
      <c r="BI41" s="5" t="s">
        <v>48</v>
      </c>
      <c r="BJ41" s="5">
        <v>1</v>
      </c>
      <c r="BK41" s="5">
        <v>1</v>
      </c>
      <c r="BL41" s="5">
        <v>1</v>
      </c>
      <c r="BM41" s="5">
        <v>1</v>
      </c>
      <c r="BN41" s="18">
        <v>1</v>
      </c>
    </row>
    <row r="42" spans="1:66" ht="14.25" customHeight="1">
      <c r="A42" s="29"/>
      <c r="B42" s="29"/>
      <c r="C42" s="29"/>
      <c r="D42" s="29"/>
      <c r="E42" s="29"/>
      <c r="F42" s="29"/>
      <c r="G42" s="29"/>
      <c r="H42" s="133" t="str">
        <f>AS2</f>
        <v>41 ਵੇਦ ਪ੍ਰਕਾਸ ਵਿਸਾਖਾ ਰਾਮ</v>
      </c>
      <c r="I42" s="144" t="s">
        <v>390</v>
      </c>
      <c r="J42" s="18" t="s">
        <v>470</v>
      </c>
      <c r="K42" s="18" t="s">
        <v>608</v>
      </c>
      <c r="L42" s="18" t="s">
        <v>609</v>
      </c>
      <c r="M42" s="18">
        <v>1</v>
      </c>
      <c r="N42" s="18">
        <v>1</v>
      </c>
      <c r="O42" s="143" t="s">
        <v>1144</v>
      </c>
      <c r="P42" s="144" t="s">
        <v>466</v>
      </c>
      <c r="Q42" s="18" t="s">
        <v>610</v>
      </c>
      <c r="R42" s="18" t="s">
        <v>175</v>
      </c>
      <c r="S42" s="18">
        <v>1</v>
      </c>
      <c r="T42" s="18">
        <v>1</v>
      </c>
      <c r="U42" s="18">
        <v>1</v>
      </c>
      <c r="V42" s="145" t="s">
        <v>1416</v>
      </c>
      <c r="W42" s="158" t="s">
        <v>532</v>
      </c>
      <c r="X42" s="50" t="s">
        <v>129</v>
      </c>
      <c r="Y42" s="50">
        <v>1</v>
      </c>
      <c r="Z42" s="50">
        <v>1</v>
      </c>
      <c r="AA42" s="50">
        <v>1</v>
      </c>
      <c r="AB42" s="51">
        <v>1</v>
      </c>
      <c r="AC42" s="143" t="s">
        <v>1160</v>
      </c>
      <c r="AD42" s="29"/>
      <c r="AE42" s="29"/>
      <c r="AF42" s="29"/>
      <c r="AG42" s="29"/>
      <c r="AH42" s="29"/>
      <c r="AI42" s="29"/>
      <c r="AJ42" s="29"/>
      <c r="AK42" s="29"/>
      <c r="AL42" s="144" t="s">
        <v>599</v>
      </c>
      <c r="AM42" s="18" t="s">
        <v>611</v>
      </c>
      <c r="AN42" s="18">
        <v>1</v>
      </c>
      <c r="AO42" s="18">
        <v>1</v>
      </c>
      <c r="AP42" s="18">
        <v>1</v>
      </c>
      <c r="AQ42" s="18">
        <v>1</v>
      </c>
      <c r="AR42" s="143" t="s">
        <v>1170</v>
      </c>
      <c r="AS42" s="166" t="s">
        <v>612</v>
      </c>
      <c r="AT42" s="18" t="s">
        <v>103</v>
      </c>
      <c r="AU42" s="18">
        <v>1</v>
      </c>
      <c r="AV42" s="18">
        <v>1</v>
      </c>
      <c r="AW42" s="18">
        <v>1</v>
      </c>
      <c r="AX42" s="18">
        <v>1</v>
      </c>
      <c r="AY42" s="143" t="s">
        <v>1177</v>
      </c>
      <c r="AZ42" s="166" t="s">
        <v>613</v>
      </c>
      <c r="BA42" s="18" t="s">
        <v>614</v>
      </c>
      <c r="BB42" s="18" t="s">
        <v>615</v>
      </c>
      <c r="BC42" s="18">
        <v>1</v>
      </c>
      <c r="BD42" s="18">
        <v>1</v>
      </c>
      <c r="BE42" s="18">
        <v>1</v>
      </c>
      <c r="BF42" s="170" t="s">
        <v>1187</v>
      </c>
      <c r="BG42" s="171"/>
      <c r="BH42" s="166" t="s">
        <v>1448</v>
      </c>
      <c r="BI42" s="5">
        <v>1</v>
      </c>
      <c r="BJ42" s="5">
        <v>1</v>
      </c>
      <c r="BK42" s="5">
        <v>1</v>
      </c>
      <c r="BL42" s="5">
        <v>1</v>
      </c>
      <c r="BM42" s="5">
        <v>1</v>
      </c>
      <c r="BN42" s="174">
        <v>1</v>
      </c>
    </row>
    <row r="43" spans="1:66" ht="14.25" customHeight="1">
      <c r="A43" s="29"/>
      <c r="B43" s="29"/>
      <c r="C43" s="29"/>
      <c r="D43" s="29"/>
      <c r="E43" s="29"/>
      <c r="F43" s="29"/>
      <c r="G43" s="29"/>
      <c r="H43" s="133" t="str">
        <f>AS7</f>
        <v>42 ਸੁੰਦਰ ਰਾਮ</v>
      </c>
      <c r="I43" s="142" t="s">
        <v>617</v>
      </c>
      <c r="J43" s="18" t="s">
        <v>571</v>
      </c>
      <c r="K43" s="120" t="s">
        <v>1339</v>
      </c>
      <c r="L43" s="120" t="s">
        <v>529</v>
      </c>
      <c r="M43" s="18">
        <v>1</v>
      </c>
      <c r="N43" s="18">
        <v>1</v>
      </c>
      <c r="O43" s="18">
        <v>1</v>
      </c>
      <c r="P43" s="142" t="s">
        <v>618</v>
      </c>
      <c r="Q43" s="18" t="s">
        <v>619</v>
      </c>
      <c r="R43" s="18">
        <v>1</v>
      </c>
      <c r="S43" s="18">
        <v>1</v>
      </c>
      <c r="T43" s="18">
        <v>1</v>
      </c>
      <c r="U43" s="18">
        <v>1</v>
      </c>
      <c r="V43" s="18">
        <v>1</v>
      </c>
      <c r="W43" s="142" t="s">
        <v>401</v>
      </c>
      <c r="X43" s="18" t="s">
        <v>257</v>
      </c>
      <c r="Y43" s="18">
        <v>1</v>
      </c>
      <c r="Z43" s="18">
        <v>1</v>
      </c>
      <c r="AA43" s="18">
        <v>1</v>
      </c>
      <c r="AB43" s="52">
        <v>1</v>
      </c>
      <c r="AC43" s="143"/>
      <c r="AD43" s="29"/>
      <c r="AE43" s="29"/>
      <c r="AF43" s="29"/>
      <c r="AG43" s="29"/>
      <c r="AH43" s="29"/>
      <c r="AI43" s="29"/>
      <c r="AJ43" s="29"/>
      <c r="AK43" s="29"/>
      <c r="AL43" s="142" t="s">
        <v>201</v>
      </c>
      <c r="AM43" s="18" t="s">
        <v>620</v>
      </c>
      <c r="AN43" s="18">
        <v>1</v>
      </c>
      <c r="AO43" s="18">
        <v>1</v>
      </c>
      <c r="AP43" s="18">
        <v>1</v>
      </c>
      <c r="AQ43" s="18">
        <v>1</v>
      </c>
      <c r="AR43" s="18">
        <v>1</v>
      </c>
      <c r="AS43" s="165" t="s">
        <v>134</v>
      </c>
      <c r="AT43" s="18" t="s">
        <v>621</v>
      </c>
      <c r="AU43" s="18" t="s">
        <v>622</v>
      </c>
      <c r="AV43" s="18">
        <v>1</v>
      </c>
      <c r="AW43" s="18">
        <v>1</v>
      </c>
      <c r="AX43" s="18">
        <v>1</v>
      </c>
      <c r="AY43" s="18">
        <v>1</v>
      </c>
      <c r="AZ43" s="165" t="s">
        <v>623</v>
      </c>
      <c r="BA43" s="18" t="s">
        <v>624</v>
      </c>
      <c r="BB43" s="18" t="s">
        <v>93</v>
      </c>
      <c r="BC43" s="18" t="s">
        <v>625</v>
      </c>
      <c r="BD43" s="18">
        <v>1</v>
      </c>
      <c r="BE43" s="18">
        <v>1</v>
      </c>
      <c r="BF43" s="18">
        <v>1</v>
      </c>
      <c r="BG43" s="171"/>
      <c r="BH43" s="165">
        <v>42</v>
      </c>
      <c r="BI43" s="5">
        <v>1</v>
      </c>
      <c r="BJ43" s="5">
        <v>1</v>
      </c>
      <c r="BK43" s="5">
        <v>1</v>
      </c>
      <c r="BL43" s="5">
        <v>1</v>
      </c>
      <c r="BM43" s="5">
        <v>1</v>
      </c>
      <c r="BN43" s="174">
        <v>1</v>
      </c>
    </row>
    <row r="44" spans="1:66" ht="14.25" customHeight="1">
      <c r="A44" s="29"/>
      <c r="B44" s="29"/>
      <c r="C44" s="29"/>
      <c r="D44" s="29"/>
      <c r="E44" s="29"/>
      <c r="F44" s="29"/>
      <c r="G44" s="29"/>
      <c r="H44" s="216" t="str">
        <f>AS12</f>
        <v>43 ਪੰਜਾ ਰਾਮ ਚਾਨਣ ਰਾਮ</v>
      </c>
      <c r="I44" s="142" t="s">
        <v>627</v>
      </c>
      <c r="J44" s="18" t="s">
        <v>163</v>
      </c>
      <c r="K44" s="120" t="s">
        <v>1340</v>
      </c>
      <c r="L44" s="18">
        <v>1</v>
      </c>
      <c r="M44" s="18">
        <v>1</v>
      </c>
      <c r="N44" s="18">
        <v>1</v>
      </c>
      <c r="O44" s="18">
        <v>1</v>
      </c>
      <c r="P44" s="142">
        <v>43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212" t="s">
        <v>60</v>
      </c>
      <c r="X44" s="120" t="s">
        <v>1380</v>
      </c>
      <c r="Y44" s="18">
        <v>1</v>
      </c>
      <c r="Z44" s="18">
        <v>1</v>
      </c>
      <c r="AA44" s="18">
        <v>1</v>
      </c>
      <c r="AB44" s="52">
        <v>1</v>
      </c>
      <c r="AC44" s="143"/>
      <c r="AD44" s="29"/>
      <c r="AE44" s="29"/>
      <c r="AF44" s="29"/>
      <c r="AG44" s="29"/>
      <c r="AH44" s="29"/>
      <c r="AI44" s="29"/>
      <c r="AJ44" s="29"/>
      <c r="AK44" s="29"/>
      <c r="AL44" s="142" t="s">
        <v>472</v>
      </c>
      <c r="AM44" s="18" t="s">
        <v>629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65" t="s">
        <v>630</v>
      </c>
      <c r="AT44" s="18" t="s">
        <v>271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65" t="s">
        <v>631</v>
      </c>
      <c r="BA44" s="18" t="s">
        <v>632</v>
      </c>
      <c r="BB44" s="18" t="s">
        <v>633</v>
      </c>
      <c r="BC44" s="18">
        <v>1</v>
      </c>
      <c r="BD44" s="18">
        <v>1</v>
      </c>
      <c r="BE44" s="18">
        <v>1</v>
      </c>
      <c r="BF44" s="18">
        <v>1</v>
      </c>
      <c r="BG44" s="171"/>
      <c r="BH44" s="165">
        <v>43</v>
      </c>
      <c r="BI44" s="5">
        <v>1</v>
      </c>
      <c r="BJ44" s="5">
        <v>1</v>
      </c>
      <c r="BK44" s="5">
        <v>1</v>
      </c>
      <c r="BL44" s="5">
        <v>1</v>
      </c>
      <c r="BM44" s="5">
        <v>1</v>
      </c>
      <c r="BN44" s="174">
        <v>1</v>
      </c>
    </row>
    <row r="45" spans="1:66" ht="14.25" customHeight="1">
      <c r="A45" s="29"/>
      <c r="B45" s="29"/>
      <c r="C45" s="29"/>
      <c r="D45" s="29"/>
      <c r="E45" s="29"/>
      <c r="F45" s="29"/>
      <c r="G45" s="29"/>
      <c r="H45" s="216" t="str">
        <f>AS17</f>
        <v>44 ਚੰਬਾ ਰਾਮ ਚਾਨਣ ਰਾਮ</v>
      </c>
      <c r="I45" s="142">
        <v>44</v>
      </c>
      <c r="J45" s="18">
        <v>1</v>
      </c>
      <c r="K45" s="18">
        <v>1</v>
      </c>
      <c r="L45" s="18">
        <v>1</v>
      </c>
      <c r="M45" s="18">
        <v>1</v>
      </c>
      <c r="N45" s="18">
        <v>1</v>
      </c>
      <c r="O45" s="18">
        <v>1</v>
      </c>
      <c r="P45" s="142">
        <v>44</v>
      </c>
      <c r="Q45" s="18">
        <v>1</v>
      </c>
      <c r="R45" s="18">
        <v>1</v>
      </c>
      <c r="S45" s="18">
        <v>1</v>
      </c>
      <c r="T45" s="18">
        <v>1</v>
      </c>
      <c r="U45" s="18">
        <v>1</v>
      </c>
      <c r="V45" s="18">
        <v>1</v>
      </c>
      <c r="W45" s="212" t="s">
        <v>628</v>
      </c>
      <c r="X45" s="18">
        <v>1</v>
      </c>
      <c r="Y45" s="18">
        <v>1</v>
      </c>
      <c r="Z45" s="18">
        <v>1</v>
      </c>
      <c r="AA45" s="18">
        <v>1</v>
      </c>
      <c r="AB45" s="52">
        <v>1</v>
      </c>
      <c r="AC45" s="143"/>
      <c r="AD45" s="29"/>
      <c r="AE45" s="29"/>
      <c r="AF45" s="29"/>
      <c r="AG45" s="29"/>
      <c r="AH45" s="29"/>
      <c r="AI45" s="29"/>
      <c r="AJ45" s="29"/>
      <c r="AK45" s="29"/>
      <c r="AL45" s="142" t="s">
        <v>55</v>
      </c>
      <c r="AM45" s="18" t="s">
        <v>90</v>
      </c>
      <c r="AN45" s="18">
        <v>1</v>
      </c>
      <c r="AO45" s="18">
        <v>1</v>
      </c>
      <c r="AP45" s="18">
        <v>1</v>
      </c>
      <c r="AQ45" s="18">
        <v>1</v>
      </c>
      <c r="AR45" s="18">
        <v>1</v>
      </c>
      <c r="AS45" s="165" t="s">
        <v>592</v>
      </c>
      <c r="AT45" s="18" t="s">
        <v>394</v>
      </c>
      <c r="AU45" s="18">
        <v>1</v>
      </c>
      <c r="AV45" s="18">
        <v>1</v>
      </c>
      <c r="AW45" s="18">
        <v>1</v>
      </c>
      <c r="AX45" s="18">
        <v>1</v>
      </c>
      <c r="AY45" s="18">
        <v>1</v>
      </c>
      <c r="AZ45" s="165" t="s">
        <v>635</v>
      </c>
      <c r="BA45" s="18">
        <v>1</v>
      </c>
      <c r="BB45" s="18">
        <v>1</v>
      </c>
      <c r="BC45" s="18">
        <v>1</v>
      </c>
      <c r="BD45" s="18">
        <v>1</v>
      </c>
      <c r="BE45" s="18">
        <v>1</v>
      </c>
      <c r="BF45" s="18">
        <v>1</v>
      </c>
      <c r="BG45" s="171"/>
      <c r="BH45" s="165">
        <v>44</v>
      </c>
      <c r="BI45" s="5">
        <v>1</v>
      </c>
      <c r="BJ45" s="5">
        <v>1</v>
      </c>
      <c r="BK45" s="5">
        <v>1</v>
      </c>
      <c r="BL45" s="5">
        <v>1</v>
      </c>
      <c r="BM45" s="5">
        <v>1</v>
      </c>
      <c r="BN45" s="174">
        <v>1</v>
      </c>
    </row>
    <row r="46" spans="1:66" ht="14.25" customHeight="1" thickBot="1">
      <c r="A46" s="29"/>
      <c r="B46" s="29"/>
      <c r="C46" s="29"/>
      <c r="D46" s="29"/>
      <c r="E46" s="29"/>
      <c r="F46" s="29"/>
      <c r="G46" s="29"/>
      <c r="H46" s="216" t="str">
        <f>AS22</f>
        <v>45 ਬਾਗ ਚੰਦ ਚਾਨਣ ਰਾਮ</v>
      </c>
      <c r="I46" s="142">
        <v>45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42">
        <v>45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59"/>
      <c r="X46" s="53">
        <v>1</v>
      </c>
      <c r="Y46" s="53">
        <v>1</v>
      </c>
      <c r="Z46" s="53">
        <v>1</v>
      </c>
      <c r="AA46" s="53">
        <v>1</v>
      </c>
      <c r="AB46" s="54">
        <v>1</v>
      </c>
      <c r="AC46" s="143"/>
      <c r="AD46" s="29"/>
      <c r="AE46" s="29"/>
      <c r="AF46" s="29"/>
      <c r="AG46" s="29"/>
      <c r="AH46" s="29"/>
      <c r="AI46" s="29"/>
      <c r="AJ46" s="29"/>
      <c r="AK46" s="29"/>
      <c r="AL46" s="142" t="s">
        <v>380</v>
      </c>
      <c r="AM46" s="18" t="s">
        <v>636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65">
        <v>45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65">
        <v>45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18">
        <v>1</v>
      </c>
      <c r="BG46" s="171"/>
      <c r="BH46" s="165">
        <v>45</v>
      </c>
      <c r="BI46" s="5">
        <v>1</v>
      </c>
      <c r="BJ46" s="5">
        <v>1</v>
      </c>
      <c r="BK46" s="5">
        <v>1</v>
      </c>
      <c r="BL46" s="5">
        <v>1</v>
      </c>
      <c r="BM46" s="5">
        <v>1</v>
      </c>
      <c r="BN46" s="174">
        <v>1</v>
      </c>
    </row>
    <row r="47" spans="1:66" ht="14.25" customHeight="1">
      <c r="A47" s="29"/>
      <c r="B47" s="29"/>
      <c r="C47" s="29"/>
      <c r="D47" s="29"/>
      <c r="E47" s="29"/>
      <c r="F47" s="29"/>
      <c r="G47" s="29"/>
      <c r="H47" s="133" t="str">
        <f>AS27</f>
        <v>46 ਫੱਤਾ ਰਾਮ ਜੋਸਣ</v>
      </c>
      <c r="I47" s="144" t="s">
        <v>400</v>
      </c>
      <c r="J47" s="18" t="s">
        <v>103</v>
      </c>
      <c r="K47" s="18" t="s">
        <v>637</v>
      </c>
      <c r="L47" s="18">
        <v>1</v>
      </c>
      <c r="M47" s="18">
        <v>1</v>
      </c>
      <c r="N47" s="18">
        <v>1</v>
      </c>
      <c r="O47" s="143" t="s">
        <v>1145</v>
      </c>
      <c r="P47" s="151" t="s">
        <v>1130</v>
      </c>
      <c r="Q47" s="14" t="s">
        <v>83</v>
      </c>
      <c r="R47" s="14" t="s">
        <v>84</v>
      </c>
      <c r="S47" s="14">
        <v>1</v>
      </c>
      <c r="T47" s="15">
        <v>1</v>
      </c>
      <c r="U47" s="16">
        <v>6</v>
      </c>
      <c r="V47" s="143" t="s">
        <v>1152</v>
      </c>
      <c r="W47" s="144" t="s">
        <v>539</v>
      </c>
      <c r="X47" s="18">
        <v>1</v>
      </c>
      <c r="Y47" s="18">
        <v>1</v>
      </c>
      <c r="Z47" s="18">
        <v>1</v>
      </c>
      <c r="AA47" s="18">
        <v>1</v>
      </c>
      <c r="AB47" s="18">
        <v>1</v>
      </c>
      <c r="AC47" s="143" t="s">
        <v>1161</v>
      </c>
      <c r="AD47" s="29"/>
      <c r="AE47" s="29"/>
      <c r="AF47" s="29"/>
      <c r="AG47" s="29"/>
      <c r="AH47" s="29"/>
      <c r="AI47" s="29"/>
      <c r="AJ47" s="29"/>
      <c r="AK47" s="29"/>
      <c r="AL47" s="144" t="s">
        <v>602</v>
      </c>
      <c r="AM47" s="18" t="s">
        <v>547</v>
      </c>
      <c r="AN47" s="18">
        <v>1</v>
      </c>
      <c r="AO47" s="18">
        <v>1</v>
      </c>
      <c r="AP47" s="18">
        <v>1</v>
      </c>
      <c r="AQ47" s="18">
        <v>1</v>
      </c>
      <c r="AR47" s="143" t="s">
        <v>1171</v>
      </c>
      <c r="AS47" s="166" t="s">
        <v>638</v>
      </c>
      <c r="AT47" s="18" t="s">
        <v>639</v>
      </c>
      <c r="AU47" s="18" t="s">
        <v>272</v>
      </c>
      <c r="AV47" s="18"/>
      <c r="AW47" s="18">
        <v>1</v>
      </c>
      <c r="AX47" s="18">
        <v>1</v>
      </c>
      <c r="AY47" s="143" t="s">
        <v>1178</v>
      </c>
      <c r="AZ47" s="166" t="s">
        <v>640</v>
      </c>
      <c r="BA47" s="5" t="s">
        <v>338</v>
      </c>
      <c r="BB47" s="5">
        <v>1</v>
      </c>
      <c r="BC47" s="5">
        <v>1</v>
      </c>
      <c r="BD47" s="5">
        <v>1</v>
      </c>
      <c r="BE47" s="5">
        <v>1</v>
      </c>
      <c r="BF47" s="174" t="s">
        <v>1196</v>
      </c>
      <c r="BG47" s="171"/>
      <c r="BH47" s="166" t="s">
        <v>1449</v>
      </c>
      <c r="BI47" s="5">
        <v>1</v>
      </c>
      <c r="BJ47" s="5">
        <v>1</v>
      </c>
      <c r="BK47" s="5">
        <v>1</v>
      </c>
      <c r="BL47" s="5">
        <v>1</v>
      </c>
      <c r="BM47" s="5">
        <v>1</v>
      </c>
      <c r="BN47" s="174">
        <v>1</v>
      </c>
    </row>
    <row r="48" spans="1:66" ht="14.25" customHeight="1">
      <c r="A48" s="29"/>
      <c r="B48" s="29"/>
      <c r="C48" s="29"/>
      <c r="D48" s="29"/>
      <c r="E48" s="29"/>
      <c r="F48" s="29"/>
      <c r="G48" s="29"/>
      <c r="H48" s="133" t="str">
        <f>AS32</f>
        <v>47 ਲਾਲ ਚੰਦ ਮਹਿਲਾ ਰਾਮ</v>
      </c>
      <c r="I48" s="142" t="s">
        <v>112</v>
      </c>
      <c r="J48" s="18" t="s">
        <v>491</v>
      </c>
      <c r="K48" s="18">
        <v>1</v>
      </c>
      <c r="L48" s="18">
        <v>1</v>
      </c>
      <c r="M48" s="18">
        <v>1</v>
      </c>
      <c r="N48" s="18">
        <v>1</v>
      </c>
      <c r="O48" s="18">
        <v>1</v>
      </c>
      <c r="P48" s="152" t="s">
        <v>91</v>
      </c>
      <c r="Q48" s="14" t="s">
        <v>92</v>
      </c>
      <c r="R48" s="15" t="s">
        <v>93</v>
      </c>
      <c r="S48" s="14" t="s">
        <v>94</v>
      </c>
      <c r="T48" s="15">
        <v>1</v>
      </c>
      <c r="U48" s="16">
        <v>7</v>
      </c>
      <c r="V48" s="18">
        <v>1</v>
      </c>
      <c r="W48" s="142" t="s">
        <v>414</v>
      </c>
      <c r="X48" s="18" t="s">
        <v>641</v>
      </c>
      <c r="Y48" s="18" t="s">
        <v>642</v>
      </c>
      <c r="Z48" s="18">
        <v>1</v>
      </c>
      <c r="AA48" s="18">
        <v>1</v>
      </c>
      <c r="AB48" s="18">
        <v>1</v>
      </c>
      <c r="AC48" s="143"/>
      <c r="AD48" s="29"/>
      <c r="AE48" s="29"/>
      <c r="AF48" s="29"/>
      <c r="AG48" s="29"/>
      <c r="AH48" s="29"/>
      <c r="AI48" s="29"/>
      <c r="AJ48" s="29"/>
      <c r="AK48" s="29"/>
      <c r="AL48" s="142" t="s">
        <v>544</v>
      </c>
      <c r="AM48" s="18" t="s">
        <v>643</v>
      </c>
      <c r="AN48" s="18" t="s">
        <v>212</v>
      </c>
      <c r="AO48" s="18">
        <v>1</v>
      </c>
      <c r="AP48" s="18">
        <v>1</v>
      </c>
      <c r="AQ48" s="18">
        <v>1</v>
      </c>
      <c r="AR48" s="18">
        <v>1</v>
      </c>
      <c r="AS48" s="165" t="s">
        <v>106</v>
      </c>
      <c r="AT48" s="18" t="s">
        <v>175</v>
      </c>
      <c r="AU48" s="18" t="s">
        <v>644</v>
      </c>
      <c r="AV48" s="18">
        <v>1</v>
      </c>
      <c r="AW48" s="18">
        <v>1</v>
      </c>
      <c r="AX48" s="18">
        <v>1</v>
      </c>
      <c r="AY48" s="18">
        <v>1</v>
      </c>
      <c r="AZ48" s="165" t="s">
        <v>645</v>
      </c>
      <c r="BA48" s="5" t="s">
        <v>186</v>
      </c>
      <c r="BB48" s="5" t="s">
        <v>242</v>
      </c>
      <c r="BC48" s="5" t="s">
        <v>646</v>
      </c>
      <c r="BD48" s="5">
        <v>1</v>
      </c>
      <c r="BE48" s="5">
        <v>1</v>
      </c>
      <c r="BF48" s="18">
        <v>1</v>
      </c>
      <c r="BG48" s="171"/>
      <c r="BH48" s="165">
        <v>47</v>
      </c>
      <c r="BI48" s="5">
        <v>1</v>
      </c>
      <c r="BJ48" s="5">
        <v>1</v>
      </c>
      <c r="BK48" s="5">
        <v>1</v>
      </c>
      <c r="BL48" s="5">
        <v>1</v>
      </c>
      <c r="BM48" s="5">
        <v>1</v>
      </c>
      <c r="BN48" s="174">
        <v>1</v>
      </c>
    </row>
    <row r="49" spans="1:66" ht="14.25" customHeight="1">
      <c r="A49" s="29"/>
      <c r="B49" s="29"/>
      <c r="C49" s="29"/>
      <c r="D49" s="29"/>
      <c r="E49" s="29"/>
      <c r="F49" s="29"/>
      <c r="G49" s="29"/>
      <c r="H49" s="133" t="str">
        <f>AS37</f>
        <v>48 ਗੁਰਦਾਸ ਰਾਮ ਨੱਥੂ ਰਾਮ</v>
      </c>
      <c r="I49" s="142" t="s">
        <v>93</v>
      </c>
      <c r="J49" s="120" t="s">
        <v>1338</v>
      </c>
      <c r="K49" s="18">
        <v>1</v>
      </c>
      <c r="L49" s="18">
        <v>1</v>
      </c>
      <c r="M49" s="18">
        <v>1</v>
      </c>
      <c r="N49" s="18">
        <v>1</v>
      </c>
      <c r="O49" s="18">
        <v>1</v>
      </c>
      <c r="P49" s="152" t="s">
        <v>102</v>
      </c>
      <c r="Q49" s="14" t="s">
        <v>103</v>
      </c>
      <c r="R49" s="14">
        <v>1</v>
      </c>
      <c r="S49" s="14">
        <v>1</v>
      </c>
      <c r="T49" s="15">
        <v>1</v>
      </c>
      <c r="U49" s="16">
        <v>8</v>
      </c>
      <c r="V49" s="18">
        <v>1</v>
      </c>
      <c r="W49" s="142" t="s">
        <v>157</v>
      </c>
      <c r="X49" s="18" t="s">
        <v>647</v>
      </c>
      <c r="Y49" s="18">
        <v>1</v>
      </c>
      <c r="Z49" s="18">
        <v>1</v>
      </c>
      <c r="AA49" s="18">
        <v>1</v>
      </c>
      <c r="AB49" s="18">
        <v>1</v>
      </c>
      <c r="AC49" s="143"/>
      <c r="AD49" s="29"/>
      <c r="AE49" s="29"/>
      <c r="AF49" s="29"/>
      <c r="AG49" s="29"/>
      <c r="AH49" s="29"/>
      <c r="AI49" s="29"/>
      <c r="AJ49" s="29"/>
      <c r="AK49" s="29"/>
      <c r="AL49" s="142" t="s">
        <v>648</v>
      </c>
      <c r="AM49" s="18" t="s">
        <v>279</v>
      </c>
      <c r="AN49" s="18">
        <v>1</v>
      </c>
      <c r="AO49" s="18">
        <v>1</v>
      </c>
      <c r="AP49" s="18">
        <v>1</v>
      </c>
      <c r="AQ49" s="18">
        <v>1</v>
      </c>
      <c r="AR49" s="18">
        <v>1</v>
      </c>
      <c r="AS49" s="165" t="s">
        <v>69</v>
      </c>
      <c r="AT49" s="18" t="s">
        <v>649</v>
      </c>
      <c r="AU49" s="18" t="s">
        <v>650</v>
      </c>
      <c r="AV49" s="18" t="s">
        <v>651</v>
      </c>
      <c r="AW49" s="18">
        <v>1</v>
      </c>
      <c r="AX49" s="18">
        <v>1</v>
      </c>
      <c r="AY49" s="18">
        <v>1</v>
      </c>
      <c r="AZ49" s="165" t="s">
        <v>161</v>
      </c>
      <c r="BA49" s="5" t="s">
        <v>146</v>
      </c>
      <c r="BB49" s="5" t="s">
        <v>347</v>
      </c>
      <c r="BC49" s="5" t="s">
        <v>60</v>
      </c>
      <c r="BD49" s="5">
        <v>1</v>
      </c>
      <c r="BE49" s="5">
        <v>1</v>
      </c>
      <c r="BF49" s="18">
        <v>1</v>
      </c>
      <c r="BG49" s="171"/>
      <c r="BH49" s="165">
        <v>48</v>
      </c>
      <c r="BI49" s="5">
        <v>1</v>
      </c>
      <c r="BJ49" s="5">
        <v>1</v>
      </c>
      <c r="BK49" s="5">
        <v>1</v>
      </c>
      <c r="BL49" s="5">
        <v>1</v>
      </c>
      <c r="BM49" s="5">
        <v>1</v>
      </c>
      <c r="BN49" s="174">
        <v>1</v>
      </c>
    </row>
    <row r="50" spans="1:66" ht="14.25" customHeight="1">
      <c r="A50" s="29"/>
      <c r="B50" s="29"/>
      <c r="C50" s="29"/>
      <c r="D50" s="29"/>
      <c r="E50" s="29"/>
      <c r="F50" s="29"/>
      <c r="G50" s="29"/>
      <c r="H50" s="133" t="str">
        <f>AS42</f>
        <v xml:space="preserve"> 49 ਲੱਖਾ ਰਾਮ </v>
      </c>
      <c r="I50" s="142">
        <v>49</v>
      </c>
      <c r="J50" s="18">
        <v>1</v>
      </c>
      <c r="K50" s="18">
        <v>1</v>
      </c>
      <c r="L50" s="18">
        <v>1</v>
      </c>
      <c r="M50" s="18">
        <v>1</v>
      </c>
      <c r="N50" s="18">
        <v>1</v>
      </c>
      <c r="O50" s="18">
        <v>1</v>
      </c>
      <c r="P50" s="152" t="s">
        <v>108</v>
      </c>
      <c r="Q50" s="14" t="s">
        <v>90</v>
      </c>
      <c r="R50" s="14">
        <v>1</v>
      </c>
      <c r="S50" s="14">
        <v>1</v>
      </c>
      <c r="T50" s="15">
        <v>1</v>
      </c>
      <c r="U50" s="16">
        <v>9</v>
      </c>
      <c r="V50" s="18">
        <v>1</v>
      </c>
      <c r="W50" s="142" t="s">
        <v>374</v>
      </c>
      <c r="X50" s="18" t="s">
        <v>163</v>
      </c>
      <c r="Y50" s="18">
        <v>1</v>
      </c>
      <c r="Z50" s="18">
        <v>1</v>
      </c>
      <c r="AA50" s="18">
        <v>1</v>
      </c>
      <c r="AB50" s="18">
        <v>1</v>
      </c>
      <c r="AC50" s="143"/>
      <c r="AD50" s="29"/>
      <c r="AE50" s="29"/>
      <c r="AF50" s="29"/>
      <c r="AG50" s="29"/>
      <c r="AH50" s="29"/>
      <c r="AI50" s="29"/>
      <c r="AJ50" s="29"/>
      <c r="AK50" s="29"/>
      <c r="AL50" s="142" t="s">
        <v>654</v>
      </c>
      <c r="AM50" s="18">
        <v>1</v>
      </c>
      <c r="AN50" s="18" t="s">
        <v>655</v>
      </c>
      <c r="AO50" s="18">
        <v>1</v>
      </c>
      <c r="AP50" s="18">
        <v>1</v>
      </c>
      <c r="AQ50" s="18">
        <v>1</v>
      </c>
      <c r="AR50" s="18">
        <v>1</v>
      </c>
      <c r="AS50" s="165" t="s">
        <v>161</v>
      </c>
      <c r="AT50" s="18" t="s">
        <v>90</v>
      </c>
      <c r="AU50" s="18">
        <v>1</v>
      </c>
      <c r="AV50" s="18">
        <v>1</v>
      </c>
      <c r="AW50" s="18">
        <v>1</v>
      </c>
      <c r="AX50" s="18">
        <v>1</v>
      </c>
      <c r="AY50" s="18">
        <v>1</v>
      </c>
      <c r="AZ50" s="165" t="s">
        <v>194</v>
      </c>
      <c r="BA50" s="5" t="s">
        <v>656</v>
      </c>
      <c r="BB50" s="5" t="s">
        <v>176</v>
      </c>
      <c r="BC50" s="5" t="s">
        <v>657</v>
      </c>
      <c r="BD50" s="5">
        <v>1</v>
      </c>
      <c r="BE50" s="5">
        <v>1</v>
      </c>
      <c r="BF50" s="18">
        <v>1</v>
      </c>
      <c r="BG50" s="171"/>
      <c r="BH50" s="165">
        <v>49</v>
      </c>
      <c r="BI50" s="5">
        <v>1</v>
      </c>
      <c r="BJ50" s="5">
        <v>1</v>
      </c>
      <c r="BK50" s="5">
        <v>1</v>
      </c>
      <c r="BL50" s="5">
        <v>1</v>
      </c>
      <c r="BM50" s="5">
        <v>1</v>
      </c>
      <c r="BN50" s="174">
        <v>1</v>
      </c>
    </row>
    <row r="51" spans="1:66" ht="14.25" customHeight="1" thickBot="1">
      <c r="A51" s="29"/>
      <c r="B51" s="29"/>
      <c r="C51" s="29"/>
      <c r="D51" s="29"/>
      <c r="E51" s="29"/>
      <c r="F51" s="29"/>
      <c r="G51" s="29"/>
      <c r="H51" s="133" t="str">
        <f>AS47</f>
        <v>50 ਓਮ ਪ੍ਰਕਾਸ਼ ਕਾਮਰੇਡ ਦਰਸ਼ਨ ਰਾਮ</v>
      </c>
      <c r="I51" s="148">
        <v>50</v>
      </c>
      <c r="J51" s="149">
        <v>1</v>
      </c>
      <c r="K51" s="149">
        <v>1</v>
      </c>
      <c r="L51" s="149">
        <v>1</v>
      </c>
      <c r="M51" s="149">
        <v>1</v>
      </c>
      <c r="N51" s="149">
        <v>1</v>
      </c>
      <c r="O51" s="18">
        <v>1</v>
      </c>
      <c r="P51" s="153" t="s">
        <v>114</v>
      </c>
      <c r="Q51" s="154">
        <v>1</v>
      </c>
      <c r="R51" s="154">
        <v>1</v>
      </c>
      <c r="S51" s="154">
        <v>1</v>
      </c>
      <c r="T51" s="155">
        <v>1</v>
      </c>
      <c r="U51" s="156">
        <v>10</v>
      </c>
      <c r="V51" s="18">
        <v>1</v>
      </c>
      <c r="W51" s="148">
        <v>30</v>
      </c>
      <c r="X51" s="149">
        <v>1</v>
      </c>
      <c r="Y51" s="149">
        <v>1</v>
      </c>
      <c r="Z51" s="149">
        <v>1</v>
      </c>
      <c r="AA51" s="149">
        <v>1</v>
      </c>
      <c r="AB51" s="149">
        <v>1</v>
      </c>
      <c r="AC51" s="150"/>
      <c r="AD51" s="29"/>
      <c r="AE51" s="29"/>
      <c r="AF51" s="29"/>
      <c r="AG51" s="29"/>
      <c r="AH51" s="29"/>
      <c r="AI51" s="29"/>
      <c r="AJ51" s="29"/>
      <c r="AK51" s="29"/>
      <c r="AL51" s="148">
        <v>50</v>
      </c>
      <c r="AM51" s="149">
        <v>1</v>
      </c>
      <c r="AN51" s="149">
        <v>1</v>
      </c>
      <c r="AO51" s="149">
        <v>1</v>
      </c>
      <c r="AP51" s="149">
        <v>1</v>
      </c>
      <c r="AQ51" s="149">
        <v>1</v>
      </c>
      <c r="AR51" s="18">
        <v>1</v>
      </c>
      <c r="AS51" s="167">
        <v>50</v>
      </c>
      <c r="AT51" s="149">
        <v>1</v>
      </c>
      <c r="AU51" s="149">
        <v>1</v>
      </c>
      <c r="AV51" s="149">
        <v>1</v>
      </c>
      <c r="AW51" s="149">
        <v>1</v>
      </c>
      <c r="AX51" s="149">
        <v>1</v>
      </c>
      <c r="AY51" s="18">
        <v>1</v>
      </c>
      <c r="AZ51" s="167">
        <v>50</v>
      </c>
      <c r="BA51" s="176">
        <v>1</v>
      </c>
      <c r="BB51" s="176">
        <v>1</v>
      </c>
      <c r="BC51" s="176">
        <v>1</v>
      </c>
      <c r="BD51" s="176">
        <v>1</v>
      </c>
      <c r="BE51" s="176">
        <v>1</v>
      </c>
      <c r="BF51" s="18">
        <v>1</v>
      </c>
      <c r="BG51" s="172"/>
      <c r="BH51" s="167">
        <v>50</v>
      </c>
      <c r="BI51" s="5">
        <v>1</v>
      </c>
      <c r="BJ51" s="5">
        <v>1</v>
      </c>
      <c r="BK51" s="5">
        <v>1</v>
      </c>
      <c r="BL51" s="5">
        <v>1</v>
      </c>
      <c r="BM51" s="5">
        <v>1</v>
      </c>
      <c r="BN51" s="174">
        <v>1</v>
      </c>
    </row>
    <row r="52" spans="1:66" ht="14.25" customHeight="1">
      <c r="A52" s="29"/>
      <c r="B52" s="29"/>
      <c r="C52" s="29"/>
      <c r="D52" s="29"/>
      <c r="E52" s="29"/>
      <c r="F52" s="29"/>
      <c r="G52" s="29"/>
      <c r="H52" s="36" t="str">
        <f>AZ2</f>
        <v>51 ਭਗਵਾਨ ਦਾਸ (ਰੰਗੀਲਾ)</v>
      </c>
      <c r="I52"/>
      <c r="J52"/>
      <c r="K52"/>
      <c r="L52"/>
      <c r="M52"/>
      <c r="N52"/>
      <c r="O52" s="55"/>
      <c r="P52"/>
      <c r="Q52"/>
      <c r="R52"/>
      <c r="S52"/>
      <c r="T52"/>
      <c r="U52"/>
      <c r="V52" s="115"/>
      <c r="W52" s="29"/>
      <c r="X52" s="29"/>
      <c r="Y52" s="29"/>
      <c r="Z52" s="29"/>
      <c r="AA52" s="29"/>
      <c r="AB52" s="29"/>
      <c r="AC52" s="55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55"/>
      <c r="AS52" s="55"/>
      <c r="AT52" s="29"/>
      <c r="AU52" s="29"/>
      <c r="AV52" s="29"/>
      <c r="AW52" s="29"/>
      <c r="AX52" s="29"/>
      <c r="AY52" s="55"/>
      <c r="AZ52" s="55"/>
      <c r="BA52" s="29"/>
      <c r="BB52" s="29"/>
      <c r="BC52" s="29"/>
      <c r="BD52" s="29"/>
      <c r="BE52" s="29"/>
    </row>
    <row r="53" spans="1:66" ht="14.25" customHeight="1">
      <c r="A53" s="56" t="str">
        <f>BH2</f>
        <v>69 ਨਰੈਣ ਦਾਸ</v>
      </c>
      <c r="B53" s="29"/>
      <c r="C53" s="29"/>
      <c r="D53" s="29"/>
      <c r="E53" s="29"/>
      <c r="F53" s="29"/>
      <c r="G53" s="29"/>
      <c r="H53" s="36" t="str">
        <f>AZ7</f>
        <v>52 ਦੇਸ ਰਾਜ ਜੋਸਣ</v>
      </c>
      <c r="I53"/>
      <c r="J53"/>
      <c r="K53"/>
      <c r="L53"/>
      <c r="M53"/>
      <c r="N53"/>
      <c r="O53" s="55"/>
      <c r="P53"/>
      <c r="Q53"/>
      <c r="R53"/>
      <c r="S53"/>
      <c r="T53"/>
      <c r="U53"/>
      <c r="V53" s="115"/>
      <c r="W53" s="24"/>
      <c r="X53" s="24"/>
      <c r="Y53" s="24"/>
      <c r="Z53" s="24"/>
      <c r="AA53" s="24"/>
      <c r="AB53" s="24"/>
      <c r="AC53" s="55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55"/>
      <c r="AS53" s="55"/>
      <c r="AT53" s="29"/>
      <c r="AU53" s="29"/>
      <c r="AV53" s="29"/>
      <c r="AW53" s="29"/>
      <c r="AX53" s="29"/>
      <c r="AY53" s="55"/>
      <c r="AZ53" s="55"/>
      <c r="BA53" s="29"/>
      <c r="BB53" s="29"/>
      <c r="BC53" s="29"/>
      <c r="BD53" s="29"/>
      <c r="BE53" s="29"/>
    </row>
    <row r="54" spans="1:66" ht="14.25" customHeight="1">
      <c r="A54" s="56" t="str">
        <f>BH7</f>
        <v>62 ਜੇਠਾ ਰਾਮ</v>
      </c>
      <c r="B54" s="29"/>
      <c r="C54" s="29"/>
      <c r="D54" s="29"/>
      <c r="E54" s="29"/>
      <c r="F54" s="29"/>
      <c r="G54" s="29"/>
      <c r="H54" s="36" t="str">
        <f>AZ12</f>
        <v>53 ਹਰ ਨਰਾਇਣ</v>
      </c>
      <c r="I54"/>
      <c r="J54"/>
      <c r="K54"/>
      <c r="L54"/>
      <c r="M54"/>
      <c r="N54"/>
      <c r="O54" s="55"/>
      <c r="P54" s="29"/>
      <c r="Q54" s="29"/>
      <c r="R54" s="29"/>
      <c r="S54" s="29"/>
      <c r="T54" s="29"/>
      <c r="U54" s="29"/>
      <c r="V54" s="55"/>
      <c r="W54" s="24"/>
      <c r="X54" s="24"/>
      <c r="Y54" s="24"/>
      <c r="Z54" s="24"/>
      <c r="AA54" s="24"/>
      <c r="AB54" s="24"/>
      <c r="AC54" s="55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55"/>
      <c r="AS54" s="55"/>
      <c r="AT54" s="29"/>
      <c r="AU54" s="29"/>
      <c r="AV54" s="29"/>
      <c r="AW54" s="29"/>
      <c r="AX54" s="29"/>
      <c r="AY54" s="55"/>
      <c r="AZ54" s="55"/>
      <c r="BA54" s="29"/>
      <c r="BB54" s="29"/>
      <c r="BC54" s="29"/>
      <c r="BD54" s="29"/>
      <c r="BE54" s="29"/>
    </row>
    <row r="55" spans="1:66" ht="14.25" customHeight="1">
      <c r="A55" s="56" t="str">
        <f>BH12</f>
        <v>63 ਲਖਮੀ ਚੰਦ</v>
      </c>
      <c r="B55" s="29"/>
      <c r="C55" s="29"/>
      <c r="D55" s="29"/>
      <c r="E55" s="29"/>
      <c r="F55" s="29"/>
      <c r="G55" s="29"/>
      <c r="H55" s="36" t="str">
        <f>AZ17</f>
        <v>54 ਭਗਵਾਨ ਦਾਸ ਜਾਗੂ ਰਾਮ</v>
      </c>
      <c r="I55"/>
      <c r="J55"/>
      <c r="K55"/>
      <c r="L55"/>
      <c r="M55"/>
      <c r="N55"/>
      <c r="O55" s="55"/>
      <c r="P55" s="29"/>
      <c r="Q55" s="29"/>
      <c r="R55" s="29"/>
      <c r="S55" s="29"/>
      <c r="T55" s="29"/>
      <c r="U55" s="29"/>
      <c r="V55" s="55"/>
      <c r="W55" s="24"/>
      <c r="X55" s="24"/>
      <c r="Y55" s="24"/>
      <c r="Z55" s="24"/>
      <c r="AA55" s="24"/>
      <c r="AB55" s="24"/>
      <c r="AC55" s="55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55"/>
      <c r="AS55" s="55"/>
      <c r="AT55" s="29"/>
      <c r="AU55" s="29"/>
      <c r="AV55" s="29"/>
      <c r="AW55" s="29"/>
      <c r="AX55" s="29"/>
      <c r="AY55" s="55"/>
      <c r="AZ55" s="55"/>
      <c r="BA55" s="29"/>
      <c r="BB55" s="29"/>
      <c r="BC55" s="29"/>
      <c r="BD55" s="29"/>
      <c r="BE55" s="29"/>
    </row>
    <row r="56" spans="1:66" ht="14.25" customHeight="1">
      <c r="A56" s="56" t="str">
        <f>BH17</f>
        <v>64 ਭਾਗੂ ਰਾਮ</v>
      </c>
      <c r="B56" s="29"/>
      <c r="C56" s="29"/>
      <c r="D56" s="29"/>
      <c r="E56" s="29"/>
      <c r="F56" s="29"/>
      <c r="G56" s="29"/>
      <c r="H56" s="36" t="str">
        <f>AZ22</f>
        <v>55 ਹਰਭਜਨ ਪ੍ਰਕਾਸ</v>
      </c>
      <c r="I56"/>
      <c r="J56"/>
      <c r="K56"/>
      <c r="L56"/>
      <c r="M56"/>
      <c r="N56"/>
      <c r="O56" s="55"/>
      <c r="P56" s="29"/>
      <c r="Q56" s="29"/>
      <c r="R56" s="29"/>
      <c r="S56" s="29"/>
      <c r="T56" s="29"/>
      <c r="U56" s="29"/>
      <c r="V56" s="55"/>
      <c r="W56" s="24"/>
      <c r="X56" s="24"/>
      <c r="Y56" s="24"/>
      <c r="Z56" s="24"/>
      <c r="AA56" s="24"/>
      <c r="AB56" s="24"/>
      <c r="AC56" s="55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55"/>
      <c r="AS56" s="55"/>
      <c r="AT56" s="29"/>
      <c r="AU56" s="29"/>
      <c r="AV56" s="29"/>
      <c r="AW56" s="29"/>
      <c r="AX56" s="29"/>
      <c r="AY56" s="55"/>
      <c r="AZ56" s="55"/>
      <c r="BA56" s="29"/>
      <c r="BB56" s="29"/>
      <c r="BC56" s="29"/>
      <c r="BD56" s="29"/>
      <c r="BE56" s="29"/>
    </row>
    <row r="57" spans="1:66" ht="14.25" customHeight="1">
      <c r="A57" s="56" t="str">
        <f>BH22</f>
        <v>65 ਸਤਨਾਮ ਅਤੇ ਸੋਮ / ਲਛਮਣ ਰਾਮ</v>
      </c>
      <c r="B57" s="29"/>
      <c r="C57" s="29"/>
      <c r="D57" s="29"/>
      <c r="E57" s="29"/>
      <c r="F57" s="29"/>
      <c r="G57" s="29"/>
      <c r="H57" s="36" t="str">
        <f>AZ27</f>
        <v>56 ਲਛਮਣ ਰਾਮ ਪਾਠੀ</v>
      </c>
      <c r="I57"/>
      <c r="J57"/>
      <c r="K57"/>
      <c r="L57"/>
      <c r="M57"/>
      <c r="N57"/>
      <c r="O57" s="55"/>
      <c r="P57" s="29"/>
      <c r="Q57" s="29"/>
      <c r="R57" s="29"/>
      <c r="S57" s="29"/>
      <c r="T57" s="29"/>
      <c r="U57" s="29"/>
      <c r="V57" s="55"/>
      <c r="W57" s="24"/>
      <c r="X57" s="24"/>
      <c r="Y57" s="24"/>
      <c r="Z57" s="24"/>
      <c r="AA57" s="24"/>
      <c r="AB57" s="24"/>
      <c r="AC57" s="55"/>
      <c r="AD57" s="29"/>
      <c r="AE57" s="29" t="str">
        <f>IF($AE$1=$H$32,AL2,IF($AE$1=$H$33,AL7,IF($AE$1=$H$34,AL12,IF($AE$1=$H$35,AL17,IF($AE$1=$H$36,AL22,IF($AE$1=$H$37,AL27,IF($AE$1=$H$38,AL32,IF($AE$1=$H$39,AL37,IF($AE$1=$H$40,AL42,IF($AE$1=$H$41,AL47,IF($AE$1=$H$42,AS2,IF($AE$1=$H$43,AS7,IF($AE$1=$H$44,AS12,IF($AE$1=$H$45,AS17,IF($AE$1=$H$46,AS22,IF($AE$1=$H$47,AS27,IF($AE$1=$H$48,AS32,IF($AE$1=$H$49,AS37,IF($AE$1=$H$50,AS42,IF($AE$1=$H$51,AS47,IF($AE$1=$H$52,AS52,IF($AE$1=$H$52,AZ2,IF($AE$1=$H$53,AZ7,IF($AE$1=$H$54,AZ12,IF($AE$1=$H$55,AZ17,IF($AE$1=$H$56,AZ22,IF($AE$1=$H$57,AZ27,IF($AE$1=$H$58,AZ32,IF($AE$1=$H$59,AZ37,IF($AE$1=$H$60,AZ42,IF($AE$1=$H$61,AZ47)))))))))))))))))))))))))))))))</f>
        <v>32 ਉੱਤਮ ਚੰਦ ਚੰਬਾ ਰਾਮ</v>
      </c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55"/>
      <c r="AS57" s="55"/>
      <c r="AT57" s="29"/>
      <c r="AU57" s="29"/>
      <c r="AV57" s="29"/>
      <c r="AW57" s="29"/>
      <c r="AX57" s="29"/>
      <c r="AY57" s="55"/>
      <c r="AZ57" s="55"/>
      <c r="BA57" s="29"/>
      <c r="BB57" s="29"/>
      <c r="BC57" s="29"/>
      <c r="BD57" s="29"/>
      <c r="BE57" s="29"/>
    </row>
    <row r="58" spans="1:66" ht="14.25" customHeight="1">
      <c r="A58" s="56" t="str">
        <f>BH27</f>
        <v>66 ਝੰਡਾ ਰਾਮ ਅਤੇ ਜੈ ਚੰਦ</v>
      </c>
      <c r="B58" s="29"/>
      <c r="C58" s="29"/>
      <c r="D58" s="29"/>
      <c r="E58" s="29"/>
      <c r="F58" s="29"/>
      <c r="G58" s="29"/>
      <c r="H58" s="36" t="str">
        <f>AZ32</f>
        <v xml:space="preserve">57 ਕੇਸਰ ਰਾਮ </v>
      </c>
      <c r="I58"/>
      <c r="J58"/>
      <c r="K58"/>
      <c r="L58"/>
      <c r="M58"/>
      <c r="N58"/>
      <c r="O58" s="55"/>
      <c r="P58" s="29"/>
      <c r="Q58" s="29"/>
      <c r="R58" s="29"/>
      <c r="S58" s="29"/>
      <c r="T58" s="29"/>
      <c r="U58" s="29"/>
      <c r="V58" s="55"/>
      <c r="W58" s="24"/>
      <c r="X58" s="24"/>
      <c r="Y58" s="24"/>
      <c r="Z58" s="24"/>
      <c r="AA58" s="24"/>
      <c r="AB58" s="24"/>
      <c r="AC58" s="55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55"/>
      <c r="AS58" s="55"/>
      <c r="AT58" s="29"/>
      <c r="AU58" s="29"/>
      <c r="AV58" s="29"/>
      <c r="AW58" s="29"/>
      <c r="AX58" s="29"/>
      <c r="AY58" s="55"/>
      <c r="AZ58" s="55"/>
      <c r="BA58" s="29"/>
      <c r="BB58" s="29"/>
      <c r="BC58" s="29"/>
      <c r="BD58" s="29"/>
      <c r="BE58" s="29"/>
    </row>
    <row r="59" spans="1:66" ht="14.25" customHeight="1">
      <c r="A59" s="56" t="str">
        <f>BH32</f>
        <v>67 ਵਿਸਾਖਾ ਰਾਮ ਜੋਸਨ</v>
      </c>
      <c r="B59" s="29"/>
      <c r="C59" s="29"/>
      <c r="D59" s="29"/>
      <c r="E59" s="29"/>
      <c r="F59" s="29"/>
      <c r="G59" s="29"/>
      <c r="H59" s="36" t="str">
        <f>AZ37</f>
        <v>58 ਦਿਵਾਨ ਚੰਦ</v>
      </c>
      <c r="I59"/>
      <c r="J59"/>
      <c r="K59"/>
      <c r="L59"/>
      <c r="M59"/>
      <c r="N59"/>
      <c r="O59" s="55"/>
      <c r="P59" s="29"/>
      <c r="Q59" s="29"/>
      <c r="R59" s="29"/>
      <c r="S59" s="29"/>
      <c r="T59" s="29"/>
      <c r="U59" s="29"/>
      <c r="V59" s="55"/>
      <c r="W59" s="29"/>
      <c r="X59" s="29"/>
      <c r="Y59" s="29"/>
      <c r="Z59" s="29"/>
      <c r="AA59" s="29"/>
      <c r="AB59" s="29"/>
      <c r="AC59" s="55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55"/>
      <c r="AS59" s="55"/>
      <c r="AT59" s="29"/>
      <c r="AU59" s="29"/>
      <c r="AV59" s="29"/>
      <c r="AW59" s="29"/>
      <c r="AX59" s="29"/>
      <c r="AY59" s="55"/>
      <c r="AZ59" s="55"/>
      <c r="BA59" s="29"/>
      <c r="BB59" s="29"/>
      <c r="BC59" s="29"/>
      <c r="BD59" s="29"/>
      <c r="BE59" s="29"/>
    </row>
    <row r="60" spans="1:66" ht="14.25" customHeight="1">
      <c r="A60" s="56" t="str">
        <f>BH37</f>
        <v>68 ਘਮੰਡੀ ਰਾਮ</v>
      </c>
      <c r="B60" s="29"/>
      <c r="C60" s="29"/>
      <c r="D60" s="29"/>
      <c r="E60" s="29"/>
      <c r="F60" s="29"/>
      <c r="G60" s="29"/>
      <c r="H60" s="218" t="str">
        <f>AZ42</f>
        <v>59 ਮਾਣ ਸਿੰਘ ਨਿਹੰਗ</v>
      </c>
      <c r="I60" s="29"/>
      <c r="J60" s="29"/>
      <c r="K60" s="29"/>
      <c r="L60" s="29"/>
      <c r="M60" s="29"/>
      <c r="N60" s="29"/>
      <c r="O60" s="55"/>
      <c r="P60" s="29"/>
      <c r="Q60" s="29"/>
      <c r="R60" s="29"/>
      <c r="S60" s="29"/>
      <c r="T60" s="29"/>
      <c r="U60" s="29"/>
      <c r="V60" s="55"/>
      <c r="W60" s="29"/>
      <c r="X60" s="29"/>
      <c r="Y60" s="29"/>
      <c r="Z60" s="29"/>
      <c r="AA60" s="29"/>
      <c r="AB60" s="29"/>
      <c r="AC60" s="55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55"/>
      <c r="AS60" s="55"/>
      <c r="AT60" s="29"/>
      <c r="AU60" s="29"/>
      <c r="AV60" s="29"/>
      <c r="AW60" s="29"/>
      <c r="AX60" s="29"/>
      <c r="AY60" s="55"/>
      <c r="AZ60" s="55"/>
      <c r="BA60" s="29"/>
      <c r="BB60" s="29"/>
      <c r="BC60" s="29"/>
      <c r="BD60" s="29"/>
      <c r="BE60" s="29"/>
    </row>
    <row r="61" spans="1:66" ht="14.25" customHeight="1">
      <c r="A61" s="56" t="str">
        <f>BH42</f>
        <v>69 00</v>
      </c>
      <c r="B61" s="29"/>
      <c r="C61" s="29"/>
      <c r="D61" s="29"/>
      <c r="E61" s="29"/>
      <c r="F61" s="29"/>
      <c r="G61" s="29"/>
      <c r="H61" s="36" t="str">
        <f>AZ47</f>
        <v>70 ਗੋਬਿੰਦ ਰਾਮ</v>
      </c>
      <c r="I61" s="29"/>
      <c r="J61" s="29"/>
      <c r="K61" s="29"/>
      <c r="L61" s="29"/>
      <c r="M61" s="29"/>
      <c r="N61" s="29"/>
      <c r="O61" s="55"/>
      <c r="P61" s="29"/>
      <c r="Q61" s="29"/>
      <c r="R61" s="29"/>
      <c r="S61" s="29"/>
      <c r="T61" s="29"/>
      <c r="U61" s="29"/>
      <c r="V61" s="55"/>
      <c r="W61" s="29"/>
      <c r="X61" s="29"/>
      <c r="Y61" s="29"/>
      <c r="Z61" s="29"/>
      <c r="AA61" s="29"/>
      <c r="AB61" s="29"/>
      <c r="AC61" s="55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55"/>
      <c r="AS61" s="55"/>
      <c r="AT61" s="29"/>
      <c r="AU61" s="29"/>
      <c r="AV61" s="29"/>
      <c r="AW61" s="29"/>
      <c r="AX61" s="29"/>
      <c r="AY61" s="55"/>
      <c r="AZ61" s="55"/>
      <c r="BA61" s="29"/>
      <c r="BB61" s="29"/>
      <c r="BC61" s="29"/>
      <c r="BD61" s="29"/>
      <c r="BE61" s="29"/>
    </row>
    <row r="62" spans="1:66" ht="14.25" customHeight="1">
      <c r="A62" s="56" t="str">
        <f>BH47</f>
        <v>70 00</v>
      </c>
      <c r="B62" s="29"/>
      <c r="C62" s="29"/>
      <c r="D62" s="29"/>
      <c r="E62" s="29"/>
      <c r="F62" s="29"/>
      <c r="G62" s="29"/>
      <c r="I62" s="29"/>
      <c r="J62" s="29"/>
      <c r="K62" s="29"/>
      <c r="L62" s="29"/>
      <c r="M62" s="29"/>
      <c r="N62" s="29"/>
      <c r="O62" s="55"/>
      <c r="P62" s="29"/>
      <c r="Q62" s="29"/>
      <c r="R62" s="29"/>
      <c r="S62" s="29"/>
      <c r="T62" s="29"/>
      <c r="U62" s="29"/>
      <c r="V62" s="55"/>
      <c r="W62" s="29"/>
      <c r="X62" s="29"/>
      <c r="Y62" s="29"/>
      <c r="Z62" s="29"/>
      <c r="AA62" s="29"/>
      <c r="AB62" s="29"/>
      <c r="AC62" s="55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55"/>
      <c r="AS62" s="55"/>
      <c r="AT62" s="29"/>
      <c r="AU62" s="29"/>
      <c r="AV62" s="29"/>
      <c r="AW62" s="29"/>
      <c r="AX62" s="29"/>
      <c r="AY62" s="55"/>
      <c r="AZ62" s="55"/>
      <c r="BA62" s="29"/>
      <c r="BB62" s="29"/>
      <c r="BC62" s="29"/>
      <c r="BD62" s="29"/>
      <c r="BE62" s="29"/>
    </row>
    <row r="63" spans="1:66" ht="14.25" customHeight="1">
      <c r="A63" s="29"/>
      <c r="B63" s="29"/>
      <c r="C63" s="29"/>
      <c r="D63" s="29"/>
      <c r="E63" s="29"/>
      <c r="F63" s="29"/>
      <c r="G63" s="29"/>
      <c r="I63" s="29"/>
      <c r="J63" s="29"/>
      <c r="K63" s="29"/>
      <c r="L63" s="29"/>
      <c r="M63" s="29"/>
      <c r="N63" s="29"/>
      <c r="O63" s="55"/>
      <c r="P63" s="29"/>
      <c r="Q63" s="29"/>
      <c r="R63" s="29"/>
      <c r="S63" s="29"/>
      <c r="T63" s="29"/>
      <c r="U63" s="29"/>
      <c r="V63" s="55"/>
      <c r="W63" s="29"/>
      <c r="X63" s="29"/>
      <c r="Y63" s="29"/>
      <c r="Z63" s="29"/>
      <c r="AA63" s="29"/>
      <c r="AB63" s="29"/>
      <c r="AC63" s="55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55"/>
      <c r="AS63" s="55"/>
      <c r="AT63" s="29"/>
      <c r="AU63" s="29"/>
      <c r="AV63" s="29"/>
      <c r="AW63" s="29"/>
      <c r="AX63" s="29"/>
      <c r="AY63" s="55"/>
      <c r="AZ63" s="55"/>
      <c r="BA63" s="29"/>
      <c r="BB63" s="29"/>
      <c r="BC63" s="29"/>
      <c r="BD63" s="29"/>
      <c r="BE63" s="29"/>
    </row>
    <row r="64" spans="1:66" ht="14.25" customHeight="1">
      <c r="A64" s="29"/>
      <c r="B64" s="29"/>
      <c r="C64" s="29"/>
      <c r="D64" s="29"/>
      <c r="E64" s="29"/>
      <c r="F64" s="29"/>
      <c r="G64" s="29"/>
      <c r="I64" s="29"/>
      <c r="J64" s="29"/>
      <c r="K64" s="29"/>
      <c r="L64" s="29"/>
      <c r="M64" s="29"/>
      <c r="N64" s="29"/>
      <c r="O64" s="55"/>
      <c r="P64" s="29"/>
      <c r="Q64" s="29"/>
      <c r="R64" s="29"/>
      <c r="S64" s="29"/>
      <c r="T64" s="29"/>
      <c r="U64" s="29"/>
      <c r="V64" s="55"/>
      <c r="W64" s="29"/>
      <c r="X64" s="29"/>
      <c r="Y64" s="29"/>
      <c r="Z64" s="29"/>
      <c r="AA64" s="29"/>
      <c r="AB64" s="29"/>
      <c r="AC64" s="55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55"/>
      <c r="AS64" s="55"/>
      <c r="AT64" s="29"/>
      <c r="AU64" s="29"/>
      <c r="AV64" s="29"/>
      <c r="AW64" s="29"/>
      <c r="AX64" s="29"/>
      <c r="AY64" s="55"/>
      <c r="AZ64" s="55"/>
      <c r="BA64" s="29"/>
      <c r="BB64" s="29"/>
      <c r="BC64" s="29"/>
      <c r="BD64" s="29"/>
      <c r="BE64" s="29"/>
    </row>
    <row r="65" spans="1:57" ht="14.25" customHeight="1">
      <c r="A65" s="29"/>
      <c r="B65" s="29"/>
      <c r="C65" s="29"/>
      <c r="D65" s="29"/>
      <c r="E65" s="29"/>
      <c r="F65" s="29"/>
      <c r="G65" s="29"/>
      <c r="I65" s="29"/>
      <c r="J65" s="29"/>
      <c r="K65" s="29"/>
      <c r="L65" s="29"/>
      <c r="M65" s="29"/>
      <c r="N65" s="29"/>
      <c r="O65" s="55"/>
      <c r="P65" s="29"/>
      <c r="Q65" s="29"/>
      <c r="R65" s="29"/>
      <c r="S65" s="29"/>
      <c r="T65" s="29"/>
      <c r="U65" s="29"/>
      <c r="V65" s="55"/>
      <c r="W65" s="29"/>
      <c r="X65" s="29"/>
      <c r="Y65" s="29"/>
      <c r="Z65" s="29"/>
      <c r="AA65" s="29"/>
      <c r="AB65" s="29"/>
      <c r="AC65" s="55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55"/>
      <c r="AS65" s="55"/>
      <c r="AT65" s="29"/>
      <c r="AU65" s="29"/>
      <c r="AV65" s="29"/>
      <c r="AW65" s="29"/>
      <c r="AX65" s="29"/>
      <c r="AY65" s="55"/>
      <c r="AZ65" s="55"/>
      <c r="BA65" s="29"/>
      <c r="BB65" s="29"/>
      <c r="BC65" s="29"/>
      <c r="BD65" s="29"/>
      <c r="BE65" s="29"/>
    </row>
    <row r="66" spans="1:57" ht="14.25" customHeight="1">
      <c r="A66" s="29"/>
      <c r="B66" s="29"/>
      <c r="C66" s="29"/>
      <c r="D66" s="29"/>
      <c r="E66" s="29"/>
      <c r="F66" s="29"/>
      <c r="G66" s="29"/>
      <c r="I66" s="29"/>
      <c r="J66" s="29"/>
      <c r="K66" s="29"/>
      <c r="L66" s="29"/>
      <c r="M66" s="29"/>
      <c r="N66" s="29"/>
      <c r="O66" s="55"/>
      <c r="P66" s="29"/>
      <c r="Q66" s="29"/>
      <c r="R66" s="29"/>
      <c r="S66" s="29"/>
      <c r="T66" s="29"/>
      <c r="U66" s="29"/>
      <c r="V66" s="55"/>
      <c r="W66" s="29"/>
      <c r="X66" s="29"/>
      <c r="Y66" s="29"/>
      <c r="Z66" s="29"/>
      <c r="AA66" s="29"/>
      <c r="AB66" s="29"/>
      <c r="AC66" s="55"/>
      <c r="AD66" s="29"/>
      <c r="AE66" s="35"/>
      <c r="AF66" s="35"/>
      <c r="AG66" s="35"/>
      <c r="AH66" s="35"/>
      <c r="AI66" s="35"/>
      <c r="AJ66" s="35"/>
      <c r="AK66" s="29"/>
      <c r="AL66" s="29"/>
      <c r="AM66" s="29"/>
      <c r="AN66" s="29"/>
      <c r="AO66" s="29"/>
      <c r="AP66" s="29"/>
      <c r="AQ66" s="29"/>
      <c r="AR66" s="55"/>
      <c r="AS66" s="55"/>
      <c r="AT66" s="29"/>
      <c r="AU66" s="29"/>
      <c r="AV66" s="29"/>
      <c r="AW66" s="29"/>
      <c r="AX66" s="29"/>
      <c r="AY66" s="55"/>
      <c r="AZ66" s="55"/>
      <c r="BA66" s="29"/>
      <c r="BB66" s="29"/>
      <c r="BC66" s="29"/>
      <c r="BD66" s="29"/>
      <c r="BE66" s="29"/>
    </row>
    <row r="67" spans="1:57" ht="14.25" customHeight="1">
      <c r="A67" s="29"/>
      <c r="B67" s="29"/>
      <c r="C67" s="29"/>
      <c r="D67" s="29"/>
      <c r="E67" s="29"/>
      <c r="F67" s="29"/>
      <c r="G67" s="29"/>
      <c r="I67" s="29"/>
      <c r="J67" s="29"/>
      <c r="K67" s="29"/>
      <c r="L67" s="29"/>
      <c r="M67" s="29"/>
      <c r="N67" s="29"/>
      <c r="O67" s="55"/>
      <c r="P67" s="29"/>
      <c r="Q67" s="29"/>
      <c r="R67" s="29"/>
      <c r="S67" s="29"/>
      <c r="T67" s="29"/>
      <c r="U67" s="29"/>
      <c r="V67" s="55"/>
      <c r="W67" s="29"/>
      <c r="X67" s="29"/>
      <c r="Y67" s="29"/>
      <c r="Z67" s="29"/>
      <c r="AA67" s="29"/>
      <c r="AB67" s="29"/>
      <c r="AC67" s="55"/>
      <c r="AD67" s="29"/>
      <c r="AE67" s="35"/>
      <c r="AF67" s="35"/>
      <c r="AG67" s="35"/>
      <c r="AH67" s="35"/>
      <c r="AI67" s="35"/>
      <c r="AJ67" s="35"/>
      <c r="AK67" s="29"/>
      <c r="AL67" s="29"/>
      <c r="AM67" s="29"/>
      <c r="AN67" s="29"/>
      <c r="AO67" s="29"/>
      <c r="AP67" s="29"/>
      <c r="AQ67" s="29"/>
      <c r="AR67" s="55"/>
      <c r="AS67" s="55"/>
      <c r="AT67" s="29"/>
      <c r="AU67" s="29"/>
      <c r="AV67" s="29"/>
      <c r="AW67" s="29"/>
      <c r="AX67" s="29"/>
      <c r="AY67" s="55"/>
      <c r="AZ67" s="55"/>
      <c r="BA67" s="29"/>
      <c r="BB67" s="29"/>
      <c r="BC67" s="29"/>
      <c r="BD67" s="29"/>
      <c r="BE67" s="29"/>
    </row>
    <row r="68" spans="1:57" ht="14.25" customHeight="1">
      <c r="A68" s="35"/>
      <c r="B68" s="35"/>
      <c r="C68" s="35"/>
      <c r="D68" s="35"/>
      <c r="E68" s="35"/>
      <c r="F68" s="35"/>
      <c r="G68" s="35"/>
      <c r="I68" s="29"/>
      <c r="J68" s="29"/>
      <c r="K68" s="29"/>
      <c r="L68" s="29"/>
      <c r="M68" s="29"/>
      <c r="N68" s="29"/>
      <c r="O68" s="55"/>
      <c r="P68" s="29"/>
      <c r="Q68" s="29"/>
      <c r="R68" s="29"/>
      <c r="S68" s="29"/>
      <c r="T68" s="29"/>
      <c r="U68" s="29"/>
      <c r="V68" s="55"/>
      <c r="W68" s="29"/>
      <c r="X68" s="29"/>
      <c r="Y68" s="29"/>
      <c r="Z68" s="29"/>
      <c r="AA68" s="29"/>
      <c r="AB68" s="29"/>
      <c r="AC68" s="55"/>
      <c r="AD68" s="29"/>
      <c r="AE68" s="35"/>
      <c r="AF68" s="35"/>
      <c r="AG68" s="35"/>
      <c r="AH68" s="35"/>
      <c r="AI68" s="35"/>
      <c r="AJ68" s="35"/>
      <c r="AK68" s="29"/>
      <c r="AL68" s="29"/>
      <c r="AM68" s="29"/>
      <c r="AN68" s="29"/>
      <c r="AO68" s="29"/>
      <c r="AP68" s="29"/>
      <c r="AQ68" s="29"/>
      <c r="AR68" s="55"/>
      <c r="AS68" s="55"/>
      <c r="AT68" s="29"/>
      <c r="AU68" s="29"/>
      <c r="AV68" s="29"/>
      <c r="AW68" s="29"/>
      <c r="AX68" s="29"/>
      <c r="AY68" s="55"/>
      <c r="AZ68" s="55"/>
      <c r="BA68" s="29"/>
      <c r="BB68" s="29"/>
      <c r="BC68" s="29"/>
      <c r="BD68" s="29"/>
      <c r="BE68" s="29"/>
    </row>
    <row r="69" spans="1:57" ht="14.25" customHeight="1">
      <c r="A69" s="35"/>
      <c r="B69" s="35"/>
      <c r="C69" s="35"/>
      <c r="D69" s="35"/>
      <c r="E69" s="35"/>
      <c r="F69" s="35"/>
      <c r="G69" s="35"/>
      <c r="I69" s="29"/>
      <c r="J69" s="29"/>
      <c r="K69" s="29"/>
      <c r="L69" s="29"/>
      <c r="M69" s="29"/>
      <c r="N69" s="29"/>
      <c r="O69" s="55"/>
      <c r="P69" s="29"/>
      <c r="Q69" s="29"/>
      <c r="R69" s="29"/>
      <c r="S69" s="29"/>
      <c r="T69" s="29"/>
      <c r="U69" s="29"/>
      <c r="V69" s="55"/>
      <c r="W69" s="29"/>
      <c r="X69" s="29"/>
      <c r="Y69" s="29"/>
      <c r="Z69" s="29"/>
      <c r="AA69" s="29"/>
      <c r="AB69" s="29"/>
      <c r="AC69" s="55"/>
      <c r="AD69" s="29"/>
      <c r="AE69" s="35"/>
      <c r="AF69" s="35"/>
      <c r="AG69" s="35"/>
      <c r="AH69" s="35"/>
      <c r="AI69" s="35"/>
      <c r="AJ69" s="35"/>
      <c r="AK69" s="29"/>
      <c r="AL69" s="29"/>
      <c r="AM69" s="29"/>
      <c r="AN69" s="29"/>
      <c r="AO69" s="29"/>
      <c r="AP69" s="29"/>
      <c r="AQ69" s="29"/>
      <c r="AR69" s="55"/>
      <c r="AS69" s="55"/>
      <c r="AT69" s="29"/>
      <c r="AU69" s="29"/>
      <c r="AV69" s="29"/>
      <c r="AW69" s="29"/>
      <c r="AX69" s="29"/>
      <c r="AY69" s="55"/>
      <c r="AZ69" s="55"/>
      <c r="BA69" s="29"/>
      <c r="BB69" s="29"/>
      <c r="BC69" s="29"/>
      <c r="BD69" s="29"/>
      <c r="BE69" s="29"/>
    </row>
    <row r="70" spans="1:57" ht="14.25" customHeight="1">
      <c r="A70" s="35"/>
      <c r="B70" s="35"/>
      <c r="C70" s="35"/>
      <c r="D70" s="35"/>
      <c r="E70" s="35"/>
      <c r="F70" s="35"/>
      <c r="G70" s="35"/>
      <c r="I70" s="29"/>
      <c r="J70" s="29"/>
      <c r="K70" s="29"/>
      <c r="L70" s="29"/>
      <c r="M70" s="29"/>
      <c r="N70" s="29"/>
      <c r="O70" s="55"/>
      <c r="P70" s="29"/>
      <c r="Q70" s="29"/>
      <c r="R70" s="29"/>
      <c r="S70" s="29"/>
      <c r="T70" s="29"/>
      <c r="U70" s="29"/>
      <c r="V70" s="55"/>
      <c r="W70" s="29"/>
      <c r="X70" s="29"/>
      <c r="Y70" s="29"/>
      <c r="Z70" s="29"/>
      <c r="AA70" s="29"/>
      <c r="AB70" s="29"/>
      <c r="AC70" s="55"/>
      <c r="AD70" s="29"/>
      <c r="AE70" s="35"/>
      <c r="AF70" s="35"/>
      <c r="AG70" s="35"/>
      <c r="AH70" s="35"/>
      <c r="AI70" s="35"/>
      <c r="AJ70" s="35"/>
      <c r="AK70" s="29"/>
      <c r="AL70" s="29"/>
      <c r="AM70" s="29"/>
      <c r="AN70" s="29"/>
      <c r="AO70" s="29"/>
      <c r="AP70" s="29"/>
      <c r="AQ70" s="29"/>
      <c r="AR70" s="55"/>
      <c r="AS70" s="55"/>
      <c r="AT70" s="29"/>
      <c r="AU70" s="29"/>
      <c r="AV70" s="29"/>
      <c r="AW70" s="29"/>
      <c r="AX70" s="29"/>
      <c r="AY70" s="55"/>
      <c r="AZ70" s="55"/>
      <c r="BA70" s="29"/>
      <c r="BB70" s="29"/>
      <c r="BC70" s="29"/>
      <c r="BD70" s="29"/>
      <c r="BE70" s="29"/>
    </row>
    <row r="71" spans="1:57" ht="14.25" customHeight="1">
      <c r="A71" s="35"/>
      <c r="B71" s="35"/>
      <c r="C71" s="35"/>
      <c r="D71" s="35"/>
      <c r="E71" s="35"/>
      <c r="F71" s="35"/>
      <c r="G71" s="35"/>
      <c r="I71" s="29"/>
      <c r="J71" s="29"/>
      <c r="K71" s="29"/>
      <c r="L71" s="29"/>
      <c r="M71" s="29"/>
      <c r="N71" s="29"/>
      <c r="O71" s="55"/>
      <c r="P71" s="29"/>
      <c r="Q71" s="29"/>
      <c r="R71" s="29"/>
      <c r="S71" s="29"/>
      <c r="T71" s="29"/>
      <c r="U71" s="29"/>
      <c r="V71" s="55"/>
      <c r="W71" s="29"/>
      <c r="X71" s="29"/>
      <c r="Y71" s="29"/>
      <c r="Z71" s="29"/>
      <c r="AA71" s="29"/>
      <c r="AB71" s="29"/>
      <c r="AC71" s="55"/>
      <c r="AD71" s="29"/>
      <c r="AE71" s="35"/>
      <c r="AF71" s="35"/>
      <c r="AG71" s="35"/>
      <c r="AH71" s="35"/>
      <c r="AI71" s="35"/>
      <c r="AJ71" s="35"/>
      <c r="AK71" s="29"/>
      <c r="AL71" s="29"/>
      <c r="AM71" s="29"/>
      <c r="AN71" s="29"/>
      <c r="AO71" s="29"/>
      <c r="AP71" s="29"/>
      <c r="AQ71" s="29"/>
      <c r="AR71" s="55"/>
      <c r="AS71" s="55"/>
      <c r="AT71" s="29"/>
      <c r="AU71" s="29"/>
      <c r="AV71" s="29"/>
      <c r="AW71" s="29"/>
      <c r="AX71" s="29"/>
      <c r="AY71" s="55"/>
      <c r="AZ71" s="55"/>
      <c r="BA71" s="29"/>
      <c r="BB71" s="29"/>
      <c r="BC71" s="29"/>
      <c r="BD71" s="29"/>
      <c r="BE71" s="29"/>
    </row>
    <row r="72" spans="1:57" ht="14.25" customHeight="1">
      <c r="A72" s="35"/>
      <c r="B72" s="35"/>
      <c r="C72" s="35"/>
      <c r="D72" s="35"/>
      <c r="E72" s="35"/>
      <c r="F72" s="35"/>
      <c r="G72" s="35"/>
      <c r="H72" s="30"/>
      <c r="I72" s="29"/>
      <c r="J72" s="29"/>
      <c r="K72" s="29"/>
      <c r="L72" s="29"/>
      <c r="M72" s="29"/>
      <c r="N72" s="29"/>
      <c r="O72" s="55"/>
      <c r="P72" s="29"/>
      <c r="Q72" s="29"/>
      <c r="R72" s="29"/>
      <c r="S72" s="29"/>
      <c r="T72" s="29"/>
      <c r="U72" s="29"/>
      <c r="V72" s="55"/>
      <c r="W72" s="29"/>
      <c r="X72" s="29"/>
      <c r="Y72" s="29"/>
      <c r="Z72" s="29"/>
      <c r="AA72" s="29"/>
      <c r="AB72" s="29"/>
      <c r="AC72" s="55"/>
      <c r="AD72" s="29"/>
      <c r="AE72" s="35"/>
      <c r="AF72" s="35"/>
      <c r="AG72" s="35"/>
      <c r="AH72" s="35"/>
      <c r="AI72" s="35"/>
      <c r="AJ72" s="35"/>
      <c r="AK72" s="29"/>
      <c r="AL72" s="29"/>
      <c r="AM72" s="29"/>
      <c r="AN72" s="29"/>
      <c r="AO72" s="29"/>
      <c r="AP72" s="29"/>
      <c r="AQ72" s="29"/>
      <c r="AR72" s="55"/>
      <c r="AS72" s="55"/>
      <c r="AT72" s="29"/>
      <c r="AU72" s="29"/>
      <c r="AV72" s="29"/>
      <c r="AW72" s="29"/>
      <c r="AX72" s="29"/>
      <c r="AY72" s="55"/>
      <c r="AZ72" s="55"/>
      <c r="BA72" s="29"/>
      <c r="BB72" s="29"/>
      <c r="BC72" s="29"/>
      <c r="BD72" s="29"/>
      <c r="BE72" s="29"/>
    </row>
    <row r="73" spans="1:57" ht="14.25" customHeight="1">
      <c r="A73" s="35"/>
      <c r="B73" s="35"/>
      <c r="C73" s="35"/>
      <c r="D73" s="35"/>
      <c r="E73" s="35"/>
      <c r="F73" s="35"/>
      <c r="G73" s="35"/>
      <c r="H73" s="30"/>
      <c r="I73" s="29"/>
      <c r="J73" s="29"/>
      <c r="K73" s="29"/>
      <c r="L73" s="29"/>
      <c r="M73" s="29"/>
      <c r="N73" s="29"/>
      <c r="O73" s="55"/>
      <c r="P73" s="29"/>
      <c r="Q73" s="29"/>
      <c r="R73" s="29"/>
      <c r="S73" s="29"/>
      <c r="T73" s="29"/>
      <c r="U73" s="29"/>
      <c r="V73" s="55"/>
      <c r="W73" s="29"/>
      <c r="X73" s="29"/>
      <c r="Y73" s="29"/>
      <c r="Z73" s="29"/>
      <c r="AA73" s="29"/>
      <c r="AB73" s="29"/>
      <c r="AC73" s="55"/>
      <c r="AD73" s="29"/>
      <c r="AE73" s="35"/>
      <c r="AF73" s="35"/>
      <c r="AG73" s="35"/>
      <c r="AH73" s="35"/>
      <c r="AI73" s="35"/>
      <c r="AJ73" s="35"/>
      <c r="AK73" s="29"/>
      <c r="AL73" s="29"/>
      <c r="AM73" s="29"/>
      <c r="AN73" s="29"/>
      <c r="AO73" s="29"/>
      <c r="AP73" s="29"/>
      <c r="AQ73" s="29"/>
      <c r="AR73" s="55"/>
      <c r="AS73" s="55"/>
      <c r="AT73" s="29"/>
      <c r="AU73" s="29"/>
      <c r="AV73" s="29"/>
      <c r="AW73" s="29"/>
      <c r="AX73" s="29"/>
      <c r="AY73" s="55"/>
      <c r="AZ73" s="55"/>
      <c r="BA73" s="29"/>
      <c r="BB73" s="29"/>
      <c r="BC73" s="29"/>
      <c r="BD73" s="29"/>
      <c r="BE73" s="29"/>
    </row>
    <row r="74" spans="1:57" ht="14.25" customHeight="1">
      <c r="A74" s="35"/>
      <c r="B74" s="35"/>
      <c r="C74" s="35"/>
      <c r="D74" s="35"/>
      <c r="E74" s="35"/>
      <c r="F74" s="35"/>
      <c r="G74" s="35"/>
      <c r="H74" s="30"/>
      <c r="I74" s="29"/>
      <c r="J74" s="29"/>
      <c r="K74" s="29"/>
      <c r="L74" s="29"/>
      <c r="M74" s="29"/>
      <c r="N74" s="29"/>
      <c r="O74" s="55"/>
      <c r="P74" s="29"/>
      <c r="Q74" s="29"/>
      <c r="R74" s="29"/>
      <c r="S74" s="29"/>
      <c r="T74" s="29"/>
      <c r="U74" s="29"/>
      <c r="V74" s="55"/>
      <c r="W74" s="29"/>
      <c r="X74" s="29"/>
      <c r="Y74" s="29"/>
      <c r="Z74" s="29"/>
      <c r="AA74" s="29"/>
      <c r="AB74" s="29"/>
      <c r="AC74" s="55"/>
      <c r="AD74" s="29"/>
      <c r="AE74" s="35"/>
      <c r="AF74" s="35"/>
      <c r="AG74" s="35"/>
      <c r="AH74" s="35"/>
      <c r="AI74" s="35"/>
      <c r="AJ74" s="35"/>
      <c r="AK74" s="29"/>
      <c r="AL74" s="29"/>
      <c r="AM74" s="29"/>
      <c r="AN74" s="29"/>
      <c r="AO74" s="29"/>
      <c r="AP74" s="29"/>
      <c r="AQ74" s="29"/>
      <c r="AR74" s="55"/>
      <c r="AS74" s="55"/>
      <c r="AT74" s="29"/>
      <c r="AU74" s="29"/>
      <c r="AV74" s="29"/>
      <c r="AW74" s="29"/>
      <c r="AX74" s="29"/>
      <c r="AY74" s="55"/>
      <c r="AZ74" s="55"/>
      <c r="BA74" s="29"/>
      <c r="BB74" s="29"/>
      <c r="BC74" s="29"/>
      <c r="BD74" s="29"/>
      <c r="BE74" s="29"/>
    </row>
    <row r="75" spans="1:57" ht="14.25" customHeight="1">
      <c r="A75" s="35"/>
      <c r="B75" s="35"/>
      <c r="C75" s="35"/>
      <c r="D75" s="35"/>
      <c r="E75" s="35"/>
      <c r="F75" s="35"/>
      <c r="G75" s="35"/>
      <c r="H75" s="30"/>
      <c r="I75" s="29"/>
      <c r="J75" s="29"/>
      <c r="K75" s="29"/>
      <c r="L75" s="29"/>
      <c r="M75" s="29"/>
      <c r="N75" s="29"/>
      <c r="O75" s="55"/>
      <c r="P75" s="29"/>
      <c r="Q75" s="29"/>
      <c r="R75" s="29"/>
      <c r="S75" s="29"/>
      <c r="T75" s="29"/>
      <c r="U75" s="29"/>
      <c r="V75" s="55"/>
      <c r="W75" s="29"/>
      <c r="X75" s="29"/>
      <c r="Y75" s="29"/>
      <c r="Z75" s="29"/>
      <c r="AA75" s="29"/>
      <c r="AB75" s="29"/>
      <c r="AC75" s="55"/>
      <c r="AD75" s="29"/>
      <c r="AE75" s="35"/>
      <c r="AF75" s="35"/>
      <c r="AG75" s="35"/>
      <c r="AH75" s="35"/>
      <c r="AI75" s="35"/>
      <c r="AJ75" s="35"/>
      <c r="AK75" s="29"/>
      <c r="AL75" s="29"/>
      <c r="AM75" s="29"/>
      <c r="AN75" s="29"/>
      <c r="AO75" s="29"/>
      <c r="AP75" s="29"/>
      <c r="AQ75" s="29"/>
      <c r="AR75" s="55"/>
      <c r="AS75" s="55"/>
      <c r="AT75" s="29"/>
      <c r="AU75" s="29"/>
      <c r="AV75" s="29"/>
      <c r="AW75" s="29"/>
      <c r="AX75" s="29"/>
      <c r="AY75" s="55"/>
      <c r="AZ75" s="55"/>
      <c r="BA75" s="29"/>
      <c r="BB75" s="29"/>
      <c r="BC75" s="29"/>
      <c r="BD75" s="29"/>
      <c r="BE75" s="29"/>
    </row>
    <row r="76" spans="1:57" ht="14.25" customHeight="1">
      <c r="A76" s="35"/>
      <c r="B76" s="35"/>
      <c r="C76" s="35"/>
      <c r="D76" s="35"/>
      <c r="E76" s="35"/>
      <c r="F76" s="35"/>
      <c r="G76" s="35"/>
      <c r="H76" s="30"/>
      <c r="I76" s="29"/>
      <c r="J76" s="29"/>
      <c r="K76" s="29"/>
      <c r="L76" s="29"/>
      <c r="M76" s="29"/>
      <c r="N76" s="29"/>
      <c r="O76" s="55"/>
      <c r="P76" s="29"/>
      <c r="Q76" s="29"/>
      <c r="R76" s="29"/>
      <c r="S76" s="29"/>
      <c r="T76" s="29"/>
      <c r="U76" s="29"/>
      <c r="V76" s="55"/>
      <c r="W76" s="29"/>
      <c r="X76" s="29"/>
      <c r="Y76" s="29"/>
      <c r="Z76" s="29"/>
      <c r="AA76" s="29"/>
      <c r="AB76" s="29"/>
      <c r="AC76" s="55"/>
      <c r="AD76" s="29"/>
      <c r="AE76" s="35"/>
      <c r="AF76" s="35"/>
      <c r="AG76" s="35"/>
      <c r="AH76" s="35"/>
      <c r="AI76" s="35"/>
      <c r="AJ76" s="35"/>
      <c r="AK76" s="29"/>
      <c r="AL76" s="29"/>
      <c r="AM76" s="29"/>
      <c r="AN76" s="29"/>
      <c r="AO76" s="29"/>
      <c r="AP76" s="29"/>
      <c r="AQ76" s="29"/>
      <c r="AR76" s="55"/>
      <c r="AS76" s="55"/>
      <c r="AT76" s="29"/>
      <c r="AU76" s="29"/>
      <c r="AV76" s="29"/>
      <c r="AW76" s="29"/>
      <c r="AX76" s="29"/>
      <c r="AY76" s="55"/>
      <c r="AZ76" s="55"/>
      <c r="BA76" s="29"/>
      <c r="BB76" s="29"/>
      <c r="BC76" s="29"/>
      <c r="BD76" s="29"/>
      <c r="BE76" s="29"/>
    </row>
    <row r="77" spans="1:57" ht="14.25" customHeight="1">
      <c r="A77" s="35"/>
      <c r="B77" s="35"/>
      <c r="C77" s="35"/>
      <c r="D77" s="35"/>
      <c r="E77" s="35"/>
      <c r="F77" s="35"/>
      <c r="G77" s="35"/>
      <c r="H77" s="30"/>
      <c r="I77" s="29"/>
      <c r="J77" s="29"/>
      <c r="K77" s="29"/>
      <c r="L77" s="29"/>
      <c r="M77" s="29"/>
      <c r="N77" s="29"/>
      <c r="O77" s="55"/>
      <c r="P77" s="29"/>
      <c r="Q77" s="29"/>
      <c r="R77" s="29"/>
      <c r="S77" s="29"/>
      <c r="T77" s="29"/>
      <c r="U77" s="29"/>
      <c r="V77" s="55"/>
      <c r="W77" s="29"/>
      <c r="X77" s="29"/>
      <c r="Y77" s="29"/>
      <c r="Z77" s="29"/>
      <c r="AA77" s="29"/>
      <c r="AB77" s="29"/>
      <c r="AC77" s="55"/>
      <c r="AD77" s="29"/>
      <c r="AE77" s="35"/>
      <c r="AF77" s="35"/>
      <c r="AG77" s="35"/>
      <c r="AH77" s="35"/>
      <c r="AI77" s="35"/>
      <c r="AJ77" s="35"/>
      <c r="AK77" s="29"/>
      <c r="AL77" s="29"/>
      <c r="AM77" s="29"/>
      <c r="AN77" s="29"/>
      <c r="AO77" s="29"/>
      <c r="AP77" s="29"/>
      <c r="AQ77" s="29"/>
      <c r="AR77" s="55"/>
      <c r="AS77" s="55"/>
      <c r="AT77" s="29"/>
      <c r="AU77" s="29"/>
      <c r="AV77" s="29"/>
      <c r="AW77" s="29"/>
      <c r="AX77" s="29"/>
      <c r="AY77" s="55"/>
      <c r="AZ77" s="55"/>
      <c r="BA77" s="29"/>
      <c r="BB77" s="29"/>
      <c r="BC77" s="29"/>
      <c r="BD77" s="29"/>
      <c r="BE77" s="29"/>
    </row>
    <row r="78" spans="1:57" ht="14.25" customHeight="1">
      <c r="A78" s="35" t="b">
        <f>IF(A1=H12,P2,IF(A1=H13,P7,IF(A1=H14,P12,IF(A1=H15,P17,IF(A1=H16,P22,IF(A1=H17,P27,IF(A1=H18,P32,IF(A1=H19,P37,IF(A1=H20,P42,IF(A1=H21,P47,IF(A1=H22,P52)))))))))))</f>
        <v>0</v>
      </c>
      <c r="B78" s="35"/>
      <c r="C78" s="35"/>
      <c r="D78" s="35"/>
      <c r="E78" s="35"/>
      <c r="F78" s="35"/>
      <c r="G78" s="35"/>
      <c r="H78" s="30"/>
      <c r="I78" s="29"/>
      <c r="J78" s="29"/>
      <c r="K78" s="29"/>
      <c r="L78" s="29"/>
      <c r="M78" s="29"/>
      <c r="N78" s="29"/>
      <c r="O78" s="55"/>
      <c r="P78" s="29"/>
      <c r="Q78" s="29"/>
      <c r="R78" s="29"/>
      <c r="S78" s="29"/>
      <c r="T78" s="29"/>
      <c r="U78" s="29"/>
      <c r="V78" s="55"/>
      <c r="W78" s="29"/>
      <c r="X78" s="29"/>
      <c r="Y78" s="29"/>
      <c r="Z78" s="29"/>
      <c r="AA78" s="29"/>
      <c r="AB78" s="29"/>
      <c r="AC78" s="55"/>
      <c r="AD78" s="29"/>
      <c r="AE78" s="35"/>
      <c r="AF78" s="35"/>
      <c r="AG78" s="35"/>
      <c r="AH78" s="35"/>
      <c r="AI78" s="35"/>
      <c r="AJ78" s="35"/>
      <c r="AK78" s="29"/>
      <c r="AL78" s="29"/>
      <c r="AM78" s="29"/>
      <c r="AN78" s="29"/>
      <c r="AO78" s="29"/>
      <c r="AP78" s="29"/>
      <c r="AQ78" s="29"/>
      <c r="AR78" s="55"/>
      <c r="AS78" s="55"/>
      <c r="AT78" s="29"/>
      <c r="AU78" s="29"/>
      <c r="AV78" s="29"/>
      <c r="AW78" s="29"/>
      <c r="AX78" s="29"/>
      <c r="AY78" s="55"/>
      <c r="AZ78" s="55"/>
      <c r="BA78" s="29"/>
      <c r="BB78" s="29"/>
      <c r="BC78" s="29"/>
      <c r="BD78" s="29"/>
      <c r="BE78" s="29"/>
    </row>
    <row r="79" spans="1:57" ht="14.25" customHeight="1">
      <c r="A79" s="35" t="b">
        <f>IF(A1=H22,W2,IF(A1=H23,W7,IF(A1=H24,W12,IF(A1=H25,W17,IF(A1=H26,W22,IF(A1=H27,W27,IF(A1=H28,W32,IF(A1=H29,W37,IF(A1=H30,W42,IF(A1=H31,W47))))))))))</f>
        <v>0</v>
      </c>
      <c r="B79" s="35"/>
      <c r="C79" s="35"/>
      <c r="D79" s="35"/>
      <c r="E79" s="35"/>
      <c r="F79" s="35"/>
      <c r="G79" s="35"/>
      <c r="H79" s="30"/>
      <c r="I79" s="29"/>
      <c r="J79" s="29"/>
      <c r="K79" s="29"/>
      <c r="L79" s="29"/>
      <c r="M79" s="29"/>
      <c r="N79" s="29"/>
      <c r="O79" s="55"/>
      <c r="P79" s="29"/>
      <c r="Q79" s="29"/>
      <c r="R79" s="29"/>
      <c r="S79" s="29"/>
      <c r="T79" s="29"/>
      <c r="U79" s="29"/>
      <c r="V79" s="55"/>
      <c r="W79" s="29"/>
      <c r="X79" s="29"/>
      <c r="Y79" s="29"/>
      <c r="Z79" s="29"/>
      <c r="AA79" s="29"/>
      <c r="AB79" s="29"/>
      <c r="AC79" s="55"/>
      <c r="AD79" s="29"/>
      <c r="AE79" s="35"/>
      <c r="AF79" s="35"/>
      <c r="AG79" s="35"/>
      <c r="AH79" s="35"/>
      <c r="AI79" s="35"/>
      <c r="AJ79" s="35"/>
      <c r="AK79" s="29"/>
      <c r="AL79" s="29"/>
      <c r="AM79" s="29"/>
      <c r="AN79" s="29"/>
      <c r="AO79" s="29"/>
      <c r="AP79" s="29"/>
      <c r="AQ79" s="29"/>
      <c r="AR79" s="55"/>
      <c r="AS79" s="55"/>
      <c r="AT79" s="29"/>
      <c r="AU79" s="29"/>
      <c r="AV79" s="29"/>
      <c r="AW79" s="29"/>
      <c r="AX79" s="29"/>
      <c r="AY79" s="55"/>
      <c r="AZ79" s="55"/>
      <c r="BA79" s="29"/>
      <c r="BB79" s="29"/>
      <c r="BC79" s="29"/>
      <c r="BD79" s="29"/>
      <c r="BE79" s="29"/>
    </row>
    <row r="80" spans="1:57" ht="14.25" customHeight="1">
      <c r="A80" s="35"/>
      <c r="B80" s="35"/>
      <c r="C80" s="35"/>
      <c r="D80" s="35"/>
      <c r="E80" s="35"/>
      <c r="F80" s="35"/>
      <c r="G80" s="35"/>
      <c r="H80" s="30"/>
      <c r="I80" s="29"/>
      <c r="J80" s="29"/>
      <c r="K80" s="29"/>
      <c r="L80" s="29"/>
      <c r="M80" s="29"/>
      <c r="N80" s="29"/>
      <c r="O80" s="55"/>
      <c r="P80" s="29"/>
      <c r="Q80" s="29"/>
      <c r="R80" s="29"/>
      <c r="S80" s="29"/>
      <c r="T80" s="29"/>
      <c r="U80" s="29"/>
      <c r="V80" s="55"/>
      <c r="W80" s="29"/>
      <c r="X80" s="29"/>
      <c r="Y80" s="29"/>
      <c r="Z80" s="29"/>
      <c r="AA80" s="29"/>
      <c r="AB80" s="29"/>
      <c r="AC80" s="55"/>
      <c r="AD80" s="29"/>
      <c r="AE80" s="35"/>
      <c r="AF80" s="35"/>
      <c r="AG80" s="35"/>
      <c r="AH80" s="35"/>
      <c r="AI80" s="35"/>
      <c r="AJ80" s="35"/>
      <c r="AK80" s="29"/>
      <c r="AL80" s="29"/>
      <c r="AM80" s="29"/>
      <c r="AN80" s="29"/>
      <c r="AO80" s="29"/>
      <c r="AP80" s="29"/>
      <c r="AQ80" s="29"/>
      <c r="AR80" s="55"/>
      <c r="AS80" s="55"/>
      <c r="AT80" s="29"/>
      <c r="AU80" s="29"/>
      <c r="AV80" s="29"/>
      <c r="AW80" s="29"/>
      <c r="AX80" s="29"/>
      <c r="AY80" s="55"/>
      <c r="AZ80" s="55"/>
      <c r="BA80" s="29"/>
      <c r="BB80" s="29"/>
      <c r="BC80" s="29"/>
      <c r="BD80" s="29"/>
      <c r="BE80" s="29"/>
    </row>
    <row r="81" spans="1:57" ht="14.25" customHeight="1">
      <c r="A81" s="35"/>
      <c r="B81" s="35"/>
      <c r="C81" s="35"/>
      <c r="D81" s="35"/>
      <c r="E81" s="35"/>
      <c r="F81" s="35"/>
      <c r="G81" s="35"/>
      <c r="H81" s="30"/>
      <c r="I81" s="29"/>
      <c r="J81" s="29"/>
      <c r="K81" s="29"/>
      <c r="L81" s="29"/>
      <c r="M81" s="29"/>
      <c r="N81" s="29"/>
      <c r="O81" s="55"/>
      <c r="P81" s="29"/>
      <c r="Q81" s="29"/>
      <c r="R81" s="29"/>
      <c r="S81" s="29"/>
      <c r="T81" s="29"/>
      <c r="U81" s="29"/>
      <c r="V81" s="55"/>
      <c r="W81" s="29"/>
      <c r="X81" s="29"/>
      <c r="Y81" s="29"/>
      <c r="Z81" s="29"/>
      <c r="AA81" s="29"/>
      <c r="AB81" s="29"/>
      <c r="AC81" s="55"/>
      <c r="AD81" s="29"/>
      <c r="AE81" s="35"/>
      <c r="AF81" s="35"/>
      <c r="AG81" s="35"/>
      <c r="AH81" s="35"/>
      <c r="AI81" s="35"/>
      <c r="AJ81" s="35"/>
      <c r="AK81" s="29"/>
      <c r="AL81" s="29"/>
      <c r="AM81" s="29"/>
      <c r="AN81" s="29"/>
      <c r="AO81" s="29"/>
      <c r="AP81" s="29"/>
      <c r="AQ81" s="29"/>
      <c r="AR81" s="55"/>
      <c r="AS81" s="55"/>
      <c r="AT81" s="29"/>
      <c r="AU81" s="29"/>
      <c r="AV81" s="29"/>
      <c r="AW81" s="29"/>
      <c r="AX81" s="29"/>
      <c r="AY81" s="55"/>
      <c r="AZ81" s="55"/>
      <c r="BA81" s="29"/>
      <c r="BB81" s="29"/>
      <c r="BC81" s="29"/>
      <c r="BD81" s="29"/>
      <c r="BE81" s="29"/>
    </row>
    <row r="82" spans="1:57" ht="14.25" customHeight="1">
      <c r="A82" s="35"/>
      <c r="B82" s="35"/>
      <c r="C82" s="35"/>
      <c r="D82" s="35"/>
      <c r="E82" s="35"/>
      <c r="F82" s="35"/>
      <c r="G82" s="35"/>
      <c r="H82" s="30"/>
      <c r="I82" s="29"/>
      <c r="J82" s="29"/>
      <c r="K82" s="29"/>
      <c r="L82" s="29"/>
      <c r="M82" s="29"/>
      <c r="N82" s="29"/>
      <c r="O82" s="55"/>
      <c r="P82" s="29"/>
      <c r="Q82" s="29"/>
      <c r="R82" s="29"/>
      <c r="S82" s="29"/>
      <c r="T82" s="29"/>
      <c r="U82" s="29"/>
      <c r="V82" s="55"/>
      <c r="W82" s="29"/>
      <c r="X82" s="29"/>
      <c r="Y82" s="29"/>
      <c r="Z82" s="29"/>
      <c r="AA82" s="29"/>
      <c r="AB82" s="29"/>
      <c r="AC82" s="55"/>
      <c r="AD82" s="29"/>
      <c r="AE82" s="35"/>
      <c r="AF82" s="35"/>
      <c r="AG82" s="35"/>
      <c r="AH82" s="35"/>
      <c r="AI82" s="35"/>
      <c r="AJ82" s="35"/>
      <c r="AK82" s="29"/>
      <c r="AL82" s="29"/>
      <c r="AM82" s="29"/>
      <c r="AN82" s="29"/>
      <c r="AO82" s="29"/>
      <c r="AP82" s="29"/>
      <c r="AQ82" s="29"/>
      <c r="AR82" s="55"/>
      <c r="AS82" s="55"/>
      <c r="AT82" s="29"/>
      <c r="AU82" s="29"/>
      <c r="AV82" s="29"/>
      <c r="AW82" s="29"/>
      <c r="AX82" s="29"/>
      <c r="AY82" s="55"/>
      <c r="AZ82" s="55"/>
      <c r="BA82" s="29"/>
      <c r="BB82" s="29"/>
      <c r="BC82" s="29"/>
      <c r="BD82" s="29"/>
      <c r="BE82" s="29"/>
    </row>
    <row r="83" spans="1:57" ht="14.25" customHeight="1">
      <c r="A83" s="35"/>
      <c r="B83" s="35"/>
      <c r="C83" s="35"/>
      <c r="D83" s="35"/>
      <c r="E83" s="35"/>
      <c r="F83" s="35"/>
      <c r="G83" s="35"/>
      <c r="H83" s="30"/>
      <c r="I83" s="29"/>
      <c r="J83" s="29"/>
      <c r="K83" s="29"/>
      <c r="L83" s="29"/>
      <c r="M83" s="29"/>
      <c r="N83" s="29"/>
      <c r="O83" s="55"/>
      <c r="P83" s="29"/>
      <c r="Q83" s="29"/>
      <c r="R83" s="29"/>
      <c r="S83" s="29"/>
      <c r="T83" s="29"/>
      <c r="U83" s="29"/>
      <c r="V83" s="55"/>
      <c r="W83" s="29"/>
      <c r="X83" s="29"/>
      <c r="Y83" s="29"/>
      <c r="Z83" s="29"/>
      <c r="AA83" s="29"/>
      <c r="AB83" s="29"/>
      <c r="AC83" s="55"/>
      <c r="AD83" s="29"/>
      <c r="AE83" s="35"/>
      <c r="AF83" s="35"/>
      <c r="AG83" s="35"/>
      <c r="AH83" s="35"/>
      <c r="AI83" s="35"/>
      <c r="AJ83" s="35"/>
      <c r="AK83" s="29"/>
      <c r="AL83" s="29"/>
      <c r="AM83" s="29"/>
      <c r="AN83" s="29"/>
      <c r="AO83" s="29"/>
      <c r="AP83" s="29"/>
      <c r="AQ83" s="29"/>
      <c r="AR83" s="55"/>
      <c r="AS83" s="55"/>
      <c r="AT83" s="29"/>
      <c r="AU83" s="29"/>
      <c r="AV83" s="29"/>
      <c r="AW83" s="29"/>
      <c r="AX83" s="29"/>
      <c r="AY83" s="55"/>
      <c r="AZ83" s="55"/>
      <c r="BA83" s="29"/>
      <c r="BB83" s="29"/>
      <c r="BC83" s="29"/>
      <c r="BD83" s="29"/>
      <c r="BE83" s="29"/>
    </row>
    <row r="84" spans="1:57" ht="14.25" customHeight="1">
      <c r="A84" s="35"/>
      <c r="B84" s="35"/>
      <c r="C84" s="35"/>
      <c r="D84" s="35"/>
      <c r="E84" s="35"/>
      <c r="F84" s="35"/>
      <c r="G84" s="35"/>
      <c r="H84" s="30"/>
      <c r="I84" s="29"/>
      <c r="J84" s="29"/>
      <c r="K84" s="29"/>
      <c r="L84" s="29"/>
      <c r="M84" s="29"/>
      <c r="N84" s="29"/>
      <c r="O84" s="55"/>
      <c r="P84" s="29"/>
      <c r="Q84" s="29"/>
      <c r="R84" s="29"/>
      <c r="S84" s="29"/>
      <c r="T84" s="29"/>
      <c r="U84" s="29"/>
      <c r="V84" s="55"/>
      <c r="W84" s="29"/>
      <c r="X84" s="29"/>
      <c r="Y84" s="29"/>
      <c r="Z84" s="29"/>
      <c r="AA84" s="29"/>
      <c r="AB84" s="29"/>
      <c r="AC84" s="55"/>
      <c r="AD84" s="29"/>
      <c r="AE84" s="35"/>
      <c r="AF84" s="35"/>
      <c r="AG84" s="35"/>
      <c r="AH84" s="35"/>
      <c r="AI84" s="35"/>
      <c r="AJ84" s="35"/>
      <c r="AK84" s="29"/>
      <c r="AL84" s="29"/>
      <c r="AM84" s="29"/>
      <c r="AN84" s="29"/>
      <c r="AO84" s="29"/>
      <c r="AP84" s="29"/>
      <c r="AQ84" s="29"/>
      <c r="AR84" s="55"/>
      <c r="AS84" s="55"/>
      <c r="AT84" s="29"/>
      <c r="AU84" s="29"/>
      <c r="AV84" s="29"/>
      <c r="AW84" s="29"/>
      <c r="AX84" s="29"/>
      <c r="AY84" s="55"/>
      <c r="AZ84" s="55"/>
      <c r="BA84" s="29"/>
      <c r="BB84" s="29"/>
      <c r="BC84" s="29"/>
      <c r="BD84" s="29"/>
      <c r="BE84" s="29"/>
    </row>
    <row r="85" spans="1:57" ht="14.25" customHeight="1">
      <c r="A85" s="35"/>
      <c r="B85" s="35"/>
      <c r="C85" s="35"/>
      <c r="D85" s="35"/>
      <c r="E85" s="35"/>
      <c r="F85" s="35"/>
      <c r="G85" s="35"/>
      <c r="H85" s="30"/>
      <c r="I85" s="29"/>
      <c r="J85" s="29"/>
      <c r="K85" s="29"/>
      <c r="L85" s="29"/>
      <c r="M85" s="29"/>
      <c r="N85" s="29"/>
      <c r="O85" s="55"/>
      <c r="P85" s="29"/>
      <c r="Q85" s="29"/>
      <c r="R85" s="29"/>
      <c r="S85" s="29"/>
      <c r="T85" s="29"/>
      <c r="U85" s="29"/>
      <c r="V85" s="55"/>
      <c r="W85" s="29"/>
      <c r="X85" s="29"/>
      <c r="Y85" s="29"/>
      <c r="Z85" s="29"/>
      <c r="AA85" s="29"/>
      <c r="AB85" s="29"/>
      <c r="AC85" s="55"/>
      <c r="AD85" s="29"/>
      <c r="AE85" s="35"/>
      <c r="AF85" s="35"/>
      <c r="AG85" s="35"/>
      <c r="AH85" s="35"/>
      <c r="AI85" s="35"/>
      <c r="AJ85" s="35"/>
      <c r="AK85" s="29"/>
      <c r="AL85" s="29"/>
      <c r="AM85" s="29"/>
      <c r="AN85" s="29"/>
      <c r="AO85" s="29"/>
      <c r="AP85" s="29"/>
      <c r="AQ85" s="29"/>
      <c r="AR85" s="55"/>
      <c r="AS85" s="55"/>
      <c r="AT85" s="29"/>
      <c r="AU85" s="29"/>
      <c r="AV85" s="29"/>
      <c r="AW85" s="29"/>
      <c r="AX85" s="29"/>
      <c r="AY85" s="55"/>
      <c r="AZ85" s="55"/>
      <c r="BA85" s="29"/>
      <c r="BB85" s="29"/>
      <c r="BC85" s="29"/>
      <c r="BD85" s="29"/>
      <c r="BE85" s="29"/>
    </row>
    <row r="86" spans="1:57" ht="14.25" customHeight="1">
      <c r="A86" s="35"/>
      <c r="B86" s="35"/>
      <c r="C86" s="35"/>
      <c r="D86" s="35"/>
      <c r="E86" s="35"/>
      <c r="F86" s="35"/>
      <c r="G86" s="35"/>
      <c r="H86" s="30"/>
      <c r="I86" s="29"/>
      <c r="J86" s="29"/>
      <c r="K86" s="29"/>
      <c r="L86" s="29"/>
      <c r="M86" s="29"/>
      <c r="N86" s="29"/>
      <c r="O86" s="55"/>
      <c r="P86" s="29"/>
      <c r="Q86" s="29"/>
      <c r="R86" s="29"/>
      <c r="S86" s="29"/>
      <c r="T86" s="29"/>
      <c r="U86" s="29"/>
      <c r="V86" s="55"/>
      <c r="W86" s="29"/>
      <c r="X86" s="29"/>
      <c r="Y86" s="29"/>
      <c r="Z86" s="29"/>
      <c r="AA86" s="29"/>
      <c r="AB86" s="29"/>
      <c r="AC86" s="55"/>
      <c r="AD86" s="29"/>
      <c r="AE86" s="35"/>
      <c r="AF86" s="35"/>
      <c r="AG86" s="35"/>
      <c r="AH86" s="35"/>
      <c r="AI86" s="35"/>
      <c r="AJ86" s="35"/>
      <c r="AK86" s="29"/>
      <c r="AL86" s="29"/>
      <c r="AM86" s="29"/>
      <c r="AN86" s="29"/>
      <c r="AO86" s="29"/>
      <c r="AP86" s="29"/>
      <c r="AQ86" s="29"/>
      <c r="AR86" s="55"/>
      <c r="AS86" s="55"/>
      <c r="AT86" s="29"/>
      <c r="AU86" s="29"/>
      <c r="AV86" s="29"/>
      <c r="AW86" s="29"/>
      <c r="AX86" s="29"/>
      <c r="AY86" s="55"/>
      <c r="AZ86" s="55"/>
      <c r="BA86" s="29"/>
      <c r="BB86" s="29"/>
      <c r="BC86" s="29"/>
      <c r="BD86" s="29"/>
      <c r="BE86" s="29"/>
    </row>
    <row r="87" spans="1:57" ht="14.25" customHeight="1">
      <c r="A87" s="35"/>
      <c r="B87" s="35"/>
      <c r="C87" s="35"/>
      <c r="D87" s="35"/>
      <c r="E87" s="35"/>
      <c r="F87" s="35"/>
      <c r="G87" s="35"/>
      <c r="H87" s="30"/>
      <c r="I87" s="29"/>
      <c r="J87" s="29"/>
      <c r="K87" s="29"/>
      <c r="L87" s="29"/>
      <c r="M87" s="29"/>
      <c r="N87" s="29"/>
      <c r="O87" s="55"/>
      <c r="P87" s="29"/>
      <c r="Q87" s="29"/>
      <c r="R87" s="29"/>
      <c r="S87" s="29"/>
      <c r="T87" s="29"/>
      <c r="U87" s="29"/>
      <c r="V87" s="55"/>
      <c r="W87" s="29"/>
      <c r="X87" s="29"/>
      <c r="Y87" s="29"/>
      <c r="Z87" s="29"/>
      <c r="AA87" s="29"/>
      <c r="AB87" s="29"/>
      <c r="AC87" s="55"/>
      <c r="AD87" s="29"/>
      <c r="AE87" s="35"/>
      <c r="AF87" s="35"/>
      <c r="AG87" s="35"/>
      <c r="AH87" s="35"/>
      <c r="AI87" s="35"/>
      <c r="AJ87" s="35"/>
      <c r="AK87" s="29"/>
      <c r="AL87" s="29"/>
      <c r="AM87" s="29"/>
      <c r="AN87" s="29"/>
      <c r="AO87" s="29"/>
      <c r="AP87" s="29"/>
      <c r="AQ87" s="29"/>
      <c r="AR87" s="55"/>
      <c r="AS87" s="55"/>
      <c r="AT87" s="29"/>
      <c r="AU87" s="29"/>
      <c r="AV87" s="29"/>
      <c r="AW87" s="29"/>
      <c r="AX87" s="29"/>
      <c r="AY87" s="55"/>
      <c r="AZ87" s="55"/>
      <c r="BA87" s="29"/>
      <c r="BB87" s="29"/>
      <c r="BC87" s="29"/>
      <c r="BD87" s="29"/>
      <c r="BE87" s="29"/>
    </row>
    <row r="88" spans="1:57" ht="14.25" customHeight="1">
      <c r="A88" s="35"/>
      <c r="B88" s="35"/>
      <c r="C88" s="35"/>
      <c r="D88" s="35"/>
      <c r="E88" s="35"/>
      <c r="F88" s="35"/>
      <c r="G88" s="35"/>
      <c r="H88" s="30"/>
      <c r="I88" s="29"/>
      <c r="J88" s="29"/>
      <c r="K88" s="29"/>
      <c r="L88" s="29"/>
      <c r="M88" s="29"/>
      <c r="N88" s="29"/>
      <c r="O88" s="55"/>
      <c r="P88" s="29"/>
      <c r="Q88" s="29"/>
      <c r="R88" s="29"/>
      <c r="S88" s="29"/>
      <c r="T88" s="29"/>
      <c r="U88" s="29"/>
      <c r="V88" s="55"/>
      <c r="W88" s="29"/>
      <c r="X88" s="29"/>
      <c r="Y88" s="29"/>
      <c r="Z88" s="29"/>
      <c r="AA88" s="29"/>
      <c r="AB88" s="29"/>
      <c r="AC88" s="55"/>
      <c r="AD88" s="29"/>
      <c r="AE88" s="35"/>
      <c r="AF88" s="35"/>
      <c r="AG88" s="35"/>
      <c r="AH88" s="35"/>
      <c r="AI88" s="35"/>
      <c r="AJ88" s="35"/>
      <c r="AK88" s="29"/>
      <c r="AL88" s="29"/>
      <c r="AM88" s="29"/>
      <c r="AN88" s="29"/>
      <c r="AO88" s="29"/>
      <c r="AP88" s="29"/>
      <c r="AQ88" s="29"/>
      <c r="AR88" s="55"/>
      <c r="AS88" s="55"/>
      <c r="AT88" s="29"/>
      <c r="AU88" s="29"/>
      <c r="AV88" s="29"/>
      <c r="AW88" s="29"/>
      <c r="AX88" s="29"/>
      <c r="AY88" s="55"/>
      <c r="AZ88" s="55"/>
      <c r="BA88" s="29"/>
      <c r="BB88" s="29"/>
      <c r="BC88" s="29"/>
      <c r="BD88" s="29"/>
      <c r="BE88" s="29"/>
    </row>
    <row r="89" spans="1:57" ht="14.25" customHeight="1">
      <c r="A89" s="35"/>
      <c r="B89" s="35"/>
      <c r="C89" s="35"/>
      <c r="D89" s="35"/>
      <c r="E89" s="35"/>
      <c r="F89" s="35"/>
      <c r="G89" s="35"/>
      <c r="H89" s="30"/>
      <c r="I89" s="29"/>
      <c r="J89" s="29"/>
      <c r="K89" s="29"/>
      <c r="L89" s="29"/>
      <c r="M89" s="29"/>
      <c r="N89" s="29"/>
      <c r="O89" s="55"/>
      <c r="P89" s="29"/>
      <c r="Q89" s="29"/>
      <c r="R89" s="29"/>
      <c r="S89" s="29"/>
      <c r="T89" s="29"/>
      <c r="U89" s="29"/>
      <c r="V89" s="55"/>
      <c r="W89" s="29"/>
      <c r="X89" s="29"/>
      <c r="Y89" s="29"/>
      <c r="Z89" s="29"/>
      <c r="AA89" s="29"/>
      <c r="AB89" s="29"/>
      <c r="AC89" s="55"/>
      <c r="AD89" s="29"/>
      <c r="AE89" s="35"/>
      <c r="AF89" s="35"/>
      <c r="AG89" s="35"/>
      <c r="AH89" s="35"/>
      <c r="AI89" s="35"/>
      <c r="AJ89" s="35"/>
      <c r="AK89" s="29"/>
      <c r="AL89" s="29"/>
      <c r="AM89" s="29"/>
      <c r="AN89" s="29"/>
      <c r="AO89" s="29"/>
      <c r="AP89" s="29"/>
      <c r="AQ89" s="29"/>
      <c r="AR89" s="55"/>
      <c r="AS89" s="55"/>
      <c r="AT89" s="29"/>
      <c r="AU89" s="29"/>
      <c r="AV89" s="29"/>
      <c r="AW89" s="29"/>
      <c r="AX89" s="29"/>
      <c r="AY89" s="55"/>
      <c r="AZ89" s="55"/>
      <c r="BA89" s="29"/>
      <c r="BB89" s="29"/>
      <c r="BC89" s="29"/>
      <c r="BD89" s="29"/>
      <c r="BE89" s="29"/>
    </row>
    <row r="90" spans="1:57" ht="14.25" customHeight="1">
      <c r="A90" s="35"/>
      <c r="B90" s="35"/>
      <c r="C90" s="35"/>
      <c r="D90" s="35"/>
      <c r="E90" s="35"/>
      <c r="F90" s="35"/>
      <c r="G90" s="35"/>
      <c r="H90" s="30"/>
      <c r="I90" s="29"/>
      <c r="J90" s="29"/>
      <c r="K90" s="29"/>
      <c r="L90" s="29"/>
      <c r="M90" s="29"/>
      <c r="N90" s="29"/>
      <c r="O90" s="55"/>
      <c r="P90" s="29"/>
      <c r="Q90" s="29"/>
      <c r="R90" s="29"/>
      <c r="S90" s="29"/>
      <c r="T90" s="29"/>
      <c r="U90" s="29"/>
      <c r="V90" s="55"/>
      <c r="W90" s="29"/>
      <c r="X90" s="29"/>
      <c r="Y90" s="29"/>
      <c r="Z90" s="29"/>
      <c r="AA90" s="29"/>
      <c r="AB90" s="29"/>
      <c r="AC90" s="55"/>
      <c r="AD90" s="29"/>
      <c r="AE90" s="35"/>
      <c r="AF90" s="35"/>
      <c r="AG90" s="35"/>
      <c r="AH90" s="35"/>
      <c r="AI90" s="35"/>
      <c r="AJ90" s="35"/>
      <c r="AK90" s="29"/>
      <c r="AL90" s="29"/>
      <c r="AM90" s="29"/>
      <c r="AN90" s="29"/>
      <c r="AO90" s="29"/>
      <c r="AP90" s="29"/>
      <c r="AQ90" s="29"/>
      <c r="AR90" s="55"/>
      <c r="AS90" s="55"/>
      <c r="AT90" s="29"/>
      <c r="AU90" s="29"/>
      <c r="AV90" s="29"/>
      <c r="AW90" s="29"/>
      <c r="AX90" s="29"/>
      <c r="AY90" s="55"/>
      <c r="AZ90" s="55"/>
      <c r="BA90" s="29"/>
      <c r="BB90" s="29"/>
      <c r="BC90" s="29"/>
      <c r="BD90" s="29"/>
      <c r="BE90" s="29"/>
    </row>
    <row r="91" spans="1:57" ht="14.25" customHeight="1">
      <c r="A91" s="35"/>
      <c r="B91" s="35"/>
      <c r="C91" s="35"/>
      <c r="D91" s="35"/>
      <c r="E91" s="35"/>
      <c r="F91" s="35"/>
      <c r="G91" s="35"/>
      <c r="H91" s="30"/>
      <c r="I91" s="29"/>
      <c r="J91" s="29"/>
      <c r="K91" s="29"/>
      <c r="L91" s="29"/>
      <c r="M91" s="29"/>
      <c r="N91" s="29"/>
      <c r="O91" s="55"/>
      <c r="P91" s="29"/>
      <c r="Q91" s="29"/>
      <c r="R91" s="29"/>
      <c r="S91" s="29"/>
      <c r="T91" s="29"/>
      <c r="U91" s="29"/>
      <c r="V91" s="55"/>
      <c r="W91" s="29"/>
      <c r="X91" s="29"/>
      <c r="Y91" s="29"/>
      <c r="Z91" s="29"/>
      <c r="AA91" s="29"/>
      <c r="AB91" s="29"/>
      <c r="AC91" s="55"/>
      <c r="AD91" s="29"/>
      <c r="AE91" s="35"/>
      <c r="AF91" s="35"/>
      <c r="AG91" s="35"/>
      <c r="AH91" s="35"/>
      <c r="AI91" s="35"/>
      <c r="AJ91" s="35"/>
      <c r="AK91" s="29"/>
      <c r="AL91" s="29"/>
      <c r="AM91" s="29"/>
      <c r="AN91" s="29"/>
      <c r="AO91" s="29"/>
      <c r="AP91" s="29"/>
      <c r="AQ91" s="29"/>
      <c r="AR91" s="55"/>
      <c r="AS91" s="55"/>
      <c r="AT91" s="29"/>
      <c r="AU91" s="29"/>
      <c r="AV91" s="29"/>
      <c r="AW91" s="29"/>
      <c r="AX91" s="29"/>
      <c r="AY91" s="55"/>
      <c r="AZ91" s="55"/>
      <c r="BA91" s="29"/>
      <c r="BB91" s="29"/>
      <c r="BC91" s="29"/>
      <c r="BD91" s="29"/>
      <c r="BE91" s="29"/>
    </row>
    <row r="92" spans="1:57" ht="14.25" customHeight="1">
      <c r="A92" s="35"/>
      <c r="B92" s="35"/>
      <c r="C92" s="35"/>
      <c r="D92" s="35"/>
      <c r="E92" s="35"/>
      <c r="F92" s="35"/>
      <c r="G92" s="35"/>
      <c r="H92" s="30"/>
      <c r="I92" s="29"/>
      <c r="J92" s="29"/>
      <c r="K92" s="29"/>
      <c r="L92" s="29"/>
      <c r="M92" s="29"/>
      <c r="N92" s="29"/>
      <c r="O92" s="55"/>
      <c r="P92" s="29"/>
      <c r="Q92" s="29"/>
      <c r="R92" s="29"/>
      <c r="S92" s="29"/>
      <c r="T92" s="29"/>
      <c r="U92" s="29"/>
      <c r="V92" s="55"/>
      <c r="W92" s="29"/>
      <c r="X92" s="29"/>
      <c r="Y92" s="29"/>
      <c r="Z92" s="29"/>
      <c r="AA92" s="29"/>
      <c r="AB92" s="29"/>
      <c r="AC92" s="55"/>
      <c r="AD92" s="29"/>
      <c r="AE92" s="35"/>
      <c r="AF92" s="35"/>
      <c r="AG92" s="35"/>
      <c r="AH92" s="35"/>
      <c r="AI92" s="35"/>
      <c r="AJ92" s="35"/>
      <c r="AK92" s="29"/>
      <c r="AL92" s="29"/>
      <c r="AM92" s="29"/>
      <c r="AN92" s="29"/>
      <c r="AO92" s="29"/>
      <c r="AP92" s="29"/>
      <c r="AQ92" s="29"/>
      <c r="AR92" s="55"/>
      <c r="AS92" s="55"/>
      <c r="AT92" s="29"/>
      <c r="AU92" s="29"/>
      <c r="AV92" s="29"/>
      <c r="AW92" s="29"/>
      <c r="AX92" s="29"/>
      <c r="AY92" s="55"/>
      <c r="AZ92" s="55"/>
      <c r="BA92" s="29"/>
      <c r="BB92" s="29"/>
      <c r="BC92" s="29"/>
      <c r="BD92" s="29"/>
      <c r="BE92" s="29"/>
    </row>
    <row r="93" spans="1:57" ht="14.25" customHeight="1">
      <c r="A93" s="35"/>
      <c r="B93" s="35"/>
      <c r="C93" s="35"/>
      <c r="D93" s="35"/>
      <c r="E93" s="35"/>
      <c r="F93" s="35"/>
      <c r="G93" s="35"/>
      <c r="H93" s="30"/>
      <c r="I93" s="29"/>
      <c r="J93" s="29"/>
      <c r="K93" s="29"/>
      <c r="L93" s="29"/>
      <c r="M93" s="29"/>
      <c r="N93" s="29"/>
      <c r="O93" s="55"/>
      <c r="P93" s="29"/>
      <c r="Q93" s="29"/>
      <c r="R93" s="29"/>
      <c r="S93" s="29"/>
      <c r="T93" s="29"/>
      <c r="U93" s="29"/>
      <c r="V93" s="55"/>
      <c r="W93" s="29"/>
      <c r="X93" s="29"/>
      <c r="Y93" s="29"/>
      <c r="Z93" s="29"/>
      <c r="AA93" s="29"/>
      <c r="AB93" s="29"/>
      <c r="AC93" s="55"/>
      <c r="AD93" s="29"/>
      <c r="AE93" s="35"/>
      <c r="AF93" s="35"/>
      <c r="AG93" s="35"/>
      <c r="AH93" s="35"/>
      <c r="AI93" s="35"/>
      <c r="AJ93" s="35"/>
      <c r="AK93" s="29"/>
      <c r="AL93" s="29"/>
      <c r="AM93" s="29"/>
      <c r="AN93" s="29"/>
      <c r="AO93" s="29"/>
      <c r="AP93" s="29"/>
      <c r="AQ93" s="29"/>
      <c r="AR93" s="55"/>
      <c r="AS93" s="55"/>
      <c r="AT93" s="29"/>
      <c r="AU93" s="29"/>
      <c r="AV93" s="29"/>
      <c r="AW93" s="29"/>
      <c r="AX93" s="29"/>
      <c r="AY93" s="55"/>
      <c r="AZ93" s="55"/>
      <c r="BA93" s="29"/>
      <c r="BB93" s="29"/>
      <c r="BC93" s="29"/>
      <c r="BD93" s="29"/>
      <c r="BE93" s="29"/>
    </row>
    <row r="94" spans="1:57" ht="14.25" customHeight="1">
      <c r="A94" s="35"/>
      <c r="B94" s="35"/>
      <c r="C94" s="35"/>
      <c r="D94" s="35"/>
      <c r="E94" s="35"/>
      <c r="F94" s="35"/>
      <c r="G94" s="35"/>
      <c r="H94" s="30"/>
      <c r="I94" s="29"/>
      <c r="J94" s="29"/>
      <c r="K94" s="29"/>
      <c r="L94" s="29"/>
      <c r="M94" s="29"/>
      <c r="N94" s="29"/>
      <c r="O94" s="55"/>
      <c r="P94" s="29"/>
      <c r="Q94" s="29"/>
      <c r="R94" s="29"/>
      <c r="S94" s="29"/>
      <c r="T94" s="29"/>
      <c r="U94" s="29"/>
      <c r="V94" s="55"/>
      <c r="W94" s="29"/>
      <c r="X94" s="29"/>
      <c r="Y94" s="29"/>
      <c r="Z94" s="29"/>
      <c r="AA94" s="29"/>
      <c r="AB94" s="29"/>
      <c r="AC94" s="55"/>
      <c r="AD94" s="29"/>
      <c r="AE94" s="35"/>
      <c r="AF94" s="35"/>
      <c r="AG94" s="35"/>
      <c r="AH94" s="35"/>
      <c r="AI94" s="35"/>
      <c r="AJ94" s="35"/>
      <c r="AK94" s="29"/>
      <c r="AL94" s="29"/>
      <c r="AM94" s="29"/>
      <c r="AN94" s="29"/>
      <c r="AO94" s="29"/>
      <c r="AP94" s="29"/>
      <c r="AQ94" s="29"/>
      <c r="AR94" s="55"/>
      <c r="AS94" s="55"/>
      <c r="AT94" s="29"/>
      <c r="AU94" s="29"/>
      <c r="AV94" s="29"/>
      <c r="AW94" s="29"/>
      <c r="AX94" s="29"/>
      <c r="AY94" s="55"/>
      <c r="AZ94" s="55"/>
      <c r="BA94" s="29"/>
      <c r="BB94" s="29"/>
      <c r="BC94" s="29"/>
      <c r="BD94" s="29"/>
      <c r="BE94" s="29"/>
    </row>
    <row r="95" spans="1:57" ht="14.25" customHeight="1">
      <c r="A95" s="35"/>
      <c r="B95" s="35"/>
      <c r="C95" s="35"/>
      <c r="D95" s="35"/>
      <c r="E95" s="35"/>
      <c r="F95" s="35"/>
      <c r="G95" s="35"/>
      <c r="H95" s="30"/>
      <c r="I95" s="29"/>
      <c r="J95" s="29"/>
      <c r="K95" s="29"/>
      <c r="L95" s="29"/>
      <c r="M95" s="29"/>
      <c r="N95" s="29"/>
      <c r="O95" s="55"/>
      <c r="P95" s="29"/>
      <c r="Q95" s="29"/>
      <c r="R95" s="29"/>
      <c r="S95" s="29"/>
      <c r="T95" s="29"/>
      <c r="U95" s="29"/>
      <c r="V95" s="55"/>
      <c r="W95" s="29"/>
      <c r="X95" s="29"/>
      <c r="Y95" s="29"/>
      <c r="Z95" s="29"/>
      <c r="AA95" s="29"/>
      <c r="AB95" s="29"/>
      <c r="AC95" s="55"/>
      <c r="AD95" s="29"/>
      <c r="AE95" s="35"/>
      <c r="AF95" s="35"/>
      <c r="AG95" s="35"/>
      <c r="AH95" s="35"/>
      <c r="AI95" s="35"/>
      <c r="AJ95" s="35"/>
      <c r="AK95" s="29"/>
      <c r="AL95" s="29"/>
      <c r="AM95" s="29"/>
      <c r="AN95" s="29"/>
      <c r="AO95" s="29"/>
      <c r="AP95" s="29"/>
      <c r="AQ95" s="29"/>
      <c r="AR95" s="55"/>
      <c r="AS95" s="55"/>
      <c r="AT95" s="29"/>
      <c r="AU95" s="29"/>
      <c r="AV95" s="29"/>
      <c r="AW95" s="29"/>
      <c r="AX95" s="29"/>
      <c r="AY95" s="55"/>
      <c r="AZ95" s="55"/>
      <c r="BA95" s="29"/>
      <c r="BB95" s="29"/>
      <c r="BC95" s="29"/>
      <c r="BD95" s="29"/>
      <c r="BE95" s="29"/>
    </row>
    <row r="96" spans="1:57" ht="14.25" customHeight="1">
      <c r="A96" s="35"/>
      <c r="B96" s="35"/>
      <c r="C96" s="35"/>
      <c r="D96" s="35"/>
      <c r="E96" s="35"/>
      <c r="F96" s="35"/>
      <c r="G96" s="35"/>
      <c r="H96" s="30"/>
      <c r="I96" s="29"/>
      <c r="J96" s="29"/>
      <c r="K96" s="29"/>
      <c r="L96" s="29"/>
      <c r="M96" s="29"/>
      <c r="N96" s="29"/>
      <c r="O96" s="55"/>
      <c r="P96" s="29"/>
      <c r="Q96" s="29"/>
      <c r="R96" s="29"/>
      <c r="S96" s="29"/>
      <c r="T96" s="29"/>
      <c r="U96" s="29"/>
      <c r="V96" s="55"/>
      <c r="W96" s="29"/>
      <c r="X96" s="29"/>
      <c r="Y96" s="29"/>
      <c r="Z96" s="29"/>
      <c r="AA96" s="29"/>
      <c r="AB96" s="29"/>
      <c r="AC96" s="55"/>
      <c r="AD96" s="29"/>
      <c r="AE96" s="35"/>
      <c r="AF96" s="35"/>
      <c r="AG96" s="35"/>
      <c r="AH96" s="35"/>
      <c r="AI96" s="35"/>
      <c r="AJ96" s="35"/>
      <c r="AK96" s="29"/>
      <c r="AL96" s="29"/>
      <c r="AM96" s="29"/>
      <c r="AN96" s="29"/>
      <c r="AO96" s="29"/>
      <c r="AP96" s="29"/>
      <c r="AQ96" s="29"/>
      <c r="AR96" s="55"/>
      <c r="AS96" s="55"/>
      <c r="AT96" s="29"/>
      <c r="AU96" s="29"/>
      <c r="AV96" s="29"/>
      <c r="AW96" s="29"/>
      <c r="AX96" s="29"/>
      <c r="AY96" s="55"/>
      <c r="AZ96" s="55"/>
      <c r="BA96" s="29"/>
      <c r="BB96" s="29"/>
      <c r="BC96" s="29"/>
      <c r="BD96" s="29"/>
      <c r="BE96" s="29"/>
    </row>
    <row r="97" spans="1:57" ht="14.25" customHeight="1">
      <c r="A97" s="35"/>
      <c r="B97" s="35"/>
      <c r="C97" s="35"/>
      <c r="D97" s="35"/>
      <c r="E97" s="35"/>
      <c r="F97" s="35"/>
      <c r="G97" s="35"/>
      <c r="H97" s="30"/>
      <c r="I97" s="29"/>
      <c r="J97" s="29"/>
      <c r="K97" s="29"/>
      <c r="L97" s="29"/>
      <c r="M97" s="29"/>
      <c r="N97" s="29"/>
      <c r="O97" s="55"/>
      <c r="P97" s="29"/>
      <c r="Q97" s="29"/>
      <c r="R97" s="29"/>
      <c r="S97" s="29"/>
      <c r="T97" s="29"/>
      <c r="U97" s="29"/>
      <c r="V97" s="55"/>
      <c r="W97" s="29"/>
      <c r="X97" s="29"/>
      <c r="Y97" s="29"/>
      <c r="Z97" s="29"/>
      <c r="AA97" s="29"/>
      <c r="AB97" s="29"/>
      <c r="AC97" s="55"/>
      <c r="AD97" s="29"/>
      <c r="AE97" s="35"/>
      <c r="AF97" s="35"/>
      <c r="AG97" s="35"/>
      <c r="AH97" s="35"/>
      <c r="AI97" s="35"/>
      <c r="AJ97" s="35"/>
      <c r="AK97" s="29"/>
      <c r="AL97" s="29"/>
      <c r="AM97" s="29"/>
      <c r="AN97" s="29"/>
      <c r="AO97" s="29"/>
      <c r="AP97" s="29"/>
      <c r="AQ97" s="29"/>
      <c r="AR97" s="55"/>
      <c r="AS97" s="55"/>
      <c r="AT97" s="29"/>
      <c r="AU97" s="29"/>
      <c r="AV97" s="29"/>
      <c r="AW97" s="29"/>
      <c r="AX97" s="29"/>
      <c r="AY97" s="55"/>
      <c r="AZ97" s="55"/>
      <c r="BA97" s="29"/>
      <c r="BB97" s="29"/>
      <c r="BC97" s="29"/>
      <c r="BD97" s="29"/>
      <c r="BE97" s="29"/>
    </row>
    <row r="98" spans="1:57" ht="14.25" customHeight="1">
      <c r="A98" s="35"/>
      <c r="B98" s="35"/>
      <c r="C98" s="35"/>
      <c r="D98" s="35"/>
      <c r="E98" s="35"/>
      <c r="F98" s="35"/>
      <c r="G98" s="35"/>
      <c r="H98" s="30"/>
      <c r="I98" s="29"/>
      <c r="J98" s="29"/>
      <c r="K98" s="29"/>
      <c r="L98" s="29"/>
      <c r="M98" s="29"/>
      <c r="N98" s="29"/>
      <c r="O98" s="55"/>
      <c r="P98" s="29"/>
      <c r="Q98" s="29"/>
      <c r="R98" s="29"/>
      <c r="S98" s="29"/>
      <c r="T98" s="29"/>
      <c r="U98" s="29"/>
      <c r="V98" s="55"/>
      <c r="W98" s="29"/>
      <c r="X98" s="29"/>
      <c r="Y98" s="29"/>
      <c r="Z98" s="29"/>
      <c r="AA98" s="29"/>
      <c r="AB98" s="29"/>
      <c r="AC98" s="55"/>
      <c r="AD98" s="29"/>
      <c r="AE98" s="35"/>
      <c r="AF98" s="35"/>
      <c r="AG98" s="35"/>
      <c r="AH98" s="35"/>
      <c r="AI98" s="35"/>
      <c r="AJ98" s="35"/>
      <c r="AK98" s="29"/>
      <c r="AL98" s="29"/>
      <c r="AM98" s="29"/>
      <c r="AN98" s="29"/>
      <c r="AO98" s="29"/>
      <c r="AP98" s="29"/>
      <c r="AQ98" s="29"/>
      <c r="AR98" s="55"/>
      <c r="AS98" s="55"/>
      <c r="AT98" s="29"/>
      <c r="AU98" s="29"/>
      <c r="AV98" s="29"/>
      <c r="AW98" s="29"/>
      <c r="AX98" s="29"/>
      <c r="AY98" s="55"/>
      <c r="AZ98" s="55"/>
      <c r="BA98" s="29"/>
      <c r="BB98" s="29"/>
      <c r="BC98" s="29"/>
      <c r="BD98" s="29"/>
      <c r="BE98" s="29"/>
    </row>
    <row r="99" spans="1:57" ht="14.25" customHeight="1">
      <c r="A99" s="35"/>
      <c r="B99" s="35"/>
      <c r="C99" s="35"/>
      <c r="D99" s="35"/>
      <c r="E99" s="35"/>
      <c r="F99" s="35"/>
      <c r="G99" s="35"/>
      <c r="H99" s="30"/>
      <c r="I99" s="29"/>
      <c r="J99" s="29"/>
      <c r="K99" s="29"/>
      <c r="L99" s="29"/>
      <c r="M99" s="29"/>
      <c r="N99" s="29"/>
      <c r="O99" s="55"/>
      <c r="P99" s="29"/>
      <c r="Q99" s="29"/>
      <c r="R99" s="29"/>
      <c r="S99" s="29"/>
      <c r="T99" s="29"/>
      <c r="U99" s="29"/>
      <c r="V99" s="55"/>
      <c r="W99" s="29"/>
      <c r="X99" s="29"/>
      <c r="Y99" s="29"/>
      <c r="Z99" s="29"/>
      <c r="AA99" s="29"/>
      <c r="AB99" s="29"/>
      <c r="AC99" s="55"/>
      <c r="AD99" s="29"/>
      <c r="AE99" s="35"/>
      <c r="AF99" s="35"/>
      <c r="AG99" s="35"/>
      <c r="AH99" s="35"/>
      <c r="AI99" s="35"/>
      <c r="AJ99" s="35"/>
      <c r="AK99" s="29"/>
      <c r="AL99" s="29"/>
      <c r="AM99" s="29"/>
      <c r="AN99" s="29"/>
      <c r="AO99" s="29"/>
      <c r="AP99" s="29"/>
      <c r="AQ99" s="29"/>
      <c r="AR99" s="55"/>
      <c r="AS99" s="55"/>
      <c r="AT99" s="29"/>
      <c r="AU99" s="29"/>
      <c r="AV99" s="29"/>
      <c r="AW99" s="29"/>
      <c r="AX99" s="29"/>
      <c r="AY99" s="55"/>
      <c r="AZ99" s="55"/>
      <c r="BA99" s="29"/>
      <c r="BB99" s="29"/>
      <c r="BC99" s="29"/>
      <c r="BD99" s="29"/>
      <c r="BE99" s="29"/>
    </row>
    <row r="100" spans="1:57" ht="14.25" customHeight="1">
      <c r="A100" s="35"/>
      <c r="B100" s="35"/>
      <c r="C100" s="35"/>
      <c r="D100" s="35"/>
      <c r="E100" s="35"/>
      <c r="F100" s="35"/>
      <c r="G100" s="35"/>
      <c r="H100" s="30"/>
      <c r="I100" s="29"/>
      <c r="J100" s="29"/>
      <c r="K100" s="29"/>
      <c r="L100" s="29"/>
      <c r="M100" s="29"/>
      <c r="N100" s="29"/>
      <c r="O100" s="55"/>
      <c r="P100" s="29"/>
      <c r="Q100" s="29"/>
      <c r="R100" s="29"/>
      <c r="S100" s="29"/>
      <c r="T100" s="29"/>
      <c r="U100" s="29"/>
      <c r="V100" s="55"/>
      <c r="W100" s="29"/>
      <c r="X100" s="29"/>
      <c r="Y100" s="29"/>
      <c r="Z100" s="29"/>
      <c r="AA100" s="29"/>
      <c r="AB100" s="29"/>
      <c r="AC100" s="55"/>
      <c r="AD100" s="29"/>
      <c r="AE100" s="35"/>
      <c r="AF100" s="35"/>
      <c r="AG100" s="35"/>
      <c r="AH100" s="35"/>
      <c r="AI100" s="35"/>
      <c r="AJ100" s="35"/>
      <c r="AK100" s="29"/>
      <c r="AL100" s="29"/>
      <c r="AM100" s="29"/>
      <c r="AN100" s="29"/>
      <c r="AO100" s="29"/>
      <c r="AP100" s="29"/>
      <c r="AQ100" s="29"/>
      <c r="AR100" s="55"/>
      <c r="AS100" s="55"/>
      <c r="AT100" s="29"/>
      <c r="AU100" s="29"/>
      <c r="AV100" s="29"/>
      <c r="AW100" s="29"/>
      <c r="AX100" s="29"/>
      <c r="AY100" s="55"/>
      <c r="AZ100" s="55"/>
      <c r="BA100" s="29"/>
      <c r="BB100" s="29"/>
      <c r="BC100" s="29"/>
      <c r="BD100" s="29"/>
      <c r="BE100" s="29"/>
    </row>
  </sheetData>
  <dataValidations count="3">
    <dataValidation type="list" allowBlank="1" showInputMessage="1" showErrorMessage="1" sqref="A18">
      <formula1>$A$53:$A$62</formula1>
    </dataValidation>
    <dataValidation type="list" allowBlank="1" showErrorMessage="1" sqref="A1">
      <formula1>$H$2:$H$61</formula1>
    </dataValidation>
    <dataValidation type="list" allowBlank="1" showErrorMessage="1" sqref="AE1">
      <formula1>$H$32:$H$61</formula1>
    </dataValidation>
  </dataValidations>
  <pageMargins left="0.7" right="0.7" top="0.75" bottom="0.75" header="0" footer="0"/>
  <pageSetup orientation="portrait" useFirstPageNumber="1" r:id="rId1"/>
  <headerFooter>
    <oddHeader>&amp;L&amp;C&amp;R</oddHeader>
    <oddFooter>&amp;L&amp;C&amp;R</oddFooter>
  </headerFooter>
  <extLst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002060"/>
  </sheetPr>
  <dimension ref="A1:BF100"/>
  <sheetViews>
    <sheetView zoomScale="90" zoomScaleNormal="90" workbookViewId="0">
      <selection activeCell="A2" sqref="A2:XFD9"/>
    </sheetView>
  </sheetViews>
  <sheetFormatPr defaultColWidth="8.85546875" defaultRowHeight="15" customHeight="1"/>
  <cols>
    <col min="1" max="1" width="18.42578125" style="57" customWidth="1"/>
    <col min="2" max="6" width="7.7109375" style="57" customWidth="1"/>
    <col min="7" max="7" width="15.140625" style="57" hidden="1" customWidth="1"/>
    <col min="8" max="8" width="25.140625" style="72" hidden="1" customWidth="1"/>
    <col min="9" max="9" width="19" style="59" hidden="1" customWidth="1"/>
    <col min="10" max="10" width="11.42578125" style="59" hidden="1" customWidth="1"/>
    <col min="11" max="14" width="7.7109375" style="59" hidden="1" customWidth="1"/>
    <col min="15" max="15" width="13.7109375" style="60" hidden="1" customWidth="1"/>
    <col min="16" max="16" width="19" style="59" hidden="1" customWidth="1"/>
    <col min="17" max="21" width="7.7109375" style="59" hidden="1" customWidth="1"/>
    <col min="22" max="22" width="16.28515625" style="60" hidden="1" customWidth="1"/>
    <col min="23" max="23" width="19" style="59" hidden="1" customWidth="1"/>
    <col min="24" max="24" width="10.42578125" style="59" hidden="1" customWidth="1"/>
    <col min="25" max="28" width="7.7109375" style="59" hidden="1" customWidth="1"/>
    <col min="29" max="29" width="16.42578125" style="60" hidden="1" customWidth="1"/>
    <col min="30" max="30" width="7.7109375" style="59" hidden="1" customWidth="1"/>
    <col min="31" max="34" width="7.7109375" style="57" hidden="1" customWidth="1"/>
    <col min="35" max="35" width="12.85546875" style="57" hidden="1" customWidth="1"/>
    <col min="36" max="36" width="7.7109375" style="57" hidden="1" customWidth="1"/>
    <col min="37" max="37" width="7.7109375" style="59" hidden="1" customWidth="1"/>
    <col min="38" max="38" width="24.5703125" style="59" hidden="1" customWidth="1"/>
    <col min="39" max="43" width="7.7109375" style="59" hidden="1" customWidth="1"/>
    <col min="44" max="44" width="12.5703125" style="60" hidden="1" customWidth="1"/>
    <col min="45" max="45" width="19" style="59" hidden="1" customWidth="1"/>
    <col min="46" max="50" width="7.7109375" style="59" hidden="1" customWidth="1"/>
    <col min="51" max="51" width="18.5703125" style="60" hidden="1" customWidth="1"/>
    <col min="52" max="52" width="19" style="59" hidden="1" customWidth="1"/>
    <col min="53" max="57" width="7.7109375" style="59" hidden="1" customWidth="1"/>
    <col min="58" max="58" width="0" hidden="1" customWidth="1"/>
  </cols>
  <sheetData>
    <row r="1" spans="1:58" ht="24" customHeight="1" thickBot="1">
      <c r="A1" s="28" t="s">
        <v>658</v>
      </c>
      <c r="B1" s="29"/>
      <c r="C1" s="29"/>
      <c r="D1" s="29"/>
      <c r="E1" s="29"/>
      <c r="F1" s="29"/>
      <c r="G1" s="29"/>
      <c r="H1" s="61"/>
      <c r="I1" s="29"/>
      <c r="J1" s="29"/>
      <c r="K1" s="29"/>
      <c r="L1" s="29"/>
      <c r="M1" s="29"/>
      <c r="N1" s="29"/>
      <c r="O1" s="55"/>
      <c r="P1" s="29"/>
      <c r="Q1" s="29"/>
      <c r="R1" s="29"/>
      <c r="S1" s="29"/>
      <c r="T1" s="29"/>
      <c r="U1" s="29"/>
      <c r="V1" s="55"/>
      <c r="W1" s="29"/>
      <c r="X1" s="29"/>
      <c r="Y1" s="29"/>
      <c r="Z1" s="29"/>
      <c r="AA1" s="29"/>
      <c r="AB1" s="29"/>
      <c r="AC1" s="55"/>
      <c r="AD1" s="29"/>
      <c r="AE1" s="28" t="s">
        <v>662</v>
      </c>
      <c r="AF1" s="29"/>
      <c r="AG1" s="29"/>
      <c r="AH1" s="29"/>
      <c r="AI1" s="29"/>
      <c r="AJ1" s="29"/>
      <c r="AK1" s="29"/>
      <c r="AL1" s="62"/>
      <c r="AM1" s="62"/>
      <c r="AN1" s="62"/>
      <c r="AO1" s="62"/>
      <c r="AP1" s="62"/>
      <c r="AQ1" s="62"/>
      <c r="AR1" s="119"/>
      <c r="AS1" s="62"/>
      <c r="AT1" s="62"/>
      <c r="AU1" s="62"/>
      <c r="AV1" s="62"/>
      <c r="AW1" s="62"/>
      <c r="AX1" s="62"/>
      <c r="AY1" s="119"/>
      <c r="AZ1" s="62"/>
      <c r="BA1" s="62"/>
      <c r="BB1" s="62"/>
      <c r="BC1" s="62"/>
      <c r="BD1" s="62"/>
      <c r="BE1" s="62"/>
    </row>
    <row r="2" spans="1:58" ht="15" hidden="1" customHeight="1" thickBot="1">
      <c r="A2" s="33" t="str">
        <f t="shared" ref="A2:G2" si="0">IF($A$1=$H$2,I2,IF($A$1=$H$3,I7,IF($A$1=$H$4,I12,IF($A$1=$H$5,I17,IF($A$1=$H$6,I22,IF($A$1=$H$7,I27,IF($A$1=$H$8,I32,IF($A$1=$H$9,I37,IF($A$1=$H$10,I42,IF($A$1=$H$11,I47,IF($A$1=$H$12,P2,IF($A$1=$H$13,P7,IF($A$1=$H$14,P12,IF($A$1=$H$15,P17,IF($A$1=$H$16,P22,IF($A$1=$H$17,P27,IF($A$1=$H$18,P32,IF($A$1=$H$19,P37,IF($A$1=$H$20,P42,IF($A$1=$H$21,P47,IF($A$1=$H$21,P52,IF($A$1=$H$22,W2,IF($A$1=$H$23,W7,IF($A$1=$H$24,W12,IF($A$1=$H$25,W17,IF($A$1=$H$26,W22,IF($A$1=$H$27,W27,IF($A$1=$H$28,W32,IF($A$1=$H$29,W37,IF($A$1=$H$30,W42,IF($A$1=$H$31,W47,IF($A$1=$H$32,AL2,IF($A$1=$H$33,AL7,IF($A$1=$H$34,AL12,IF($A$1=$H$35,AL17,IF($A$1=$H$36,AL22,IF($A$1=$H$37,AL27,IF($A$1=$H$38,AL32,IF($A$1=$H$39,AL37,IF($A$1=$H$40,AL42,IF($A$1=$H$41,AL47,IF($A$1=$H$42,AS2,IF($A$1=$H$43,AS7,IF($A$1=$H$44,AS12,IF($A$1=$H$45,AS17,IF($A$1=$H$46,AS22,IF($A$1=$H$47,AS27,IF($A$1=$H$48,AS32,IF($A$1=$H$49,AS37,IF($A$1=$H$50,AS42,IF($A$1=$H$51,AS47,IF($A$1=$H$51,AS52,IF($A$1=$H$52,AZ2,IF($A$1=$H$53,AZ7,IF($A$1=$H$54,AZ12,IF($A$1=$H$55,AZ17,IF($A$1=$H$56,AZ22,IF($A$1=$H$57,AZ27,IF($A$1=$H$58,AZ32,IF($A$1=$H$59,AZ37,IF($A$1=$H$60,AZ42,IF($A$1=$H$61,AZ47))))))))))))))))))))))))))))))))))))))))))))))))))))))))))))))</f>
        <v>40 ਟਾਹਲਾ ਰਾਮ ਨੱਢਾ</v>
      </c>
      <c r="B2" s="33">
        <f t="shared" si="0"/>
        <v>1</v>
      </c>
      <c r="C2" s="33">
        <f t="shared" si="0"/>
        <v>1</v>
      </c>
      <c r="D2" s="33">
        <f t="shared" si="0"/>
        <v>1</v>
      </c>
      <c r="E2" s="33">
        <f t="shared" si="0"/>
        <v>1</v>
      </c>
      <c r="F2" s="102">
        <f t="shared" si="0"/>
        <v>1</v>
      </c>
      <c r="G2" s="127" t="str">
        <f t="shared" si="0"/>
        <v>https://serving.photos.photobox.com/38851861cae6603708cacaca7b58c726f9636b55770c2653f087f01946b732bdaed4104f.jpg</v>
      </c>
      <c r="H2" s="103" t="str">
        <f>I2</f>
        <v>1 ਹਾਕਮ ਚੰਦ ਪੁੱਤਰ ਗੋਮਾ ਰਾਮ</v>
      </c>
      <c r="I2" s="17" t="s">
        <v>659</v>
      </c>
      <c r="J2" s="18" t="s">
        <v>94</v>
      </c>
      <c r="K2" s="18" t="s">
        <v>347</v>
      </c>
      <c r="L2" s="18">
        <v>1</v>
      </c>
      <c r="M2" s="18">
        <v>1</v>
      </c>
      <c r="N2" s="18">
        <v>1</v>
      </c>
      <c r="O2" s="55" t="s">
        <v>1198</v>
      </c>
      <c r="P2" s="17" t="s">
        <v>660</v>
      </c>
      <c r="Q2" s="18" t="s">
        <v>175</v>
      </c>
      <c r="R2" s="18" t="s">
        <v>661</v>
      </c>
      <c r="S2" s="18">
        <v>1</v>
      </c>
      <c r="T2" s="18">
        <v>1</v>
      </c>
      <c r="U2" s="18">
        <v>1</v>
      </c>
      <c r="V2" s="55" t="s">
        <v>1207</v>
      </c>
      <c r="W2" s="118" t="s">
        <v>1348</v>
      </c>
      <c r="X2" s="18" t="s">
        <v>74</v>
      </c>
      <c r="Y2" s="18">
        <v>1</v>
      </c>
      <c r="Z2" s="18">
        <v>1</v>
      </c>
      <c r="AA2" s="18">
        <v>1</v>
      </c>
      <c r="AB2" s="18">
        <v>1</v>
      </c>
      <c r="AC2" s="55" t="s">
        <v>1215</v>
      </c>
      <c r="AD2" s="29"/>
      <c r="AE2" s="33" t="str">
        <f t="shared" ref="AE2:AJ6" si="1">IF($AE$1=$H$32,AL2,IF($AE$1=$H$33,AL7,IF($AE$1=$H$34,AL12,IF($AE$1=$H$35,AL17,IF($AE$1=$H$36,AL22,IF($AE$1=$H$37,AL27,IF($AE$1=$H$38,AL32,IF($AE$1=$H$39,AL37,IF($AE$1=$H$40,AL42,IF($AE$1=$H$41,AL47,IF($AE$1=$H$42,AS2,IF($AE$1=$H$43,AS7,IF($AE$1=$H$44,AS12,IF($AE$1=$H$45,AS17,IF($AE$1=$H$46,AS22,IF($AE$1=$H$47,AS27,IF($AE$1=$H$48,AS32,IF($AE$1=$H$49,AS37,IF($AE$1=$H$50,AS42,IF($AE$1=$H$51,AS47,IF($AE$1=$H$51,AS52,IF($AE$1=$H$52,AZ2,IF($AE$1=$H$53,AZ7,IF($AE$1=$H$54,AZ12,IF($AE$1=$H$55,AZ17,IF($AE$1=$H$56,AZ22,IF($AE$1=$H$57,AZ27,IF($AE$1=$H$58,AZ32,IF($AE$1=$H$59,AZ37,IF($AE$1=$H$60,AZ42,IF($AE$1=$H$61,AZ47)))))))))))))))))))))))))))))))</f>
        <v>31 ਕਸ਼ਮੀਰ ਲਾਲ ਅਤੇ ਪਰਮਾ ਨੰਦ</v>
      </c>
      <c r="AF2" s="33">
        <f t="shared" si="1"/>
        <v>1</v>
      </c>
      <c r="AG2" s="33">
        <f t="shared" si="1"/>
        <v>1</v>
      </c>
      <c r="AH2" s="33">
        <f t="shared" si="1"/>
        <v>1</v>
      </c>
      <c r="AI2" s="33">
        <f t="shared" si="1"/>
        <v>1</v>
      </c>
      <c r="AJ2" s="33">
        <f t="shared" si="1"/>
        <v>1</v>
      </c>
      <c r="AL2" s="245" t="s">
        <v>662</v>
      </c>
      <c r="AM2" s="40">
        <v>1</v>
      </c>
      <c r="AN2" s="18">
        <v>1</v>
      </c>
      <c r="AO2" s="18">
        <v>1</v>
      </c>
      <c r="AP2" s="18">
        <v>1</v>
      </c>
      <c r="AQ2" s="18">
        <v>1</v>
      </c>
      <c r="AR2" s="244" t="s">
        <v>1446</v>
      </c>
      <c r="AS2" s="118" t="s">
        <v>1228</v>
      </c>
      <c r="AT2" s="18" t="s">
        <v>175</v>
      </c>
      <c r="AU2" s="18" t="s">
        <v>1087</v>
      </c>
      <c r="AV2" s="18">
        <v>1</v>
      </c>
      <c r="AW2" s="18">
        <v>1</v>
      </c>
      <c r="AX2" s="18">
        <v>1</v>
      </c>
      <c r="AY2" s="249" t="s">
        <v>1442</v>
      </c>
      <c r="AZ2" s="17" t="s">
        <v>51</v>
      </c>
      <c r="BA2" s="18">
        <v>1</v>
      </c>
      <c r="BB2" s="18">
        <v>1</v>
      </c>
      <c r="BC2" s="18">
        <v>1</v>
      </c>
      <c r="BD2" s="18">
        <v>1</v>
      </c>
      <c r="BE2" s="18">
        <v>1</v>
      </c>
      <c r="BF2" s="204">
        <v>1</v>
      </c>
    </row>
    <row r="3" spans="1:58" ht="14.25" hidden="1" customHeight="1">
      <c r="A3" s="33" t="str">
        <f t="shared" ref="A3:F6" si="2">IF($A$1=$H$2,I3,IF($A$1=$H$3,I8,IF($A$1=$H$4,I13,IF($A$1=$H$5,I18,IF($A$1=$H$6,I23,IF($A$1=$H$7,I28,IF($A$1=$H$8,I33,IF($A$1=$H$9,I38,IF($A$1=$H$10,I43,IF($A$1=$H$11,I48,IF($A$1=$H$12,P3,IF($A$1=$H$13,P8,IF($A$1=$H$14,P13,IF($A$1=$H$15,P18,IF($A$1=$H$16,P23,IF($A$1=$H$17,P28,IF($A$1=$H$18,P33,IF($A$1=$H$19,P38,IF($A$1=$H$20,P43,IF($A$1=$H$21,P48,IF($A$1=$H$21,P53,IF($A$1=$H$22,W3,IF($A$1=$H$23,W8,IF($A$1=$H$24,W13,IF($A$1=$H$25,W18,IF($A$1=$H$26,W23,IF($A$1=$H$27,W28,IF($A$1=$H$28,W33,IF($A$1=$H$29,W38,IF($A$1=$H$30,W43,IF($A$1=$H$31,W48,IF($A$1=$H$32,AL3,IF($A$1=$H$33,AL8,IF($A$1=$H$34,AL13,IF($A$1=$H$35,AL18,IF($A$1=$H$36,AL23,IF($A$1=$H$37,AL28,IF($A$1=$H$38,AL33,IF($A$1=$H$39,AL38,IF($A$1=$H$40,AL43,IF($A$1=$H$41,AL48,IF($A$1=$H$42,AS3,IF($A$1=$H$43,AS8,IF($A$1=$H$44,AS13,IF($A$1=$H$45,AS18,IF($A$1=$H$46,AS23,IF($A$1=$H$47,AS28,IF($A$1=$H$48,AS33,IF($A$1=$H$49,AS38,IF($A$1=$H$50,AS43,IF($A$1=$H$51,AS48,IF($A$1=$H$51,AS53,IF($A$1=$H$52,AZ3,IF($A$1=$H$53,AZ8,IF($A$1=$H$54,AZ13,IF($A$1=$H$55,AZ18,IF($A$1=$H$56,AZ23,IF($A$1=$H$57,AZ28,IF($A$1=$H$58,AZ33,IF($A$1=$H$59,AZ38,IF($A$1=$H$60,AZ43,IF($A$1=$H$61,AZ48))))))))))))))))))))))))))))))))))))))))))))))))))))))))))))))</f>
        <v>ਵੇਦ ਪ੍ਰਕਾਸ਼</v>
      </c>
      <c r="B3" s="33" t="str">
        <f t="shared" si="2"/>
        <v>ਨਰੈਣ ਬਾਈ</v>
      </c>
      <c r="C3" s="33" t="str">
        <f t="shared" si="2"/>
        <v>ਰੀਨੂ ਬਾਲਾ</v>
      </c>
      <c r="D3" s="33" t="str">
        <f t="shared" si="2"/>
        <v>ਸੰਜੀਵ ਕੁਮਾਰ</v>
      </c>
      <c r="E3" s="33">
        <f t="shared" si="2"/>
        <v>1</v>
      </c>
      <c r="F3" s="33">
        <f t="shared" si="2"/>
        <v>1</v>
      </c>
      <c r="G3" s="93"/>
      <c r="H3" s="63" t="str">
        <f>I7</f>
        <v xml:space="preserve">2 ਹੁਕਮ ਚੰਦ ਫੌਜੀ </v>
      </c>
      <c r="I3" s="18" t="s">
        <v>667</v>
      </c>
      <c r="J3" s="18" t="s">
        <v>75</v>
      </c>
      <c r="K3" s="18">
        <v>1</v>
      </c>
      <c r="L3" s="18">
        <v>1</v>
      </c>
      <c r="M3" s="18">
        <v>1</v>
      </c>
      <c r="N3" s="18">
        <v>1</v>
      </c>
      <c r="O3" s="55"/>
      <c r="P3" s="18" t="s">
        <v>606</v>
      </c>
      <c r="Q3" s="18" t="s">
        <v>1315</v>
      </c>
      <c r="R3" s="18">
        <v>1</v>
      </c>
      <c r="S3" s="18">
        <v>1</v>
      </c>
      <c r="T3" s="18">
        <v>1</v>
      </c>
      <c r="U3" s="18">
        <v>1</v>
      </c>
      <c r="V3" s="18">
        <v>1</v>
      </c>
      <c r="W3" s="18" t="s">
        <v>264</v>
      </c>
      <c r="X3" s="18" t="s">
        <v>94</v>
      </c>
      <c r="Y3" s="120" t="s">
        <v>661</v>
      </c>
      <c r="Z3" s="18">
        <v>1</v>
      </c>
      <c r="AA3" s="18">
        <v>1</v>
      </c>
      <c r="AB3" s="18">
        <v>1</v>
      </c>
      <c r="AC3" s="18">
        <v>1</v>
      </c>
      <c r="AD3" s="29"/>
      <c r="AE3" s="33" t="str">
        <f t="shared" si="1"/>
        <v xml:space="preserve">ਕਸ਼ਮੀਰ ਲਾਲ </v>
      </c>
      <c r="AF3" s="33">
        <f t="shared" si="1"/>
        <v>1</v>
      </c>
      <c r="AG3" s="33" t="str">
        <f t="shared" si="1"/>
        <v>ਬੀਰਬਲ</v>
      </c>
      <c r="AH3" s="33">
        <f t="shared" si="1"/>
        <v>1</v>
      </c>
      <c r="AI3" s="33">
        <f t="shared" si="1"/>
        <v>1</v>
      </c>
      <c r="AJ3" s="33">
        <f t="shared" si="1"/>
        <v>1</v>
      </c>
      <c r="AL3" s="40" t="s">
        <v>591</v>
      </c>
      <c r="AM3" s="40">
        <v>1</v>
      </c>
      <c r="AN3" s="18" t="s">
        <v>668</v>
      </c>
      <c r="AO3" s="18">
        <v>1</v>
      </c>
      <c r="AP3" s="18">
        <v>1</v>
      </c>
      <c r="AQ3" s="18">
        <v>1</v>
      </c>
      <c r="AR3" s="18">
        <v>1</v>
      </c>
      <c r="AS3" s="18">
        <v>2</v>
      </c>
      <c r="AT3" s="18">
        <v>1</v>
      </c>
      <c r="AU3" s="18">
        <v>1</v>
      </c>
      <c r="AV3" s="18">
        <v>1</v>
      </c>
      <c r="AW3" s="18">
        <v>1</v>
      </c>
      <c r="AX3" s="18">
        <v>1</v>
      </c>
      <c r="AY3" s="18">
        <v>1</v>
      </c>
      <c r="AZ3" s="18">
        <v>2</v>
      </c>
      <c r="BA3" s="18">
        <v>1</v>
      </c>
      <c r="BB3" s="18">
        <v>1</v>
      </c>
      <c r="BC3" s="18">
        <v>1</v>
      </c>
      <c r="BD3" s="18">
        <v>1</v>
      </c>
      <c r="BE3" s="18">
        <v>1</v>
      </c>
      <c r="BF3" s="204">
        <v>1</v>
      </c>
    </row>
    <row r="4" spans="1:58" ht="14.25" hidden="1" customHeight="1">
      <c r="A4" s="33" t="str">
        <f t="shared" si="2"/>
        <v>ਸੁਰਿੰਦਰ ਕੁਮਾਰ</v>
      </c>
      <c r="B4" s="33">
        <f t="shared" si="2"/>
        <v>1</v>
      </c>
      <c r="C4" s="33">
        <f t="shared" si="2"/>
        <v>1</v>
      </c>
      <c r="D4" s="33">
        <f t="shared" si="2"/>
        <v>1</v>
      </c>
      <c r="E4" s="33">
        <f t="shared" si="2"/>
        <v>1</v>
      </c>
      <c r="F4" s="33">
        <f t="shared" si="2"/>
        <v>1</v>
      </c>
      <c r="G4" s="93"/>
      <c r="H4" s="233" t="str">
        <f>I12</f>
        <v>3 ਸਤਨਾਮ ਦਾਸ ਮਾਣਕ ਦਾਸ</v>
      </c>
      <c r="I4" s="18" t="s">
        <v>669</v>
      </c>
      <c r="J4" s="18" t="s">
        <v>48</v>
      </c>
      <c r="K4" s="18">
        <v>1</v>
      </c>
      <c r="L4" s="18">
        <v>1</v>
      </c>
      <c r="M4" s="18">
        <v>1</v>
      </c>
      <c r="N4" s="18">
        <v>1</v>
      </c>
      <c r="O4" s="55"/>
      <c r="P4" s="18">
        <v>3</v>
      </c>
      <c r="Q4" s="18">
        <v>1</v>
      </c>
      <c r="R4" s="18">
        <v>1</v>
      </c>
      <c r="S4" s="18">
        <v>1</v>
      </c>
      <c r="T4" s="18">
        <v>1</v>
      </c>
      <c r="U4" s="18">
        <v>1</v>
      </c>
      <c r="V4" s="18">
        <v>1</v>
      </c>
      <c r="W4" s="18" t="s">
        <v>184</v>
      </c>
      <c r="X4" s="18" t="s">
        <v>197</v>
      </c>
      <c r="Y4" s="120" t="s">
        <v>1349</v>
      </c>
      <c r="Z4" s="120" t="s">
        <v>1350</v>
      </c>
      <c r="AA4" s="18">
        <v>1</v>
      </c>
      <c r="AB4" s="18">
        <v>1</v>
      </c>
      <c r="AC4" s="18">
        <v>1</v>
      </c>
      <c r="AD4" s="29"/>
      <c r="AE4" s="33">
        <f t="shared" si="1"/>
        <v>3</v>
      </c>
      <c r="AF4" s="33">
        <f t="shared" si="1"/>
        <v>1</v>
      </c>
      <c r="AG4" s="33">
        <f t="shared" si="1"/>
        <v>1</v>
      </c>
      <c r="AH4" s="33">
        <f t="shared" si="1"/>
        <v>1</v>
      </c>
      <c r="AI4" s="33">
        <f t="shared" si="1"/>
        <v>1</v>
      </c>
      <c r="AJ4" s="33">
        <f t="shared" si="1"/>
        <v>1</v>
      </c>
      <c r="AL4" s="40">
        <v>3</v>
      </c>
      <c r="AM4" s="40">
        <v>1</v>
      </c>
      <c r="AN4" s="18">
        <v>1</v>
      </c>
      <c r="AO4" s="18">
        <v>1</v>
      </c>
      <c r="AP4" s="18">
        <v>1</v>
      </c>
      <c r="AQ4" s="18">
        <v>1</v>
      </c>
      <c r="AR4" s="18">
        <v>1</v>
      </c>
      <c r="AS4" s="18">
        <v>3</v>
      </c>
      <c r="AT4" s="18">
        <v>1</v>
      </c>
      <c r="AU4" s="18">
        <v>1</v>
      </c>
      <c r="AV4" s="18">
        <v>1</v>
      </c>
      <c r="AW4" s="18">
        <v>1</v>
      </c>
      <c r="AX4" s="18">
        <v>1</v>
      </c>
      <c r="AY4" s="18">
        <v>1</v>
      </c>
      <c r="AZ4" s="18">
        <v>3</v>
      </c>
      <c r="BA4" s="18">
        <v>1</v>
      </c>
      <c r="BB4" s="18">
        <v>1</v>
      </c>
      <c r="BC4" s="18">
        <v>1</v>
      </c>
      <c r="BD4" s="18">
        <v>1</v>
      </c>
      <c r="BE4" s="18">
        <v>1</v>
      </c>
      <c r="BF4" s="204">
        <v>1</v>
      </c>
    </row>
    <row r="5" spans="1:58" ht="14.25" hidden="1" customHeight="1">
      <c r="A5" s="33" t="str">
        <f t="shared" si="2"/>
        <v>ਬਲਦੇਵ ਰਾਜ</v>
      </c>
      <c r="B5" s="33" t="str">
        <f t="shared" si="2"/>
        <v>ਕੁਸ਼ਲਿਆ ਰਾਣੀ</v>
      </c>
      <c r="C5" s="33" t="str">
        <f t="shared" si="2"/>
        <v>ਹੇਮ ਰਾਜ</v>
      </c>
      <c r="D5" s="33">
        <f t="shared" si="2"/>
        <v>1</v>
      </c>
      <c r="E5" s="33">
        <f t="shared" si="2"/>
        <v>1</v>
      </c>
      <c r="F5" s="33">
        <f t="shared" si="2"/>
        <v>1</v>
      </c>
      <c r="G5" s="93"/>
      <c r="H5" s="233" t="str">
        <f>I17</f>
        <v>4 ਅਮਰ ਲਾਲ ਮਾਣਕ ਦਾਸ</v>
      </c>
      <c r="I5" s="18"/>
      <c r="J5" s="18"/>
      <c r="K5" s="18"/>
      <c r="L5" s="18"/>
      <c r="M5" s="18"/>
      <c r="N5" s="18"/>
      <c r="O5" s="55"/>
      <c r="P5" s="18">
        <v>4</v>
      </c>
      <c r="Q5" s="18">
        <v>1</v>
      </c>
      <c r="R5" s="18">
        <v>1</v>
      </c>
      <c r="S5" s="18">
        <v>1</v>
      </c>
      <c r="T5" s="18">
        <v>1</v>
      </c>
      <c r="U5" s="18">
        <v>1</v>
      </c>
      <c r="V5" s="18">
        <v>1</v>
      </c>
      <c r="W5" s="18" t="s">
        <v>671</v>
      </c>
      <c r="X5" s="18" t="s">
        <v>500</v>
      </c>
      <c r="Y5" s="120" t="s">
        <v>1351</v>
      </c>
      <c r="Z5" s="18">
        <v>1</v>
      </c>
      <c r="AA5" s="18">
        <v>1</v>
      </c>
      <c r="AB5" s="18">
        <v>1</v>
      </c>
      <c r="AC5" s="18">
        <v>1</v>
      </c>
      <c r="AD5" s="29"/>
      <c r="AE5" s="33" t="str">
        <f t="shared" si="1"/>
        <v>ਪਰਮਾ ਨੰਦ</v>
      </c>
      <c r="AF5" s="33" t="str">
        <f t="shared" si="1"/>
        <v>ਕ੍ਰਿਸ਼ਨਾ ਬਾਈ</v>
      </c>
      <c r="AG5" s="33" t="str">
        <f t="shared" si="1"/>
        <v>ਸਾਲੂ</v>
      </c>
      <c r="AH5" s="33" t="str">
        <f t="shared" si="1"/>
        <v>ਸਾਜਨ</v>
      </c>
      <c r="AI5" s="33">
        <f t="shared" si="1"/>
        <v>1</v>
      </c>
      <c r="AJ5" s="33">
        <f t="shared" si="1"/>
        <v>1</v>
      </c>
      <c r="AL5" s="40" t="s">
        <v>401</v>
      </c>
      <c r="AM5" s="40" t="s">
        <v>99</v>
      </c>
      <c r="AN5" s="18" t="s">
        <v>672</v>
      </c>
      <c r="AO5" s="18" t="s">
        <v>182</v>
      </c>
      <c r="AP5" s="18">
        <v>1</v>
      </c>
      <c r="AQ5" s="18">
        <v>1</v>
      </c>
      <c r="AR5" s="18">
        <v>1</v>
      </c>
      <c r="AS5" s="18">
        <v>4</v>
      </c>
      <c r="AT5" s="18">
        <v>1</v>
      </c>
      <c r="AU5" s="18">
        <v>1</v>
      </c>
      <c r="AV5" s="18">
        <v>1</v>
      </c>
      <c r="AW5" s="18">
        <v>1</v>
      </c>
      <c r="AX5" s="18">
        <v>1</v>
      </c>
      <c r="AY5" s="18">
        <v>1</v>
      </c>
      <c r="AZ5" s="18">
        <v>4</v>
      </c>
      <c r="BA5" s="18">
        <v>1</v>
      </c>
      <c r="BB5" s="18">
        <v>1</v>
      </c>
      <c r="BC5" s="18">
        <v>1</v>
      </c>
      <c r="BD5" s="18">
        <v>1</v>
      </c>
      <c r="BE5" s="18">
        <v>1</v>
      </c>
      <c r="BF5" s="204">
        <v>1</v>
      </c>
    </row>
    <row r="6" spans="1:58" ht="14.25" hidden="1" customHeight="1">
      <c r="A6" s="33" t="str">
        <f t="shared" si="2"/>
        <v>ਸੁਖਦੇਵ ਰਾਜ</v>
      </c>
      <c r="B6" s="33" t="str">
        <f t="shared" si="2"/>
        <v>ਬਿਮਲਾ ਰਾਣੀ</v>
      </c>
      <c r="C6" s="33" t="str">
        <f t="shared" si="2"/>
        <v>ਅਲੀਸਾ ਰਾਣੀ</v>
      </c>
      <c r="D6" s="33">
        <f t="shared" si="2"/>
        <v>1</v>
      </c>
      <c r="E6" s="33">
        <f t="shared" si="2"/>
        <v>1</v>
      </c>
      <c r="F6" s="33">
        <f t="shared" si="2"/>
        <v>1</v>
      </c>
      <c r="G6" s="93"/>
      <c r="H6" s="64" t="str">
        <f>I22</f>
        <v xml:space="preserve">5 ਹੀਰਾ ਰਾਮ ਮੋਹਰੀ ਰਾਮ </v>
      </c>
      <c r="I6" s="18"/>
      <c r="J6" s="18"/>
      <c r="K6" s="18"/>
      <c r="L6" s="18"/>
      <c r="M6" s="18"/>
      <c r="N6" s="18"/>
      <c r="O6" s="55"/>
      <c r="P6" s="18">
        <v>5</v>
      </c>
      <c r="Q6" s="18">
        <v>1</v>
      </c>
      <c r="R6" s="18">
        <v>1</v>
      </c>
      <c r="S6" s="18">
        <v>1</v>
      </c>
      <c r="T6" s="18">
        <v>1</v>
      </c>
      <c r="U6" s="18">
        <v>1</v>
      </c>
      <c r="V6" s="18">
        <v>1</v>
      </c>
      <c r="W6" s="18">
        <v>5</v>
      </c>
      <c r="X6" s="18">
        <v>1</v>
      </c>
      <c r="Y6" s="18">
        <v>1</v>
      </c>
      <c r="Z6" s="18">
        <v>1</v>
      </c>
      <c r="AA6" s="18">
        <v>1</v>
      </c>
      <c r="AB6" s="18">
        <v>1</v>
      </c>
      <c r="AC6" s="18">
        <v>1</v>
      </c>
      <c r="AD6" s="29"/>
      <c r="AE6" s="33">
        <f t="shared" si="1"/>
        <v>5</v>
      </c>
      <c r="AF6" s="33">
        <f t="shared" si="1"/>
        <v>1</v>
      </c>
      <c r="AG6" s="33">
        <f t="shared" si="1"/>
        <v>1</v>
      </c>
      <c r="AH6" s="33">
        <f t="shared" si="1"/>
        <v>1</v>
      </c>
      <c r="AI6" s="33">
        <f t="shared" si="1"/>
        <v>1</v>
      </c>
      <c r="AJ6" s="33">
        <f t="shared" si="1"/>
        <v>1</v>
      </c>
      <c r="AL6" s="40">
        <v>5</v>
      </c>
      <c r="AM6" s="40">
        <v>1</v>
      </c>
      <c r="AN6" s="18">
        <v>1</v>
      </c>
      <c r="AO6" s="18">
        <v>1</v>
      </c>
      <c r="AP6" s="18">
        <v>1</v>
      </c>
      <c r="AQ6" s="18">
        <v>1</v>
      </c>
      <c r="AR6" s="18">
        <v>1</v>
      </c>
      <c r="AS6" s="18">
        <v>5</v>
      </c>
      <c r="AT6" s="18">
        <v>1</v>
      </c>
      <c r="AU6" s="18">
        <v>1</v>
      </c>
      <c r="AV6" s="18">
        <v>1</v>
      </c>
      <c r="AW6" s="18">
        <v>1</v>
      </c>
      <c r="AX6" s="18">
        <v>1</v>
      </c>
      <c r="AY6" s="18">
        <v>1</v>
      </c>
      <c r="AZ6" s="18">
        <v>5</v>
      </c>
      <c r="BA6" s="18">
        <v>1</v>
      </c>
      <c r="BB6" s="18">
        <v>1</v>
      </c>
      <c r="BC6" s="18">
        <v>1</v>
      </c>
      <c r="BD6" s="18">
        <v>1</v>
      </c>
      <c r="BE6" s="18">
        <v>1</v>
      </c>
      <c r="BF6" s="204">
        <v>1</v>
      </c>
    </row>
    <row r="7" spans="1:58" ht="14.25" hidden="1" customHeight="1">
      <c r="A7" s="35"/>
      <c r="B7" s="35"/>
      <c r="C7" s="35"/>
      <c r="D7" s="35"/>
      <c r="E7" s="35"/>
      <c r="F7" s="35"/>
      <c r="G7" s="94"/>
      <c r="H7" s="65" t="str">
        <f>I27</f>
        <v>6 ਮੁਨਸੀ ਰਾਮ ਝਾਂਗੀ ਰਾਮ</v>
      </c>
      <c r="I7" s="17" t="s">
        <v>666</v>
      </c>
      <c r="J7" s="18">
        <v>1</v>
      </c>
      <c r="K7" s="18">
        <v>1</v>
      </c>
      <c r="L7" s="18">
        <v>1</v>
      </c>
      <c r="M7" s="18">
        <v>1</v>
      </c>
      <c r="N7" s="18">
        <v>1</v>
      </c>
      <c r="O7" s="55" t="s">
        <v>1199</v>
      </c>
      <c r="P7" s="17" t="s">
        <v>676</v>
      </c>
      <c r="Q7" s="18" t="s">
        <v>143</v>
      </c>
      <c r="R7" s="18" t="s">
        <v>140</v>
      </c>
      <c r="S7" s="18">
        <v>1</v>
      </c>
      <c r="T7" s="18">
        <v>1</v>
      </c>
      <c r="U7" s="18">
        <v>1</v>
      </c>
      <c r="V7" s="55" t="s">
        <v>1209</v>
      </c>
      <c r="W7" s="17" t="s">
        <v>677</v>
      </c>
      <c r="X7" s="18" t="s">
        <v>358</v>
      </c>
      <c r="Y7" s="18" t="s">
        <v>678</v>
      </c>
      <c r="Z7" s="18">
        <v>1</v>
      </c>
      <c r="AA7" s="18">
        <v>1</v>
      </c>
      <c r="AB7" s="18">
        <v>1</v>
      </c>
      <c r="AC7" s="55" t="s">
        <v>1230</v>
      </c>
      <c r="AD7" s="29"/>
      <c r="AE7" s="35"/>
      <c r="AF7" s="35"/>
      <c r="AG7" s="35"/>
      <c r="AH7" s="35"/>
      <c r="AI7" s="35"/>
      <c r="AJ7" s="35"/>
      <c r="AL7" s="17" t="s">
        <v>679</v>
      </c>
      <c r="AM7" s="18" t="s">
        <v>167</v>
      </c>
      <c r="AN7" s="18" t="s">
        <v>348</v>
      </c>
      <c r="AO7" s="18">
        <v>1</v>
      </c>
      <c r="AP7" s="18">
        <v>1</v>
      </c>
      <c r="AQ7" s="18">
        <v>1</v>
      </c>
      <c r="AR7" s="55" t="s">
        <v>1220</v>
      </c>
      <c r="AS7" s="118" t="s">
        <v>1444</v>
      </c>
      <c r="AT7" s="120">
        <v>1</v>
      </c>
      <c r="AU7" s="120">
        <v>1</v>
      </c>
      <c r="AV7" s="18">
        <v>1</v>
      </c>
      <c r="AW7" s="18">
        <v>1</v>
      </c>
      <c r="AX7" s="18">
        <v>1</v>
      </c>
      <c r="AY7" s="55">
        <v>25</v>
      </c>
      <c r="AZ7" s="17" t="s">
        <v>85</v>
      </c>
      <c r="BA7" s="18">
        <v>1</v>
      </c>
      <c r="BB7" s="18">
        <v>1</v>
      </c>
      <c r="BC7" s="18">
        <v>1</v>
      </c>
      <c r="BD7" s="18">
        <v>1</v>
      </c>
      <c r="BE7" s="18">
        <v>1</v>
      </c>
      <c r="BF7" s="204">
        <v>1</v>
      </c>
    </row>
    <row r="8" spans="1:58" ht="14.25" hidden="1" customHeight="1">
      <c r="A8" s="35"/>
      <c r="B8" s="35"/>
      <c r="C8" s="35"/>
      <c r="D8" s="35"/>
      <c r="E8" s="35"/>
      <c r="F8" s="35"/>
      <c r="G8" s="35"/>
      <c r="H8" s="65" t="str">
        <f>I32</f>
        <v>7 ਤਾਰਾ ਚੰਦ ਮੁਨਸੀ ਰਾਮ</v>
      </c>
      <c r="I8" s="18" t="s">
        <v>177</v>
      </c>
      <c r="J8" s="18" t="s">
        <v>682</v>
      </c>
      <c r="K8" s="120" t="s">
        <v>93</v>
      </c>
      <c r="L8" s="120" t="s">
        <v>143</v>
      </c>
      <c r="M8" s="18">
        <v>1</v>
      </c>
      <c r="N8" s="18">
        <v>1</v>
      </c>
      <c r="O8" s="55"/>
      <c r="P8" s="18" t="s">
        <v>1316</v>
      </c>
      <c r="Q8" s="18">
        <v>1</v>
      </c>
      <c r="R8" s="18">
        <v>1</v>
      </c>
      <c r="S8" s="18">
        <v>1</v>
      </c>
      <c r="T8" s="18">
        <v>1</v>
      </c>
      <c r="U8" s="18">
        <v>1</v>
      </c>
      <c r="V8" s="18">
        <v>1</v>
      </c>
      <c r="W8" s="18" t="s">
        <v>401</v>
      </c>
      <c r="X8" s="18" t="s">
        <v>75</v>
      </c>
      <c r="Y8" s="18" t="s">
        <v>683</v>
      </c>
      <c r="Z8" s="18">
        <v>1</v>
      </c>
      <c r="AA8" s="18">
        <v>1</v>
      </c>
      <c r="AB8" s="18">
        <v>1</v>
      </c>
      <c r="AC8" s="18">
        <v>1</v>
      </c>
      <c r="AD8" s="29"/>
      <c r="AE8" s="35"/>
      <c r="AF8" s="35"/>
      <c r="AG8" s="35"/>
      <c r="AH8" s="35"/>
      <c r="AI8" s="35"/>
      <c r="AJ8" s="35"/>
      <c r="AL8" s="18" t="s">
        <v>229</v>
      </c>
      <c r="AM8" s="18" t="s">
        <v>555</v>
      </c>
      <c r="AN8" s="18" t="s">
        <v>684</v>
      </c>
      <c r="AO8" s="18" t="s">
        <v>685</v>
      </c>
      <c r="AP8" s="18">
        <v>1</v>
      </c>
      <c r="AQ8" s="18">
        <v>1</v>
      </c>
      <c r="AR8" s="18">
        <v>1</v>
      </c>
      <c r="AS8" s="120">
        <v>7</v>
      </c>
      <c r="AT8" s="120">
        <v>1</v>
      </c>
      <c r="AU8" s="18">
        <v>1</v>
      </c>
      <c r="AV8" s="18">
        <v>1</v>
      </c>
      <c r="AW8" s="18">
        <v>1</v>
      </c>
      <c r="AX8" s="18">
        <v>1</v>
      </c>
      <c r="AY8" s="18">
        <v>1</v>
      </c>
      <c r="AZ8" s="18">
        <v>7</v>
      </c>
      <c r="BA8" s="18">
        <v>1</v>
      </c>
      <c r="BB8" s="18">
        <v>1</v>
      </c>
      <c r="BC8" s="18">
        <v>1</v>
      </c>
      <c r="BD8" s="18">
        <v>1</v>
      </c>
      <c r="BE8" s="18">
        <v>1</v>
      </c>
      <c r="BF8" s="204">
        <v>1</v>
      </c>
    </row>
    <row r="9" spans="1:58" ht="14.25" hidden="1" customHeight="1">
      <c r="A9" s="35"/>
      <c r="B9" s="35"/>
      <c r="C9" s="35"/>
      <c r="D9" s="35"/>
      <c r="E9" s="35"/>
      <c r="F9" s="35"/>
      <c r="G9" s="35"/>
      <c r="H9" s="65" t="str">
        <f>I37</f>
        <v>8 ਪੂਰਨ ਪ੍ਰਕਾਸ਼ ਝਾਂਗੀ ਰਾਮ</v>
      </c>
      <c r="I9" s="18" t="s">
        <v>192</v>
      </c>
      <c r="J9" s="18" t="s">
        <v>687</v>
      </c>
      <c r="K9" s="18" t="s">
        <v>212</v>
      </c>
      <c r="L9" s="18" t="s">
        <v>688</v>
      </c>
      <c r="M9" s="18" t="s">
        <v>689</v>
      </c>
      <c r="N9" s="18">
        <v>1</v>
      </c>
      <c r="O9" s="55"/>
      <c r="P9" s="18">
        <v>8</v>
      </c>
      <c r="Q9" s="18">
        <v>1</v>
      </c>
      <c r="R9" s="18">
        <v>1</v>
      </c>
      <c r="S9" s="18">
        <v>1</v>
      </c>
      <c r="T9" s="18">
        <v>1</v>
      </c>
      <c r="U9" s="18">
        <v>1</v>
      </c>
      <c r="V9" s="18">
        <v>1</v>
      </c>
      <c r="W9" s="18">
        <v>8</v>
      </c>
      <c r="X9" s="18">
        <v>1</v>
      </c>
      <c r="Y9" s="18">
        <v>1</v>
      </c>
      <c r="Z9" s="18">
        <v>1</v>
      </c>
      <c r="AA9" s="18">
        <v>1</v>
      </c>
      <c r="AB9" s="18">
        <v>1</v>
      </c>
      <c r="AC9" s="18">
        <v>1</v>
      </c>
      <c r="AD9" s="29"/>
      <c r="AE9" s="35"/>
      <c r="AF9" s="35"/>
      <c r="AG9" s="35"/>
      <c r="AH9" s="35"/>
      <c r="AI9" s="35"/>
      <c r="AJ9" s="35"/>
      <c r="AL9" s="18" t="s">
        <v>544</v>
      </c>
      <c r="AM9" s="18" t="s">
        <v>164</v>
      </c>
      <c r="AN9" s="18" t="s">
        <v>226</v>
      </c>
      <c r="AO9" s="18" t="s">
        <v>116</v>
      </c>
      <c r="AP9" s="18">
        <v>1</v>
      </c>
      <c r="AQ9" s="18">
        <v>1</v>
      </c>
      <c r="AR9" s="18">
        <v>1</v>
      </c>
      <c r="AS9" s="120">
        <v>8</v>
      </c>
      <c r="AT9" s="120">
        <v>1</v>
      </c>
      <c r="AU9" s="18">
        <v>1</v>
      </c>
      <c r="AV9" s="18">
        <v>1</v>
      </c>
      <c r="AW9" s="18">
        <v>1</v>
      </c>
      <c r="AX9" s="18">
        <v>1</v>
      </c>
      <c r="AY9" s="18">
        <v>1</v>
      </c>
      <c r="AZ9" s="18">
        <v>8</v>
      </c>
      <c r="BA9" s="18">
        <v>1</v>
      </c>
      <c r="BB9" s="18">
        <v>1</v>
      </c>
      <c r="BC9" s="18">
        <v>1</v>
      </c>
      <c r="BD9" s="18">
        <v>1</v>
      </c>
      <c r="BE9" s="18">
        <v>1</v>
      </c>
      <c r="BF9" s="204">
        <v>1</v>
      </c>
    </row>
    <row r="10" spans="1:58" ht="14.25" customHeight="1">
      <c r="A10" s="35"/>
      <c r="B10" s="35"/>
      <c r="C10" s="35"/>
      <c r="D10" s="35"/>
      <c r="E10" s="35"/>
      <c r="F10" s="35"/>
      <c r="G10" s="94"/>
      <c r="H10" s="66" t="str">
        <f>I42</f>
        <v>9 ਦੇਸ ਰਾਜ ਘਮੰਡੀ ਰਾਮ</v>
      </c>
      <c r="I10" s="18" t="s">
        <v>60</v>
      </c>
      <c r="J10" s="18" t="s">
        <v>691</v>
      </c>
      <c r="K10" s="18" t="s">
        <v>692</v>
      </c>
      <c r="L10" s="18">
        <v>1</v>
      </c>
      <c r="M10" s="18">
        <v>1</v>
      </c>
      <c r="N10" s="18">
        <v>1</v>
      </c>
      <c r="O10" s="55"/>
      <c r="P10" s="18">
        <v>9</v>
      </c>
      <c r="Q10" s="18">
        <v>1</v>
      </c>
      <c r="R10" s="18">
        <v>1</v>
      </c>
      <c r="S10" s="18">
        <v>1</v>
      </c>
      <c r="T10" s="18">
        <v>1</v>
      </c>
      <c r="U10" s="18">
        <v>1</v>
      </c>
      <c r="V10" s="18">
        <v>1</v>
      </c>
      <c r="W10" s="242" t="s">
        <v>1421</v>
      </c>
      <c r="X10" s="18" t="s">
        <v>167</v>
      </c>
      <c r="Y10" s="18">
        <v>1</v>
      </c>
      <c r="Z10" s="18">
        <v>1</v>
      </c>
      <c r="AA10" s="18">
        <v>1</v>
      </c>
      <c r="AB10" s="18">
        <v>1</v>
      </c>
      <c r="AC10" s="18">
        <v>1</v>
      </c>
      <c r="AD10" s="29"/>
      <c r="AE10" s="35"/>
      <c r="AF10" s="35"/>
      <c r="AG10" s="35"/>
      <c r="AH10" s="35"/>
      <c r="AI10" s="35"/>
      <c r="AJ10" s="35"/>
      <c r="AL10" s="18" t="s">
        <v>112</v>
      </c>
      <c r="AM10" s="18" t="s">
        <v>163</v>
      </c>
      <c r="AN10" s="18">
        <v>1</v>
      </c>
      <c r="AO10" s="18">
        <v>1</v>
      </c>
      <c r="AP10" s="18">
        <v>1</v>
      </c>
      <c r="AQ10" s="18">
        <v>1</v>
      </c>
      <c r="AR10" s="18">
        <v>1</v>
      </c>
      <c r="AS10" s="18">
        <v>9</v>
      </c>
      <c r="AT10" s="18">
        <v>1</v>
      </c>
      <c r="AU10" s="18">
        <v>1</v>
      </c>
      <c r="AV10" s="18">
        <v>1</v>
      </c>
      <c r="AW10" s="18">
        <v>1</v>
      </c>
      <c r="AX10" s="18">
        <v>1</v>
      </c>
      <c r="AY10" s="18">
        <v>1</v>
      </c>
      <c r="AZ10" s="18">
        <v>9</v>
      </c>
      <c r="BA10" s="18">
        <v>1</v>
      </c>
      <c r="BB10" s="18">
        <v>1</v>
      </c>
      <c r="BC10" s="18">
        <v>1</v>
      </c>
      <c r="BD10" s="18">
        <v>1</v>
      </c>
      <c r="BE10" s="18">
        <v>1</v>
      </c>
      <c r="BF10" s="204">
        <v>1</v>
      </c>
    </row>
    <row r="11" spans="1:58" ht="14.25" customHeight="1">
      <c r="A11" s="38" t="s">
        <v>13</v>
      </c>
      <c r="B11" s="38" t="s">
        <v>14</v>
      </c>
      <c r="C11" s="38" t="s">
        <v>15</v>
      </c>
      <c r="D11" s="38" t="s">
        <v>16</v>
      </c>
      <c r="E11" s="38" t="s">
        <v>17</v>
      </c>
      <c r="F11" s="38" t="s">
        <v>18</v>
      </c>
      <c r="G11" s="96"/>
      <c r="H11" s="66" t="str">
        <f>I47</f>
        <v>10 ਅਸੋਕ ਕੁਮਾਰ ਘਮੰਡੀ ਰਾਮ ਦਾ</v>
      </c>
      <c r="I11" s="18"/>
      <c r="J11" s="18"/>
      <c r="K11" s="18"/>
      <c r="L11" s="18"/>
      <c r="M11" s="18"/>
      <c r="N11" s="18"/>
      <c r="O11" s="55"/>
      <c r="P11" s="18">
        <v>10</v>
      </c>
      <c r="Q11" s="18">
        <v>1</v>
      </c>
      <c r="R11" s="18">
        <v>1</v>
      </c>
      <c r="S11" s="18">
        <v>1</v>
      </c>
      <c r="T11" s="18">
        <v>1</v>
      </c>
      <c r="U11" s="18">
        <v>1</v>
      </c>
      <c r="V11" s="18">
        <v>1</v>
      </c>
      <c r="W11" s="18">
        <v>10</v>
      </c>
      <c r="X11" s="18">
        <v>1</v>
      </c>
      <c r="Y11" s="18">
        <v>1</v>
      </c>
      <c r="Z11" s="18">
        <v>1</v>
      </c>
      <c r="AA11" s="18">
        <v>1</v>
      </c>
      <c r="AB11" s="18">
        <v>1</v>
      </c>
      <c r="AC11" s="18">
        <v>1</v>
      </c>
      <c r="AD11" s="29"/>
      <c r="AE11" s="38" t="s">
        <v>13</v>
      </c>
      <c r="AF11" s="38" t="s">
        <v>14</v>
      </c>
      <c r="AG11" s="38" t="s">
        <v>15</v>
      </c>
      <c r="AH11" s="38" t="s">
        <v>16</v>
      </c>
      <c r="AI11" s="38" t="s">
        <v>17</v>
      </c>
      <c r="AJ11" s="38" t="s">
        <v>18</v>
      </c>
      <c r="AL11" s="18" t="s">
        <v>694</v>
      </c>
      <c r="AM11" s="18" t="s">
        <v>347</v>
      </c>
      <c r="AN11" s="18">
        <v>1</v>
      </c>
      <c r="AO11" s="18">
        <v>1</v>
      </c>
      <c r="AP11" s="18">
        <v>1</v>
      </c>
      <c r="AQ11" s="18">
        <v>1</v>
      </c>
      <c r="AR11" s="18">
        <v>1</v>
      </c>
      <c r="AS11" s="18">
        <v>10</v>
      </c>
      <c r="AT11" s="18">
        <v>1</v>
      </c>
      <c r="AU11" s="18">
        <v>1</v>
      </c>
      <c r="AV11" s="18">
        <v>1</v>
      </c>
      <c r="AW11" s="18">
        <v>1</v>
      </c>
      <c r="AX11" s="18">
        <v>1</v>
      </c>
      <c r="AY11" s="18">
        <v>1</v>
      </c>
      <c r="AZ11" s="18">
        <v>10</v>
      </c>
      <c r="BA11" s="18">
        <v>1</v>
      </c>
      <c r="BB11" s="18">
        <v>1</v>
      </c>
      <c r="BC11" s="18">
        <v>1</v>
      </c>
      <c r="BD11" s="18">
        <v>1</v>
      </c>
      <c r="BE11" s="18">
        <v>1</v>
      </c>
      <c r="BF11" s="204">
        <v>1</v>
      </c>
    </row>
    <row r="12" spans="1:58" ht="14.25" customHeight="1">
      <c r="A12" s="39" t="str">
        <f t="shared" ref="A12:F16" si="3">IF(A2&lt;100,"",A2)</f>
        <v>40 ਟਾਹਲਾ ਰਾਮ ਨੱਢਾ</v>
      </c>
      <c r="B12" s="39" t="str">
        <f t="shared" si="3"/>
        <v/>
      </c>
      <c r="C12" s="39" t="str">
        <f t="shared" si="3"/>
        <v/>
      </c>
      <c r="D12" s="39" t="str">
        <f t="shared" si="3"/>
        <v/>
      </c>
      <c r="E12" s="39" t="str">
        <f t="shared" si="3"/>
        <v/>
      </c>
      <c r="F12" s="39" t="str">
        <f t="shared" si="3"/>
        <v/>
      </c>
      <c r="G12" s="96"/>
      <c r="H12" s="67" t="str">
        <f>P2</f>
        <v>11 ਸਤਨਾਮ ਚੰਦ ਲਛਮਣ ਰਾਮ</v>
      </c>
      <c r="I12" s="17" t="s">
        <v>1305</v>
      </c>
      <c r="J12" s="18" t="s">
        <v>670</v>
      </c>
      <c r="K12" s="120" t="s">
        <v>175</v>
      </c>
      <c r="L12" s="18">
        <v>1</v>
      </c>
      <c r="M12" s="18">
        <v>1</v>
      </c>
      <c r="N12" s="18">
        <v>1</v>
      </c>
      <c r="O12" s="55" t="s">
        <v>1200</v>
      </c>
      <c r="P12" s="17" t="s">
        <v>695</v>
      </c>
      <c r="Q12" s="18" t="s">
        <v>163</v>
      </c>
      <c r="R12" s="18" t="s">
        <v>178</v>
      </c>
      <c r="S12" s="18">
        <v>1</v>
      </c>
      <c r="T12" s="18">
        <v>1</v>
      </c>
      <c r="U12" s="18">
        <v>1</v>
      </c>
      <c r="V12" s="55" t="s">
        <v>1208</v>
      </c>
      <c r="W12" s="118" t="s">
        <v>1443</v>
      </c>
      <c r="X12" s="120" t="s">
        <v>150</v>
      </c>
      <c r="Y12" s="120" t="s">
        <v>1379</v>
      </c>
      <c r="Z12" s="18">
        <v>1</v>
      </c>
      <c r="AA12" s="18">
        <v>1</v>
      </c>
      <c r="AB12" s="18">
        <v>1</v>
      </c>
      <c r="AC12" s="55" t="s">
        <v>1229</v>
      </c>
      <c r="AD12" s="29"/>
      <c r="AE12" s="39" t="str">
        <f t="shared" ref="AE12:AJ16" si="4">IF(AE2&lt;100,"",AE2)</f>
        <v>31 ਕਸ਼ਮੀਰ ਲਾਲ ਅਤੇ ਪਰਮਾ ਨੰਦ</v>
      </c>
      <c r="AF12" s="39" t="str">
        <f t="shared" si="4"/>
        <v/>
      </c>
      <c r="AG12" s="39" t="str">
        <f t="shared" si="4"/>
        <v/>
      </c>
      <c r="AH12" s="39" t="str">
        <f t="shared" si="4"/>
        <v/>
      </c>
      <c r="AI12" s="39" t="str">
        <f t="shared" si="4"/>
        <v/>
      </c>
      <c r="AJ12" s="39" t="str">
        <f t="shared" si="4"/>
        <v/>
      </c>
      <c r="AL12" s="17" t="s">
        <v>696</v>
      </c>
      <c r="AM12" s="18" t="s">
        <v>272</v>
      </c>
      <c r="AN12" s="18" t="s">
        <v>697</v>
      </c>
      <c r="AO12" s="18">
        <v>1</v>
      </c>
      <c r="AP12" s="18">
        <v>1</v>
      </c>
      <c r="AQ12" s="18">
        <v>1</v>
      </c>
      <c r="AR12" s="55" t="s">
        <v>1221</v>
      </c>
      <c r="AS12" s="17" t="s">
        <v>698</v>
      </c>
      <c r="AT12" s="18">
        <v>1</v>
      </c>
      <c r="AU12" s="18">
        <v>1</v>
      </c>
      <c r="AV12" s="18">
        <v>1</v>
      </c>
      <c r="AW12" s="18">
        <v>1</v>
      </c>
      <c r="AX12" s="18">
        <v>1</v>
      </c>
      <c r="AY12" s="18">
        <v>1</v>
      </c>
      <c r="AZ12" s="17" t="s">
        <v>123</v>
      </c>
      <c r="BA12" s="18">
        <v>1</v>
      </c>
      <c r="BB12" s="18">
        <v>1</v>
      </c>
      <c r="BC12" s="18">
        <v>1</v>
      </c>
      <c r="BD12" s="18">
        <v>1</v>
      </c>
      <c r="BE12" s="18">
        <v>1</v>
      </c>
      <c r="BF12" s="204">
        <v>1</v>
      </c>
    </row>
    <row r="13" spans="1:58" ht="14.25" customHeight="1">
      <c r="A13" s="39" t="str">
        <f t="shared" si="3"/>
        <v>ਵੇਦ ਪ੍ਰਕਾਸ਼</v>
      </c>
      <c r="B13" s="39" t="str">
        <f t="shared" si="3"/>
        <v>ਨਰੈਣ ਬਾਈ</v>
      </c>
      <c r="C13" s="39" t="str">
        <f t="shared" si="3"/>
        <v>ਰੀਨੂ ਬਾਲਾ</v>
      </c>
      <c r="D13" s="39" t="str">
        <f t="shared" si="3"/>
        <v>ਸੰਜੀਵ ਕੁਮਾਰ</v>
      </c>
      <c r="E13" s="39" t="str">
        <f t="shared" si="3"/>
        <v/>
      </c>
      <c r="F13" s="39" t="str">
        <f t="shared" si="3"/>
        <v/>
      </c>
      <c r="G13" s="96"/>
      <c r="H13" s="67" t="str">
        <f>P7</f>
        <v>12 ਪਰਮਾ ਨੰਦ</v>
      </c>
      <c r="I13" s="18" t="s">
        <v>699</v>
      </c>
      <c r="J13" s="18" t="s">
        <v>90</v>
      </c>
      <c r="K13" s="18">
        <v>1</v>
      </c>
      <c r="L13" s="18">
        <v>1</v>
      </c>
      <c r="M13" s="18">
        <v>1</v>
      </c>
      <c r="N13" s="18">
        <v>1</v>
      </c>
      <c r="O13" s="55"/>
      <c r="P13" s="18">
        <v>12</v>
      </c>
      <c r="Q13" s="18">
        <v>1</v>
      </c>
      <c r="R13" s="18">
        <v>1</v>
      </c>
      <c r="S13" s="18">
        <v>1</v>
      </c>
      <c r="T13" s="18">
        <v>1</v>
      </c>
      <c r="U13" s="18">
        <v>1</v>
      </c>
      <c r="V13" s="18">
        <v>1</v>
      </c>
      <c r="W13" s="120" t="s">
        <v>580</v>
      </c>
      <c r="X13" s="120" t="s">
        <v>837</v>
      </c>
      <c r="Y13" s="18">
        <v>1</v>
      </c>
      <c r="Z13" s="18">
        <v>1</v>
      </c>
      <c r="AA13" s="18">
        <v>1</v>
      </c>
      <c r="AB13" s="18">
        <v>1</v>
      </c>
      <c r="AC13" s="18">
        <v>1</v>
      </c>
      <c r="AD13" s="29"/>
      <c r="AE13" s="39" t="str">
        <f t="shared" si="4"/>
        <v xml:space="preserve">ਕਸ਼ਮੀਰ ਲਾਲ </v>
      </c>
      <c r="AF13" s="39" t="str">
        <f t="shared" si="4"/>
        <v/>
      </c>
      <c r="AG13" s="39" t="str">
        <f t="shared" si="4"/>
        <v>ਬੀਰਬਲ</v>
      </c>
      <c r="AH13" s="39" t="str">
        <f t="shared" si="4"/>
        <v/>
      </c>
      <c r="AI13" s="39" t="str">
        <f t="shared" si="4"/>
        <v/>
      </c>
      <c r="AJ13" s="39" t="str">
        <f t="shared" si="4"/>
        <v/>
      </c>
      <c r="AL13" s="18" t="s">
        <v>184</v>
      </c>
      <c r="AM13" s="18">
        <v>1</v>
      </c>
      <c r="AN13" s="18">
        <v>1</v>
      </c>
      <c r="AO13" s="18">
        <v>1</v>
      </c>
      <c r="AP13" s="18">
        <v>1</v>
      </c>
      <c r="AQ13" s="18">
        <v>1</v>
      </c>
      <c r="AR13" s="18">
        <v>1</v>
      </c>
      <c r="AS13" s="18">
        <v>12</v>
      </c>
      <c r="AT13" s="18">
        <v>1</v>
      </c>
      <c r="AU13" s="18">
        <v>1</v>
      </c>
      <c r="AV13" s="18">
        <v>1</v>
      </c>
      <c r="AW13" s="18">
        <v>1</v>
      </c>
      <c r="AX13" s="18">
        <v>1</v>
      </c>
      <c r="AY13" s="18">
        <v>1</v>
      </c>
      <c r="AZ13" s="18">
        <v>12</v>
      </c>
      <c r="BA13" s="18">
        <v>1</v>
      </c>
      <c r="BB13" s="18">
        <v>1</v>
      </c>
      <c r="BC13" s="18">
        <v>1</v>
      </c>
      <c r="BD13" s="18">
        <v>1</v>
      </c>
      <c r="BE13" s="18">
        <v>1</v>
      </c>
      <c r="BF13" s="204">
        <v>1</v>
      </c>
    </row>
    <row r="14" spans="1:58" ht="14.25" customHeight="1">
      <c r="A14" s="39" t="str">
        <f t="shared" si="3"/>
        <v>ਸੁਰਿੰਦਰ ਕੁਮਾਰ</v>
      </c>
      <c r="B14" s="39" t="str">
        <f t="shared" si="3"/>
        <v/>
      </c>
      <c r="C14" s="39" t="str">
        <f t="shared" si="3"/>
        <v/>
      </c>
      <c r="D14" s="39" t="str">
        <f t="shared" si="3"/>
        <v/>
      </c>
      <c r="E14" s="39" t="str">
        <f t="shared" si="3"/>
        <v/>
      </c>
      <c r="F14" s="39" t="str">
        <f t="shared" si="3"/>
        <v/>
      </c>
      <c r="G14" s="96"/>
      <c r="H14" s="67" t="str">
        <f>P12</f>
        <v>13 ਰਾਜ ਕੁਮਾਰ</v>
      </c>
      <c r="I14" s="18" t="s">
        <v>700</v>
      </c>
      <c r="J14" s="18" t="s">
        <v>222</v>
      </c>
      <c r="K14" s="18">
        <v>1</v>
      </c>
      <c r="L14" s="18">
        <v>1</v>
      </c>
      <c r="M14" s="18">
        <v>1</v>
      </c>
      <c r="N14" s="18">
        <v>1</v>
      </c>
      <c r="O14" s="55"/>
      <c r="P14" s="18">
        <v>13</v>
      </c>
      <c r="Q14" s="18">
        <v>1</v>
      </c>
      <c r="R14" s="18">
        <v>1</v>
      </c>
      <c r="S14" s="18">
        <v>1</v>
      </c>
      <c r="T14" s="18">
        <v>1</v>
      </c>
      <c r="U14" s="18">
        <v>1</v>
      </c>
      <c r="V14" s="18">
        <v>1</v>
      </c>
      <c r="W14" s="120" t="s">
        <v>523</v>
      </c>
      <c r="X14" s="120" t="s">
        <v>175</v>
      </c>
      <c r="Y14" s="18">
        <v>1</v>
      </c>
      <c r="Z14" s="18">
        <v>1</v>
      </c>
      <c r="AA14" s="18">
        <v>1</v>
      </c>
      <c r="AB14" s="18">
        <v>1</v>
      </c>
      <c r="AC14" s="18">
        <v>1</v>
      </c>
      <c r="AD14" s="29"/>
      <c r="AE14" s="39" t="str">
        <f t="shared" si="4"/>
        <v/>
      </c>
      <c r="AF14" s="39" t="str">
        <f t="shared" si="4"/>
        <v/>
      </c>
      <c r="AG14" s="39" t="str">
        <f t="shared" si="4"/>
        <v/>
      </c>
      <c r="AH14" s="39" t="str">
        <f t="shared" si="4"/>
        <v/>
      </c>
      <c r="AI14" s="39" t="str">
        <f t="shared" si="4"/>
        <v/>
      </c>
      <c r="AJ14" s="39" t="str">
        <f t="shared" si="4"/>
        <v/>
      </c>
      <c r="AL14" s="18">
        <v>13</v>
      </c>
      <c r="AM14" s="18">
        <v>1</v>
      </c>
      <c r="AN14" s="18">
        <v>1</v>
      </c>
      <c r="AO14" s="18">
        <v>1</v>
      </c>
      <c r="AP14" s="18">
        <v>1</v>
      </c>
      <c r="AQ14" s="18">
        <v>1</v>
      </c>
      <c r="AR14" s="18">
        <v>1</v>
      </c>
      <c r="AS14" s="18">
        <v>13</v>
      </c>
      <c r="AT14" s="18">
        <v>1</v>
      </c>
      <c r="AU14" s="18">
        <v>1</v>
      </c>
      <c r="AV14" s="18">
        <v>1</v>
      </c>
      <c r="AW14" s="18">
        <v>1</v>
      </c>
      <c r="AX14" s="18">
        <v>1</v>
      </c>
      <c r="AY14" s="18">
        <v>1</v>
      </c>
      <c r="AZ14" s="18">
        <v>13</v>
      </c>
      <c r="BA14" s="18">
        <v>1</v>
      </c>
      <c r="BB14" s="18">
        <v>1</v>
      </c>
      <c r="BC14" s="18">
        <v>1</v>
      </c>
      <c r="BD14" s="18">
        <v>1</v>
      </c>
      <c r="BE14" s="18">
        <v>1</v>
      </c>
      <c r="BF14" s="204">
        <v>1</v>
      </c>
    </row>
    <row r="15" spans="1:58" ht="14.25" customHeight="1">
      <c r="A15" s="39" t="str">
        <f t="shared" si="3"/>
        <v>ਬਲਦੇਵ ਰਾਜ</v>
      </c>
      <c r="B15" s="39" t="str">
        <f t="shared" si="3"/>
        <v>ਕੁਸ਼ਲਿਆ ਰਾਣੀ</v>
      </c>
      <c r="C15" s="39" t="str">
        <f t="shared" si="3"/>
        <v>ਹੇਮ ਰਾਜ</v>
      </c>
      <c r="D15" s="39" t="str">
        <f t="shared" si="3"/>
        <v/>
      </c>
      <c r="E15" s="39" t="str">
        <f t="shared" si="3"/>
        <v/>
      </c>
      <c r="F15" s="39" t="str">
        <f t="shared" si="3"/>
        <v/>
      </c>
      <c r="G15" s="96"/>
      <c r="H15" s="68" t="str">
        <f>P17</f>
        <v>14 ਬਾਗ ਚੰਦ ਮੋਹਣਾ ਰਾਮ</v>
      </c>
      <c r="I15" s="18"/>
      <c r="J15" s="18"/>
      <c r="K15" s="18"/>
      <c r="L15" s="18"/>
      <c r="M15" s="18"/>
      <c r="N15" s="18"/>
      <c r="O15" s="55"/>
      <c r="P15" s="18">
        <v>14</v>
      </c>
      <c r="Q15" s="18">
        <v>1</v>
      </c>
      <c r="R15" s="18">
        <v>1</v>
      </c>
      <c r="S15" s="18">
        <v>1</v>
      </c>
      <c r="T15" s="18">
        <v>1</v>
      </c>
      <c r="U15" s="18">
        <v>1</v>
      </c>
      <c r="V15" s="18">
        <v>1</v>
      </c>
      <c r="W15" s="18">
        <v>9</v>
      </c>
      <c r="X15" s="18">
        <v>1</v>
      </c>
      <c r="Y15" s="18">
        <v>1</v>
      </c>
      <c r="Z15" s="18">
        <v>1</v>
      </c>
      <c r="AA15" s="18">
        <v>1</v>
      </c>
      <c r="AB15" s="18">
        <v>1</v>
      </c>
      <c r="AC15" s="18">
        <v>1</v>
      </c>
      <c r="AD15" s="29"/>
      <c r="AE15" s="39" t="str">
        <f t="shared" si="4"/>
        <v>ਪਰਮਾ ਨੰਦ</v>
      </c>
      <c r="AF15" s="39" t="str">
        <f t="shared" si="4"/>
        <v>ਕ੍ਰਿਸ਼ਨਾ ਬਾਈ</v>
      </c>
      <c r="AG15" s="39" t="str">
        <f t="shared" si="4"/>
        <v>ਸਾਲੂ</v>
      </c>
      <c r="AH15" s="39" t="str">
        <f t="shared" si="4"/>
        <v>ਸਾਜਨ</v>
      </c>
      <c r="AI15" s="39" t="str">
        <f t="shared" si="4"/>
        <v/>
      </c>
      <c r="AJ15" s="39" t="str">
        <f t="shared" si="4"/>
        <v/>
      </c>
      <c r="AL15" s="18">
        <v>14</v>
      </c>
      <c r="AM15" s="18">
        <v>1</v>
      </c>
      <c r="AN15" s="18">
        <v>1</v>
      </c>
      <c r="AO15" s="18">
        <v>1</v>
      </c>
      <c r="AP15" s="18">
        <v>1</v>
      </c>
      <c r="AQ15" s="18">
        <v>1</v>
      </c>
      <c r="AR15" s="18">
        <v>1</v>
      </c>
      <c r="AS15" s="18">
        <v>14</v>
      </c>
      <c r="AT15" s="18">
        <v>1</v>
      </c>
      <c r="AU15" s="18">
        <v>1</v>
      </c>
      <c r="AV15" s="18">
        <v>1</v>
      </c>
      <c r="AW15" s="18">
        <v>1</v>
      </c>
      <c r="AX15" s="18">
        <v>1</v>
      </c>
      <c r="AY15" s="18">
        <v>1</v>
      </c>
      <c r="AZ15" s="18">
        <v>14</v>
      </c>
      <c r="BA15" s="18">
        <v>1</v>
      </c>
      <c r="BB15" s="18">
        <v>1</v>
      </c>
      <c r="BC15" s="18">
        <v>1</v>
      </c>
      <c r="BD15" s="18">
        <v>1</v>
      </c>
      <c r="BE15" s="18">
        <v>1</v>
      </c>
      <c r="BF15" s="204">
        <v>1</v>
      </c>
    </row>
    <row r="16" spans="1:58" ht="14.25" customHeight="1">
      <c r="A16" s="39" t="str">
        <f t="shared" si="3"/>
        <v>ਸੁਖਦੇਵ ਰਾਜ</v>
      </c>
      <c r="B16" s="39" t="str">
        <f t="shared" si="3"/>
        <v>ਬਿਮਲਾ ਰਾਣੀ</v>
      </c>
      <c r="C16" s="39" t="str">
        <f t="shared" si="3"/>
        <v>ਅਲੀਸਾ ਰਾਣੀ</v>
      </c>
      <c r="D16" s="39" t="str">
        <f t="shared" si="3"/>
        <v/>
      </c>
      <c r="E16" s="39" t="str">
        <f t="shared" si="3"/>
        <v/>
      </c>
      <c r="F16" s="39" t="str">
        <f t="shared" si="3"/>
        <v/>
      </c>
      <c r="G16" s="96"/>
      <c r="H16" s="64" t="str">
        <f>P22</f>
        <v xml:space="preserve">15 ਰਾਂਝਾਂ ਰਾਮ </v>
      </c>
      <c r="I16" s="18"/>
      <c r="J16" s="18"/>
      <c r="K16" s="18"/>
      <c r="L16" s="18"/>
      <c r="M16" s="18"/>
      <c r="N16" s="18"/>
      <c r="O16" s="55"/>
      <c r="P16" s="18">
        <v>15</v>
      </c>
      <c r="Q16" s="18">
        <v>1</v>
      </c>
      <c r="R16" s="18">
        <v>1</v>
      </c>
      <c r="S16" s="18">
        <v>1</v>
      </c>
      <c r="T16" s="18">
        <v>1</v>
      </c>
      <c r="U16" s="18">
        <v>1</v>
      </c>
      <c r="V16" s="18">
        <v>1</v>
      </c>
      <c r="W16" s="18">
        <v>10</v>
      </c>
      <c r="X16" s="18">
        <v>1</v>
      </c>
      <c r="Y16" s="18">
        <v>1</v>
      </c>
      <c r="Z16" s="18">
        <v>1</v>
      </c>
      <c r="AA16" s="18">
        <v>1</v>
      </c>
      <c r="AB16" s="18">
        <v>1</v>
      </c>
      <c r="AC16" s="18">
        <v>1</v>
      </c>
      <c r="AD16" s="29"/>
      <c r="AE16" s="39" t="str">
        <f t="shared" si="4"/>
        <v/>
      </c>
      <c r="AF16" s="39" t="str">
        <f t="shared" si="4"/>
        <v/>
      </c>
      <c r="AG16" s="39" t="str">
        <f t="shared" si="4"/>
        <v/>
      </c>
      <c r="AH16" s="39" t="str">
        <f t="shared" si="4"/>
        <v/>
      </c>
      <c r="AI16" s="39" t="str">
        <f t="shared" si="4"/>
        <v/>
      </c>
      <c r="AJ16" s="39" t="str">
        <f t="shared" si="4"/>
        <v/>
      </c>
      <c r="AL16" s="18">
        <v>15</v>
      </c>
      <c r="AM16" s="18">
        <v>1</v>
      </c>
      <c r="AN16" s="18">
        <v>1</v>
      </c>
      <c r="AO16" s="18">
        <v>1</v>
      </c>
      <c r="AP16" s="18">
        <v>1</v>
      </c>
      <c r="AQ16" s="18">
        <v>1</v>
      </c>
      <c r="AR16" s="18">
        <v>1</v>
      </c>
      <c r="AS16" s="18">
        <v>15</v>
      </c>
      <c r="AT16" s="18">
        <v>1</v>
      </c>
      <c r="AU16" s="18">
        <v>1</v>
      </c>
      <c r="AV16" s="18">
        <v>1</v>
      </c>
      <c r="AW16" s="18">
        <v>1</v>
      </c>
      <c r="AX16" s="18">
        <v>1</v>
      </c>
      <c r="AY16" s="18">
        <v>1</v>
      </c>
      <c r="AZ16" s="18">
        <v>15</v>
      </c>
      <c r="BA16" s="18">
        <v>1</v>
      </c>
      <c r="BB16" s="18">
        <v>1</v>
      </c>
      <c r="BC16" s="18">
        <v>1</v>
      </c>
      <c r="BD16" s="18">
        <v>1</v>
      </c>
      <c r="BE16" s="18">
        <v>1</v>
      </c>
      <c r="BF16" s="204">
        <v>1</v>
      </c>
    </row>
    <row r="17" spans="1:58" ht="14.25" customHeight="1">
      <c r="A17" s="35"/>
      <c r="B17" s="35"/>
      <c r="C17" s="35"/>
      <c r="D17" s="35"/>
      <c r="E17" s="35"/>
      <c r="F17" s="35"/>
      <c r="G17" s="94"/>
      <c r="H17" s="69" t="str">
        <f>P27</f>
        <v xml:space="preserve">16 ਹਰਬੰਸ ਲਾਲ ਹਰਭਜਨ ਲਾਲ </v>
      </c>
      <c r="I17" s="17" t="s">
        <v>1306</v>
      </c>
      <c r="J17" s="18">
        <v>1</v>
      </c>
      <c r="K17" s="18">
        <v>1</v>
      </c>
      <c r="L17" s="18">
        <v>1</v>
      </c>
      <c r="M17" s="18">
        <v>1</v>
      </c>
      <c r="N17" s="18">
        <v>1</v>
      </c>
      <c r="O17" s="55" t="s">
        <v>1201</v>
      </c>
      <c r="P17" s="17" t="s">
        <v>701</v>
      </c>
      <c r="Q17" s="18" t="s">
        <v>702</v>
      </c>
      <c r="R17" s="18" t="s">
        <v>272</v>
      </c>
      <c r="S17" s="18" t="s">
        <v>174</v>
      </c>
      <c r="T17" s="18">
        <v>1</v>
      </c>
      <c r="U17" s="18">
        <v>1</v>
      </c>
      <c r="V17" s="114" t="s">
        <v>1210</v>
      </c>
      <c r="W17" s="17" t="s">
        <v>703</v>
      </c>
      <c r="X17" s="18" t="s">
        <v>129</v>
      </c>
      <c r="Y17" s="18" t="s">
        <v>704</v>
      </c>
      <c r="Z17" s="18">
        <v>1</v>
      </c>
      <c r="AA17" s="18">
        <v>1</v>
      </c>
      <c r="AB17" s="18">
        <v>1</v>
      </c>
      <c r="AC17" s="114" t="s">
        <v>1422</v>
      </c>
      <c r="AD17" s="29"/>
      <c r="AE17" s="35"/>
      <c r="AF17" s="35"/>
      <c r="AG17" s="35"/>
      <c r="AH17" s="35"/>
      <c r="AI17" s="35"/>
      <c r="AJ17" s="35"/>
      <c r="AL17" s="17" t="s">
        <v>705</v>
      </c>
      <c r="AM17" s="18" t="s">
        <v>706</v>
      </c>
      <c r="AN17" s="18">
        <v>1</v>
      </c>
      <c r="AO17" s="18">
        <v>1</v>
      </c>
      <c r="AP17" s="18">
        <v>1</v>
      </c>
      <c r="AQ17" s="18">
        <v>1</v>
      </c>
      <c r="AR17" s="55" t="s">
        <v>1441</v>
      </c>
      <c r="AS17" s="17" t="s">
        <v>707</v>
      </c>
      <c r="AT17" s="18">
        <v>1</v>
      </c>
      <c r="AU17" s="18">
        <v>1</v>
      </c>
      <c r="AV17" s="18">
        <v>1</v>
      </c>
      <c r="AW17" s="18">
        <v>1</v>
      </c>
      <c r="AX17" s="18">
        <v>1</v>
      </c>
      <c r="AY17" s="18">
        <v>1</v>
      </c>
      <c r="AZ17" s="17" t="s">
        <v>151</v>
      </c>
      <c r="BA17" s="18">
        <v>1</v>
      </c>
      <c r="BB17" s="18">
        <v>1</v>
      </c>
      <c r="BC17" s="18">
        <v>1</v>
      </c>
      <c r="BD17" s="18">
        <v>1</v>
      </c>
      <c r="BE17" s="18">
        <v>1</v>
      </c>
      <c r="BF17" s="204">
        <v>1</v>
      </c>
    </row>
    <row r="18" spans="1:58" ht="14.25" customHeight="1">
      <c r="A18" s="35"/>
      <c r="B18" s="35"/>
      <c r="C18" s="35"/>
      <c r="D18" s="35"/>
      <c r="E18" s="35"/>
      <c r="F18" s="35"/>
      <c r="G18" s="94"/>
      <c r="H18" s="70" t="str">
        <f>P32</f>
        <v xml:space="preserve">17 ਲੇਖ ਰਾਜ ਨੱਢਾ </v>
      </c>
      <c r="I18" s="18" t="s">
        <v>709</v>
      </c>
      <c r="J18" s="18" t="s">
        <v>710</v>
      </c>
      <c r="K18" s="18" t="s">
        <v>137</v>
      </c>
      <c r="L18" s="18">
        <v>1</v>
      </c>
      <c r="M18" s="18">
        <v>1</v>
      </c>
      <c r="N18" s="18">
        <v>1</v>
      </c>
      <c r="O18" s="55"/>
      <c r="P18" s="18" t="s">
        <v>559</v>
      </c>
      <c r="Q18" s="18" t="s">
        <v>813</v>
      </c>
      <c r="R18" s="18">
        <v>1</v>
      </c>
      <c r="S18" s="18">
        <v>1</v>
      </c>
      <c r="T18" s="18">
        <v>1</v>
      </c>
      <c r="U18" s="18">
        <v>1</v>
      </c>
      <c r="V18" s="18">
        <v>1</v>
      </c>
      <c r="W18" s="18" t="s">
        <v>711</v>
      </c>
      <c r="X18" s="120" t="s">
        <v>163</v>
      </c>
      <c r="Y18" s="18">
        <v>1</v>
      </c>
      <c r="Z18" s="18">
        <v>1</v>
      </c>
      <c r="AA18" s="18">
        <v>1</v>
      </c>
      <c r="AB18" s="18">
        <v>1</v>
      </c>
      <c r="AC18" s="18">
        <v>1</v>
      </c>
      <c r="AD18" s="29"/>
      <c r="AE18" s="35"/>
      <c r="AF18" s="35"/>
      <c r="AG18" s="35"/>
      <c r="AH18" s="35"/>
      <c r="AI18" s="35"/>
      <c r="AJ18" s="35"/>
      <c r="AL18" s="18" t="s">
        <v>559</v>
      </c>
      <c r="AM18" s="18" t="s">
        <v>712</v>
      </c>
      <c r="AN18" s="18">
        <v>1</v>
      </c>
      <c r="AO18" s="18">
        <v>1</v>
      </c>
      <c r="AP18" s="18">
        <v>1</v>
      </c>
      <c r="AQ18" s="18">
        <v>1</v>
      </c>
      <c r="AR18" s="18">
        <v>1</v>
      </c>
      <c r="AS18" s="18">
        <v>17</v>
      </c>
      <c r="AT18" s="18">
        <v>1</v>
      </c>
      <c r="AU18" s="18">
        <v>1</v>
      </c>
      <c r="AV18" s="18">
        <v>1</v>
      </c>
      <c r="AW18" s="18">
        <v>1</v>
      </c>
      <c r="AX18" s="18">
        <v>1</v>
      </c>
      <c r="AY18" s="18">
        <v>1</v>
      </c>
      <c r="AZ18" s="18">
        <v>17</v>
      </c>
      <c r="BA18" s="18">
        <v>1</v>
      </c>
      <c r="BB18" s="18">
        <v>1</v>
      </c>
      <c r="BC18" s="18">
        <v>1</v>
      </c>
      <c r="BD18" s="18">
        <v>1</v>
      </c>
      <c r="BE18" s="18">
        <v>1</v>
      </c>
      <c r="BF18" s="204">
        <v>1</v>
      </c>
    </row>
    <row r="19" spans="1:58" ht="14.25" customHeight="1">
      <c r="A19" s="35"/>
      <c r="B19" s="35"/>
      <c r="C19" s="35"/>
      <c r="D19" s="35"/>
      <c r="E19" s="35"/>
      <c r="F19" s="35"/>
      <c r="G19" s="94"/>
      <c r="H19" s="63" t="str">
        <f>P37</f>
        <v>18 ਮੁਨਸੀ ਰਾਮ ਨਰੈਣ ਦਾਸ</v>
      </c>
      <c r="I19" s="18" t="s">
        <v>192</v>
      </c>
      <c r="J19" s="18" t="s">
        <v>491</v>
      </c>
      <c r="K19" s="18">
        <v>1</v>
      </c>
      <c r="L19" s="18">
        <v>1</v>
      </c>
      <c r="M19" s="18">
        <v>1</v>
      </c>
      <c r="N19" s="18">
        <v>1</v>
      </c>
      <c r="O19" s="55"/>
      <c r="P19" s="18" t="s">
        <v>55</v>
      </c>
      <c r="Q19" s="18">
        <v>1</v>
      </c>
      <c r="R19" s="18">
        <v>1</v>
      </c>
      <c r="S19" s="18">
        <v>1</v>
      </c>
      <c r="T19" s="18">
        <v>1</v>
      </c>
      <c r="U19" s="18">
        <v>1</v>
      </c>
      <c r="V19" s="18">
        <v>1</v>
      </c>
      <c r="W19" s="120" t="s">
        <v>194</v>
      </c>
      <c r="X19" s="18">
        <v>1</v>
      </c>
      <c r="Y19" s="18">
        <v>1</v>
      </c>
      <c r="Z19" s="18">
        <v>1</v>
      </c>
      <c r="AA19" s="18">
        <v>1</v>
      </c>
      <c r="AB19" s="18">
        <v>1</v>
      </c>
      <c r="AC19" s="18">
        <v>1</v>
      </c>
      <c r="AD19" s="29"/>
      <c r="AE19" s="29"/>
      <c r="AF19" s="29"/>
      <c r="AG19" s="29"/>
      <c r="AH19" s="29"/>
      <c r="AI19" s="29"/>
      <c r="AJ19" s="29"/>
      <c r="AL19" s="18">
        <v>18</v>
      </c>
      <c r="AM19" s="18">
        <v>1</v>
      </c>
      <c r="AN19" s="18">
        <v>1</v>
      </c>
      <c r="AO19" s="18">
        <v>1</v>
      </c>
      <c r="AP19" s="18">
        <v>1</v>
      </c>
      <c r="AQ19" s="18">
        <v>1</v>
      </c>
      <c r="AR19" s="18">
        <v>1</v>
      </c>
      <c r="AS19" s="18">
        <v>18</v>
      </c>
      <c r="AT19" s="18">
        <v>1</v>
      </c>
      <c r="AU19" s="18">
        <v>1</v>
      </c>
      <c r="AV19" s="18">
        <v>1</v>
      </c>
      <c r="AW19" s="18">
        <v>1</v>
      </c>
      <c r="AX19" s="18">
        <v>1</v>
      </c>
      <c r="AY19" s="18">
        <v>1</v>
      </c>
      <c r="AZ19" s="18">
        <v>18</v>
      </c>
      <c r="BA19" s="18">
        <v>1</v>
      </c>
      <c r="BB19" s="18">
        <v>1</v>
      </c>
      <c r="BC19" s="18">
        <v>1</v>
      </c>
      <c r="BD19" s="18">
        <v>1</v>
      </c>
      <c r="BE19" s="18">
        <v>1</v>
      </c>
      <c r="BF19" s="204">
        <v>1</v>
      </c>
    </row>
    <row r="20" spans="1:58" ht="14.25" customHeight="1">
      <c r="A20" s="29"/>
      <c r="B20" s="29"/>
      <c r="C20" s="29"/>
      <c r="D20" s="29"/>
      <c r="E20" s="29"/>
      <c r="F20" s="29"/>
      <c r="G20" s="29"/>
      <c r="H20" s="63" t="str">
        <f>P42</f>
        <v>19 ਬਾਗ ਚੰਦ ਨਰੈਣ ਦਾਸ</v>
      </c>
      <c r="I20" s="18"/>
      <c r="J20" s="18"/>
      <c r="K20" s="18"/>
      <c r="L20" s="18"/>
      <c r="M20" s="18"/>
      <c r="N20" s="18"/>
      <c r="O20" s="55"/>
      <c r="P20" s="18">
        <v>19</v>
      </c>
      <c r="Q20" s="18">
        <v>1</v>
      </c>
      <c r="R20" s="18">
        <v>1</v>
      </c>
      <c r="S20" s="18">
        <v>1</v>
      </c>
      <c r="T20" s="18">
        <v>1</v>
      </c>
      <c r="U20" s="18">
        <v>1</v>
      </c>
      <c r="V20" s="18">
        <v>1</v>
      </c>
      <c r="W20" s="18">
        <v>19</v>
      </c>
      <c r="X20" s="18">
        <v>1</v>
      </c>
      <c r="Y20" s="18">
        <v>1</v>
      </c>
      <c r="Z20" s="18">
        <v>1</v>
      </c>
      <c r="AA20" s="18">
        <v>1</v>
      </c>
      <c r="AB20" s="18">
        <v>1</v>
      </c>
      <c r="AC20" s="18">
        <v>1</v>
      </c>
      <c r="AD20" s="29"/>
      <c r="AE20" s="29"/>
      <c r="AF20" s="29"/>
      <c r="AG20" s="29"/>
      <c r="AH20" s="29"/>
      <c r="AI20" s="29"/>
      <c r="AJ20" s="29"/>
      <c r="AL20" s="18">
        <v>19</v>
      </c>
      <c r="AM20" s="18">
        <v>1</v>
      </c>
      <c r="AN20" s="18">
        <v>1</v>
      </c>
      <c r="AO20" s="18">
        <v>1</v>
      </c>
      <c r="AP20" s="18">
        <v>1</v>
      </c>
      <c r="AQ20" s="18">
        <v>1</v>
      </c>
      <c r="AR20" s="18">
        <v>1</v>
      </c>
      <c r="AS20" s="18">
        <v>19</v>
      </c>
      <c r="AT20" s="18">
        <v>1</v>
      </c>
      <c r="AU20" s="18">
        <v>1</v>
      </c>
      <c r="AV20" s="18">
        <v>1</v>
      </c>
      <c r="AW20" s="18">
        <v>1</v>
      </c>
      <c r="AX20" s="18">
        <v>1</v>
      </c>
      <c r="AY20" s="18">
        <v>1</v>
      </c>
      <c r="AZ20" s="18">
        <v>19</v>
      </c>
      <c r="BA20" s="18">
        <v>1</v>
      </c>
      <c r="BB20" s="18">
        <v>1</v>
      </c>
      <c r="BC20" s="18">
        <v>1</v>
      </c>
      <c r="BD20" s="18">
        <v>1</v>
      </c>
      <c r="BE20" s="18">
        <v>1</v>
      </c>
      <c r="BF20" s="204">
        <v>1</v>
      </c>
    </row>
    <row r="21" spans="1:58" ht="14.25" customHeight="1">
      <c r="A21" s="29"/>
      <c r="B21" s="29"/>
      <c r="C21" s="29"/>
      <c r="D21" s="29"/>
      <c r="E21" s="29"/>
      <c r="F21" s="29"/>
      <c r="G21" s="29"/>
      <c r="H21" s="63" t="str">
        <f>P47</f>
        <v>20 ਲਾਲ ਚੰਦ ਨਰੈਣ ਦਾਸ</v>
      </c>
      <c r="I21" s="18"/>
      <c r="J21" s="18"/>
      <c r="K21" s="18"/>
      <c r="L21" s="18"/>
      <c r="M21" s="18"/>
      <c r="N21" s="18"/>
      <c r="O21" s="55"/>
      <c r="P21" s="18" t="s">
        <v>716</v>
      </c>
      <c r="Q21" s="18">
        <v>1</v>
      </c>
      <c r="R21" s="18">
        <v>1</v>
      </c>
      <c r="S21" s="18">
        <v>1</v>
      </c>
      <c r="T21" s="18">
        <v>1</v>
      </c>
      <c r="U21" s="18">
        <v>1</v>
      </c>
      <c r="V21" s="18">
        <v>1</v>
      </c>
      <c r="W21" s="18">
        <v>20</v>
      </c>
      <c r="X21" s="18">
        <v>1</v>
      </c>
      <c r="Y21" s="18">
        <v>1</v>
      </c>
      <c r="Z21" s="18">
        <v>1</v>
      </c>
      <c r="AA21" s="18">
        <v>1</v>
      </c>
      <c r="AB21" s="18">
        <v>1</v>
      </c>
      <c r="AC21" s="18">
        <v>1</v>
      </c>
      <c r="AD21" s="29"/>
      <c r="AE21" s="29"/>
      <c r="AF21" s="29"/>
      <c r="AG21" s="29"/>
      <c r="AH21" s="29"/>
      <c r="AI21" s="29"/>
      <c r="AJ21" s="29"/>
      <c r="AL21" s="18">
        <v>20</v>
      </c>
      <c r="AM21" s="18">
        <v>1</v>
      </c>
      <c r="AN21" s="18">
        <v>1</v>
      </c>
      <c r="AO21" s="18">
        <v>1</v>
      </c>
      <c r="AP21" s="18">
        <v>1</v>
      </c>
      <c r="AQ21" s="18">
        <v>1</v>
      </c>
      <c r="AR21" s="18">
        <v>1</v>
      </c>
      <c r="AS21" s="18">
        <v>20</v>
      </c>
      <c r="AT21" s="18">
        <v>1</v>
      </c>
      <c r="AU21" s="18">
        <v>1</v>
      </c>
      <c r="AV21" s="18">
        <v>1</v>
      </c>
      <c r="AW21" s="18">
        <v>1</v>
      </c>
      <c r="AX21" s="18">
        <v>1</v>
      </c>
      <c r="AY21" s="18">
        <v>1</v>
      </c>
      <c r="AZ21" s="18">
        <v>20</v>
      </c>
      <c r="BA21" s="18">
        <v>1</v>
      </c>
      <c r="BB21" s="18">
        <v>1</v>
      </c>
      <c r="BC21" s="18">
        <v>1</v>
      </c>
      <c r="BD21" s="18">
        <v>1</v>
      </c>
      <c r="BE21" s="18">
        <v>1</v>
      </c>
      <c r="BF21" s="204">
        <v>1</v>
      </c>
    </row>
    <row r="22" spans="1:58" ht="14.25" customHeight="1">
      <c r="A22" s="29"/>
      <c r="B22" s="29"/>
      <c r="C22" s="29"/>
      <c r="D22" s="29"/>
      <c r="E22" s="29"/>
      <c r="F22" s="29"/>
      <c r="G22" s="29"/>
      <c r="H22" s="69" t="str">
        <f>W2</f>
        <v>21 ਗੁਰਦਾਸ ਰਾਮ (ਪਾਠੀ)</v>
      </c>
      <c r="I22" s="206" t="s">
        <v>674</v>
      </c>
      <c r="J22" s="120" t="s">
        <v>717</v>
      </c>
      <c r="K22" s="120" t="s">
        <v>718</v>
      </c>
      <c r="L22" s="120" t="s">
        <v>719</v>
      </c>
      <c r="M22" s="120">
        <v>1</v>
      </c>
      <c r="N22" s="120">
        <v>1</v>
      </c>
      <c r="O22" s="114" t="s">
        <v>1420</v>
      </c>
      <c r="P22" s="118" t="s">
        <v>1325</v>
      </c>
      <c r="Q22" s="18">
        <v>1</v>
      </c>
      <c r="R22" s="18">
        <v>1</v>
      </c>
      <c r="S22" s="18">
        <v>1</v>
      </c>
      <c r="T22" s="18">
        <v>1</v>
      </c>
      <c r="U22" s="18">
        <v>1</v>
      </c>
      <c r="V22" s="55" t="s">
        <v>1211</v>
      </c>
      <c r="W22" s="17" t="s">
        <v>720</v>
      </c>
      <c r="X22" s="18">
        <v>1</v>
      </c>
      <c r="Y22" s="18">
        <v>1</v>
      </c>
      <c r="Z22" s="18">
        <v>1</v>
      </c>
      <c r="AA22" s="18">
        <v>1</v>
      </c>
      <c r="AB22" s="18">
        <v>1</v>
      </c>
      <c r="AC22" s="114" t="s">
        <v>1231</v>
      </c>
      <c r="AD22" s="29"/>
      <c r="AE22" s="29"/>
      <c r="AF22" s="29"/>
      <c r="AG22" s="29"/>
      <c r="AH22" s="29"/>
      <c r="AI22" s="29"/>
      <c r="AJ22" s="29"/>
      <c r="AL22" s="17" t="s">
        <v>721</v>
      </c>
      <c r="AM22" s="18" t="s">
        <v>48</v>
      </c>
      <c r="AN22" s="18">
        <v>1</v>
      </c>
      <c r="AO22" s="18">
        <v>1</v>
      </c>
      <c r="AP22" s="18">
        <v>1</v>
      </c>
      <c r="AQ22" s="18">
        <v>1</v>
      </c>
      <c r="AR22" s="55" t="s">
        <v>1222</v>
      </c>
      <c r="AS22" s="17" t="s">
        <v>722</v>
      </c>
      <c r="AT22" s="18">
        <v>1</v>
      </c>
      <c r="AU22" s="18">
        <v>1</v>
      </c>
      <c r="AV22" s="18">
        <v>1</v>
      </c>
      <c r="AW22" s="18">
        <v>1</v>
      </c>
      <c r="AX22" s="18">
        <v>1</v>
      </c>
      <c r="AY22" s="18">
        <v>1</v>
      </c>
      <c r="AZ22" s="17" t="s">
        <v>171</v>
      </c>
      <c r="BA22" s="18">
        <v>1</v>
      </c>
      <c r="BB22" s="18">
        <v>1</v>
      </c>
      <c r="BC22" s="18">
        <v>1</v>
      </c>
      <c r="BD22" s="18">
        <v>1</v>
      </c>
      <c r="BE22" s="18">
        <v>1</v>
      </c>
      <c r="BF22" s="204">
        <v>1</v>
      </c>
    </row>
    <row r="23" spans="1:58" ht="14.25" customHeight="1">
      <c r="A23" s="29"/>
      <c r="B23" s="29"/>
      <c r="C23" s="29"/>
      <c r="D23" s="29"/>
      <c r="E23" s="29"/>
      <c r="F23" s="29"/>
      <c r="G23" s="29"/>
      <c r="H23" s="66" t="str">
        <f>W7</f>
        <v>22 ਮਿਲਖ ਰਾਜ ਸੁਦਾਗਰ ਰਾਮ</v>
      </c>
      <c r="I23" s="120" t="s">
        <v>192</v>
      </c>
      <c r="J23" s="120" t="s">
        <v>264</v>
      </c>
      <c r="K23" s="120">
        <v>1</v>
      </c>
      <c r="L23" s="120">
        <v>1</v>
      </c>
      <c r="M23" s="120">
        <v>1</v>
      </c>
      <c r="N23" s="120">
        <v>1</v>
      </c>
      <c r="O23" s="55"/>
      <c r="P23" s="18" t="s">
        <v>414</v>
      </c>
      <c r="Q23" s="18" t="s">
        <v>311</v>
      </c>
      <c r="R23" s="18" t="s">
        <v>94</v>
      </c>
      <c r="S23" s="120" t="s">
        <v>281</v>
      </c>
      <c r="T23" s="18">
        <v>1</v>
      </c>
      <c r="U23" s="18">
        <v>1</v>
      </c>
      <c r="V23" s="18">
        <v>1</v>
      </c>
      <c r="W23" s="18" t="s">
        <v>723</v>
      </c>
      <c r="X23" s="18" t="s">
        <v>305</v>
      </c>
      <c r="Y23" s="18" t="s">
        <v>280</v>
      </c>
      <c r="Z23" s="18">
        <v>1</v>
      </c>
      <c r="AA23" s="18">
        <v>1</v>
      </c>
      <c r="AB23" s="18">
        <v>1</v>
      </c>
      <c r="AC23" s="18">
        <v>1</v>
      </c>
      <c r="AD23" s="29"/>
      <c r="AE23" s="29"/>
      <c r="AF23" s="29"/>
      <c r="AG23" s="29"/>
      <c r="AH23" s="29"/>
      <c r="AI23" s="29"/>
      <c r="AJ23" s="29"/>
      <c r="AL23" s="18">
        <v>22</v>
      </c>
      <c r="AM23" s="18">
        <v>1</v>
      </c>
      <c r="AN23" s="18">
        <v>1</v>
      </c>
      <c r="AO23" s="18">
        <v>1</v>
      </c>
      <c r="AP23" s="18">
        <v>1</v>
      </c>
      <c r="AQ23" s="18">
        <v>1</v>
      </c>
      <c r="AR23" s="18">
        <v>1</v>
      </c>
      <c r="AS23" s="18">
        <v>22</v>
      </c>
      <c r="AT23" s="18">
        <v>1</v>
      </c>
      <c r="AU23" s="18">
        <v>1</v>
      </c>
      <c r="AV23" s="18">
        <v>1</v>
      </c>
      <c r="AW23" s="18">
        <v>1</v>
      </c>
      <c r="AX23" s="18">
        <v>1</v>
      </c>
      <c r="AY23" s="18">
        <v>1</v>
      </c>
      <c r="AZ23" s="18">
        <v>22</v>
      </c>
      <c r="BA23" s="18">
        <v>1</v>
      </c>
      <c r="BB23" s="18">
        <v>1</v>
      </c>
      <c r="BC23" s="18">
        <v>1</v>
      </c>
      <c r="BD23" s="18">
        <v>1</v>
      </c>
      <c r="BE23" s="18">
        <v>1</v>
      </c>
      <c r="BF23" s="204">
        <v>1</v>
      </c>
    </row>
    <row r="24" spans="1:58" ht="14.25" customHeight="1">
      <c r="A24" s="29"/>
      <c r="B24" s="29"/>
      <c r="C24" s="29"/>
      <c r="D24" s="29"/>
      <c r="E24" s="29"/>
      <c r="F24" s="29"/>
      <c r="G24" s="29"/>
      <c r="H24" s="66" t="str">
        <f>W12</f>
        <v>24 ਸਤਨਾਮ ਚੰਦ ਡਾਕੀਆ</v>
      </c>
      <c r="I24" s="120" t="s">
        <v>724</v>
      </c>
      <c r="J24" s="120" t="s">
        <v>175</v>
      </c>
      <c r="K24" s="120">
        <v>1</v>
      </c>
      <c r="L24" s="120">
        <v>1</v>
      </c>
      <c r="M24" s="120">
        <v>1</v>
      </c>
      <c r="N24" s="120">
        <v>1</v>
      </c>
      <c r="O24" s="55"/>
      <c r="P24" s="18" t="s">
        <v>725</v>
      </c>
      <c r="Q24" s="18">
        <v>1</v>
      </c>
      <c r="R24" s="18">
        <v>1</v>
      </c>
      <c r="S24" s="18" t="s">
        <v>335</v>
      </c>
      <c r="T24" s="18">
        <v>1</v>
      </c>
      <c r="U24" s="18">
        <v>1</v>
      </c>
      <c r="V24" s="18">
        <v>1</v>
      </c>
      <c r="W24" s="18" t="s">
        <v>607</v>
      </c>
      <c r="X24" s="18">
        <v>1</v>
      </c>
      <c r="Y24" s="18">
        <v>1</v>
      </c>
      <c r="Z24" s="18">
        <v>1</v>
      </c>
      <c r="AA24" s="18">
        <v>1</v>
      </c>
      <c r="AB24" s="18">
        <v>1</v>
      </c>
      <c r="AC24" s="18">
        <v>1</v>
      </c>
      <c r="AD24" s="29"/>
      <c r="AE24" s="29"/>
      <c r="AF24" s="29"/>
      <c r="AG24" s="29"/>
      <c r="AH24" s="29"/>
      <c r="AI24" s="29"/>
      <c r="AJ24" s="29"/>
      <c r="AL24" s="18">
        <v>23</v>
      </c>
      <c r="AM24" s="18">
        <v>1</v>
      </c>
      <c r="AN24" s="18">
        <v>1</v>
      </c>
      <c r="AO24" s="18">
        <v>1</v>
      </c>
      <c r="AP24" s="18">
        <v>1</v>
      </c>
      <c r="AQ24" s="18">
        <v>1</v>
      </c>
      <c r="AR24" s="18">
        <v>1</v>
      </c>
      <c r="AS24" s="18">
        <v>23</v>
      </c>
      <c r="AT24" s="18">
        <v>1</v>
      </c>
      <c r="AU24" s="18">
        <v>1</v>
      </c>
      <c r="AV24" s="18">
        <v>1</v>
      </c>
      <c r="AW24" s="18">
        <v>1</v>
      </c>
      <c r="AX24" s="18">
        <v>1</v>
      </c>
      <c r="AY24" s="18">
        <v>1</v>
      </c>
      <c r="AZ24" s="18">
        <v>23</v>
      </c>
      <c r="BA24" s="18">
        <v>1</v>
      </c>
      <c r="BB24" s="18">
        <v>1</v>
      </c>
      <c r="BC24" s="18">
        <v>1</v>
      </c>
      <c r="BD24" s="18">
        <v>1</v>
      </c>
      <c r="BE24" s="18">
        <v>1</v>
      </c>
      <c r="BF24" s="204">
        <v>1</v>
      </c>
    </row>
    <row r="25" spans="1:58" ht="14.25" customHeight="1">
      <c r="A25" s="29"/>
      <c r="B25" s="29"/>
      <c r="C25" s="29"/>
      <c r="D25" s="29"/>
      <c r="E25" s="29"/>
      <c r="F25" s="29"/>
      <c r="G25" s="29"/>
      <c r="H25" s="66" t="str">
        <f>W17</f>
        <v>24 ਸਤਨਾਮ ਚੰਦ</v>
      </c>
      <c r="I25" s="120"/>
      <c r="J25" s="120"/>
      <c r="K25" s="120"/>
      <c r="L25" s="120"/>
      <c r="M25" s="120"/>
      <c r="N25" s="120"/>
      <c r="O25" s="55"/>
      <c r="P25" s="18" t="s">
        <v>192</v>
      </c>
      <c r="Q25" s="18" t="s">
        <v>111</v>
      </c>
      <c r="R25" s="120" t="s">
        <v>1401</v>
      </c>
      <c r="S25" s="120" t="s">
        <v>1402</v>
      </c>
      <c r="T25" s="18" t="s">
        <v>661</v>
      </c>
      <c r="U25" s="120" t="s">
        <v>278</v>
      </c>
      <c r="V25" s="18">
        <v>1</v>
      </c>
      <c r="W25" s="18" t="s">
        <v>726</v>
      </c>
      <c r="X25" s="18">
        <v>1</v>
      </c>
      <c r="Y25" s="18">
        <v>1</v>
      </c>
      <c r="Z25" s="18">
        <v>1</v>
      </c>
      <c r="AA25" s="18">
        <v>1</v>
      </c>
      <c r="AB25" s="18">
        <v>1</v>
      </c>
      <c r="AC25" s="18">
        <v>1</v>
      </c>
      <c r="AD25" s="29"/>
      <c r="AE25" s="29"/>
      <c r="AF25" s="29"/>
      <c r="AG25" s="29"/>
      <c r="AH25" s="29"/>
      <c r="AI25" s="29"/>
      <c r="AJ25" s="29"/>
      <c r="AL25" s="18">
        <v>24</v>
      </c>
      <c r="AM25" s="18">
        <v>1</v>
      </c>
      <c r="AN25" s="18">
        <v>1</v>
      </c>
      <c r="AO25" s="18">
        <v>1</v>
      </c>
      <c r="AP25" s="18">
        <v>1</v>
      </c>
      <c r="AQ25" s="18">
        <v>1</v>
      </c>
      <c r="AR25" s="18">
        <v>1</v>
      </c>
      <c r="AS25" s="18">
        <v>24</v>
      </c>
      <c r="AT25" s="18">
        <v>1</v>
      </c>
      <c r="AU25" s="18">
        <v>1</v>
      </c>
      <c r="AV25" s="18">
        <v>1</v>
      </c>
      <c r="AW25" s="18">
        <v>1</v>
      </c>
      <c r="AX25" s="18">
        <v>1</v>
      </c>
      <c r="AY25" s="18">
        <v>1</v>
      </c>
      <c r="AZ25" s="18">
        <v>24</v>
      </c>
      <c r="BA25" s="18">
        <v>1</v>
      </c>
      <c r="BB25" s="18">
        <v>1</v>
      </c>
      <c r="BC25" s="18">
        <v>1</v>
      </c>
      <c r="BD25" s="18">
        <v>1</v>
      </c>
      <c r="BE25" s="18">
        <v>1</v>
      </c>
      <c r="BF25" s="204">
        <v>1</v>
      </c>
    </row>
    <row r="26" spans="1:58" ht="14.25" customHeight="1">
      <c r="A26" s="29"/>
      <c r="B26" s="29"/>
      <c r="C26" s="29"/>
      <c r="D26" s="29"/>
      <c r="E26" s="29"/>
      <c r="F26" s="29"/>
      <c r="G26" s="29"/>
      <c r="H26" s="69" t="str">
        <f>W22</f>
        <v>25 ਲੇਖ ਰਾਜ ਨੱਢਾ ਮੰਨੀ ਰਾਮ</v>
      </c>
      <c r="I26" s="120"/>
      <c r="J26" s="120"/>
      <c r="K26" s="120"/>
      <c r="L26" s="120"/>
      <c r="M26" s="120"/>
      <c r="N26" s="120"/>
      <c r="O26" s="55"/>
      <c r="P26" s="18" t="s">
        <v>208</v>
      </c>
      <c r="Q26" s="18" t="s">
        <v>38</v>
      </c>
      <c r="R26" s="18" t="s">
        <v>727</v>
      </c>
      <c r="S26" s="18" t="s">
        <v>667</v>
      </c>
      <c r="T26" s="18">
        <v>1</v>
      </c>
      <c r="U26" s="18">
        <v>1</v>
      </c>
      <c r="V26" s="18">
        <v>1</v>
      </c>
      <c r="W26" s="18" t="s">
        <v>728</v>
      </c>
      <c r="X26" s="18" t="s">
        <v>129</v>
      </c>
      <c r="Y26" s="18">
        <v>1</v>
      </c>
      <c r="Z26" s="18">
        <v>1</v>
      </c>
      <c r="AA26" s="18">
        <v>1</v>
      </c>
      <c r="AB26" s="18">
        <v>1</v>
      </c>
      <c r="AC26" s="18">
        <v>1</v>
      </c>
      <c r="AD26" s="29"/>
      <c r="AE26" s="29"/>
      <c r="AF26" s="29"/>
      <c r="AG26" s="29"/>
      <c r="AH26" s="29"/>
      <c r="AI26" s="29"/>
      <c r="AJ26" s="29"/>
      <c r="AL26" s="18">
        <v>25</v>
      </c>
      <c r="AM26" s="18">
        <v>1</v>
      </c>
      <c r="AN26" s="18">
        <v>1</v>
      </c>
      <c r="AO26" s="18">
        <v>1</v>
      </c>
      <c r="AP26" s="18">
        <v>1</v>
      </c>
      <c r="AQ26" s="18">
        <v>1</v>
      </c>
      <c r="AR26" s="18">
        <v>1</v>
      </c>
      <c r="AS26" s="18">
        <v>25</v>
      </c>
      <c r="AT26" s="18">
        <v>1</v>
      </c>
      <c r="AU26" s="18">
        <v>1</v>
      </c>
      <c r="AV26" s="18">
        <v>1</v>
      </c>
      <c r="AW26" s="18">
        <v>1</v>
      </c>
      <c r="AX26" s="18">
        <v>1</v>
      </c>
      <c r="AY26" s="18">
        <v>1</v>
      </c>
      <c r="AZ26" s="18">
        <v>25</v>
      </c>
      <c r="BA26" s="18">
        <v>1</v>
      </c>
      <c r="BB26" s="18">
        <v>1</v>
      </c>
      <c r="BC26" s="18">
        <v>1</v>
      </c>
      <c r="BD26" s="18">
        <v>1</v>
      </c>
      <c r="BE26" s="18">
        <v>1</v>
      </c>
      <c r="BF26" s="204">
        <v>1</v>
      </c>
    </row>
    <row r="27" spans="1:58" ht="14.25" customHeight="1">
      <c r="A27" s="29"/>
      <c r="B27" s="29"/>
      <c r="C27" s="29"/>
      <c r="D27" s="29"/>
      <c r="E27" s="29"/>
      <c r="F27" s="29"/>
      <c r="G27" s="29"/>
      <c r="H27" s="69" t="str">
        <f>W27</f>
        <v xml:space="preserve">26 ਜ਼ਾਂਜੀ ਰਾਮ </v>
      </c>
      <c r="I27" s="17" t="s">
        <v>675</v>
      </c>
      <c r="J27" s="18" t="s">
        <v>82</v>
      </c>
      <c r="K27" s="18">
        <v>1</v>
      </c>
      <c r="L27" s="18">
        <v>1</v>
      </c>
      <c r="M27" s="18">
        <v>1</v>
      </c>
      <c r="N27" s="18">
        <v>1</v>
      </c>
      <c r="O27" s="55" t="s">
        <v>1206</v>
      </c>
      <c r="P27" s="118" t="s">
        <v>1405</v>
      </c>
      <c r="Q27" s="18" t="s">
        <v>223</v>
      </c>
      <c r="R27" s="120" t="s">
        <v>663</v>
      </c>
      <c r="S27" s="18">
        <v>1</v>
      </c>
      <c r="T27" s="18">
        <v>1</v>
      </c>
      <c r="U27" s="18">
        <v>1</v>
      </c>
      <c r="V27" s="29" t="s">
        <v>1227</v>
      </c>
      <c r="W27" s="17" t="s">
        <v>729</v>
      </c>
      <c r="X27" s="18">
        <v>1</v>
      </c>
      <c r="Y27" s="18">
        <v>1</v>
      </c>
      <c r="Z27" s="18">
        <v>1</v>
      </c>
      <c r="AA27" s="18">
        <v>1</v>
      </c>
      <c r="AB27" s="18">
        <v>1</v>
      </c>
      <c r="AC27" s="55" t="s">
        <v>1216</v>
      </c>
      <c r="AD27" s="29"/>
      <c r="AE27" s="29"/>
      <c r="AF27" s="29"/>
      <c r="AG27" s="29"/>
      <c r="AH27" s="29"/>
      <c r="AI27" s="29"/>
      <c r="AJ27" s="29"/>
      <c r="AL27" s="17" t="s">
        <v>730</v>
      </c>
      <c r="AM27" s="18">
        <v>1</v>
      </c>
      <c r="AN27" s="18">
        <v>3</v>
      </c>
      <c r="AO27" s="18">
        <v>3</v>
      </c>
      <c r="AP27" s="18">
        <v>3</v>
      </c>
      <c r="AQ27" s="18">
        <v>1</v>
      </c>
      <c r="AR27" s="55" t="s">
        <v>1223</v>
      </c>
      <c r="AS27" s="17" t="s">
        <v>731</v>
      </c>
      <c r="AT27" s="18">
        <v>1</v>
      </c>
      <c r="AU27" s="18">
        <v>1</v>
      </c>
      <c r="AV27" s="18">
        <v>1</v>
      </c>
      <c r="AW27" s="18">
        <v>1</v>
      </c>
      <c r="AX27" s="18">
        <v>1</v>
      </c>
      <c r="AY27" s="18">
        <v>1</v>
      </c>
      <c r="AZ27" s="17" t="s">
        <v>202</v>
      </c>
      <c r="BA27" s="18">
        <v>1</v>
      </c>
      <c r="BB27" s="18">
        <v>1</v>
      </c>
      <c r="BC27" s="18">
        <v>1</v>
      </c>
      <c r="BD27" s="18">
        <v>1</v>
      </c>
      <c r="BE27" s="18">
        <v>1</v>
      </c>
      <c r="BF27" s="204">
        <v>1</v>
      </c>
    </row>
    <row r="28" spans="1:58" ht="14.25" customHeight="1">
      <c r="A28" s="29"/>
      <c r="B28" s="29"/>
      <c r="C28" s="29"/>
      <c r="D28" s="29"/>
      <c r="E28" s="29"/>
      <c r="F28" s="29"/>
      <c r="G28" s="29"/>
      <c r="H28" s="228" t="str">
        <f>W32</f>
        <v xml:space="preserve">27 ਪੈੜਾ ਰਾਮ </v>
      </c>
      <c r="I28" s="18" t="s">
        <v>134</v>
      </c>
      <c r="J28" s="18" t="s">
        <v>572</v>
      </c>
      <c r="K28" s="18" t="s">
        <v>1311</v>
      </c>
      <c r="L28" s="18">
        <v>1</v>
      </c>
      <c r="M28" s="18">
        <v>1</v>
      </c>
      <c r="N28" s="18">
        <v>1</v>
      </c>
      <c r="O28" s="55"/>
      <c r="P28" s="40">
        <v>27</v>
      </c>
      <c r="Q28" s="40">
        <v>1</v>
      </c>
      <c r="R28" s="40">
        <v>1</v>
      </c>
      <c r="S28" s="40">
        <v>1</v>
      </c>
      <c r="T28" s="40">
        <v>1</v>
      </c>
      <c r="U28" s="40">
        <v>1</v>
      </c>
      <c r="V28" s="18">
        <v>1</v>
      </c>
      <c r="W28" s="18" t="s">
        <v>593</v>
      </c>
      <c r="X28" s="18" t="s">
        <v>38</v>
      </c>
      <c r="Y28" s="120" t="s">
        <v>175</v>
      </c>
      <c r="Z28" s="120" t="s">
        <v>1368</v>
      </c>
      <c r="AA28" s="18">
        <v>1</v>
      </c>
      <c r="AB28" s="18">
        <v>1</v>
      </c>
      <c r="AC28" s="18">
        <v>1</v>
      </c>
      <c r="AD28" s="29"/>
      <c r="AE28" s="29"/>
      <c r="AF28" s="29"/>
      <c r="AG28" s="29"/>
      <c r="AH28" s="29"/>
      <c r="AI28" s="29"/>
      <c r="AJ28" s="29"/>
      <c r="AL28" s="18" t="s">
        <v>607</v>
      </c>
      <c r="AM28" s="18" t="s">
        <v>733</v>
      </c>
      <c r="AN28" s="18" t="s">
        <v>604</v>
      </c>
      <c r="AO28" s="18" t="s">
        <v>734</v>
      </c>
      <c r="AP28" s="18">
        <v>1</v>
      </c>
      <c r="AQ28" s="18">
        <v>1</v>
      </c>
      <c r="AR28" s="18">
        <v>1</v>
      </c>
      <c r="AS28" s="18">
        <v>27</v>
      </c>
      <c r="AT28" s="18">
        <v>1</v>
      </c>
      <c r="AU28" s="18">
        <v>1</v>
      </c>
      <c r="AV28" s="18">
        <v>1</v>
      </c>
      <c r="AW28" s="18">
        <v>1</v>
      </c>
      <c r="AX28" s="18">
        <v>1</v>
      </c>
      <c r="AY28" s="18">
        <v>1</v>
      </c>
      <c r="AZ28" s="18">
        <v>27</v>
      </c>
      <c r="BA28" s="18">
        <v>1</v>
      </c>
      <c r="BB28" s="18">
        <v>1</v>
      </c>
      <c r="BC28" s="18">
        <v>1</v>
      </c>
      <c r="BD28" s="18">
        <v>1</v>
      </c>
      <c r="BE28" s="18">
        <v>1</v>
      </c>
      <c r="BF28" s="204">
        <v>1</v>
      </c>
    </row>
    <row r="29" spans="1:58" ht="14.25" customHeight="1">
      <c r="A29" s="29"/>
      <c r="B29" s="29"/>
      <c r="C29" s="29"/>
      <c r="D29" s="29"/>
      <c r="E29" s="29"/>
      <c r="F29" s="29"/>
      <c r="G29" s="29"/>
      <c r="H29" s="69" t="str">
        <f>W37</f>
        <v>28 ਓਮ ਪ੍ਰਕਾਸ਼ ਚਾਂਦੀ ਰਾਮ</v>
      </c>
      <c r="I29" s="18" t="s">
        <v>65</v>
      </c>
      <c r="J29" s="18" t="s">
        <v>736</v>
      </c>
      <c r="K29" s="18">
        <v>1</v>
      </c>
      <c r="L29" s="18">
        <v>1</v>
      </c>
      <c r="M29" s="18">
        <v>1</v>
      </c>
      <c r="N29" s="18">
        <v>1</v>
      </c>
      <c r="O29" s="55"/>
      <c r="P29" s="40">
        <v>28</v>
      </c>
      <c r="Q29" s="40">
        <v>1</v>
      </c>
      <c r="R29" s="40">
        <v>1</v>
      </c>
      <c r="S29" s="40">
        <v>1</v>
      </c>
      <c r="T29" s="40">
        <v>1</v>
      </c>
      <c r="U29" s="40">
        <v>1</v>
      </c>
      <c r="V29" s="18">
        <v>1</v>
      </c>
      <c r="W29" s="18" t="s">
        <v>348</v>
      </c>
      <c r="X29" s="18" t="s">
        <v>737</v>
      </c>
      <c r="Y29" s="120" t="s">
        <v>737</v>
      </c>
      <c r="Z29" s="120" t="s">
        <v>1367</v>
      </c>
      <c r="AA29" s="18">
        <v>1</v>
      </c>
      <c r="AB29" s="18">
        <v>1</v>
      </c>
      <c r="AC29" s="18">
        <v>1</v>
      </c>
      <c r="AD29" s="29"/>
      <c r="AE29" s="29"/>
      <c r="AF29" s="29"/>
      <c r="AG29" s="29"/>
      <c r="AH29" s="29"/>
      <c r="AI29" s="29"/>
      <c r="AJ29" s="29"/>
      <c r="AL29" s="18">
        <v>1</v>
      </c>
      <c r="AM29" s="18">
        <v>1</v>
      </c>
      <c r="AN29" s="18">
        <v>1</v>
      </c>
      <c r="AO29" s="18">
        <v>1</v>
      </c>
      <c r="AP29" s="18">
        <v>1</v>
      </c>
      <c r="AQ29" s="18">
        <v>1</v>
      </c>
      <c r="AR29" s="18">
        <v>1</v>
      </c>
      <c r="AS29" s="18">
        <v>28</v>
      </c>
      <c r="AT29" s="18">
        <v>1</v>
      </c>
      <c r="AU29" s="18">
        <v>1</v>
      </c>
      <c r="AV29" s="18">
        <v>1</v>
      </c>
      <c r="AW29" s="18">
        <v>1</v>
      </c>
      <c r="AX29" s="18">
        <v>1</v>
      </c>
      <c r="AY29" s="18">
        <v>1</v>
      </c>
      <c r="AZ29" s="18">
        <v>28</v>
      </c>
      <c r="BA29" s="18">
        <v>1</v>
      </c>
      <c r="BB29" s="18">
        <v>1</v>
      </c>
      <c r="BC29" s="18">
        <v>1</v>
      </c>
      <c r="BD29" s="18">
        <v>1</v>
      </c>
      <c r="BE29" s="18">
        <v>1</v>
      </c>
      <c r="BF29" s="204">
        <v>1</v>
      </c>
    </row>
    <row r="30" spans="1:58" ht="14.25" customHeight="1">
      <c r="A30" s="29"/>
      <c r="B30" s="29"/>
      <c r="C30" s="29"/>
      <c r="D30" s="29"/>
      <c r="E30" s="29"/>
      <c r="F30" s="29"/>
      <c r="G30" s="29"/>
      <c r="H30" s="69" t="str">
        <f>W42</f>
        <v>29 ਸਾਹਿਬ ਦਿੱਤਾ ਕਰਮ ਚੰਦ</v>
      </c>
      <c r="I30" s="18"/>
      <c r="J30" s="18"/>
      <c r="K30" s="18"/>
      <c r="L30" s="18"/>
      <c r="M30" s="18"/>
      <c r="N30" s="18"/>
      <c r="O30" s="55"/>
      <c r="P30" s="40">
        <v>29</v>
      </c>
      <c r="Q30" s="40">
        <v>1</v>
      </c>
      <c r="R30" s="40">
        <v>1</v>
      </c>
      <c r="S30" s="40">
        <v>1</v>
      </c>
      <c r="T30" s="40">
        <v>1</v>
      </c>
      <c r="U30" s="40">
        <v>1</v>
      </c>
      <c r="V30" s="18">
        <v>1</v>
      </c>
      <c r="W30" s="18">
        <v>29</v>
      </c>
      <c r="X30" s="18">
        <v>1</v>
      </c>
      <c r="Y30" s="18">
        <v>1</v>
      </c>
      <c r="Z30" s="18">
        <v>1</v>
      </c>
      <c r="AA30" s="18">
        <v>1</v>
      </c>
      <c r="AB30" s="18">
        <v>1</v>
      </c>
      <c r="AC30" s="18">
        <v>1</v>
      </c>
      <c r="AD30" s="29"/>
      <c r="AE30" s="29"/>
      <c r="AF30" s="29"/>
      <c r="AG30" s="29"/>
      <c r="AH30" s="29"/>
      <c r="AI30" s="29"/>
      <c r="AJ30" s="29"/>
      <c r="AL30" s="18" t="s">
        <v>535</v>
      </c>
      <c r="AM30" s="18" t="s">
        <v>120</v>
      </c>
      <c r="AN30" s="18" t="s">
        <v>566</v>
      </c>
      <c r="AO30" s="18" t="s">
        <v>739</v>
      </c>
      <c r="AP30" s="18">
        <v>1</v>
      </c>
      <c r="AQ30" s="18">
        <v>1</v>
      </c>
      <c r="AR30" s="18">
        <v>1</v>
      </c>
      <c r="AS30" s="18">
        <v>29</v>
      </c>
      <c r="AT30" s="18">
        <v>1</v>
      </c>
      <c r="AU30" s="18">
        <v>1</v>
      </c>
      <c r="AV30" s="18">
        <v>1</v>
      </c>
      <c r="AW30" s="18">
        <v>1</v>
      </c>
      <c r="AX30" s="18">
        <v>1</v>
      </c>
      <c r="AY30" s="18">
        <v>1</v>
      </c>
      <c r="AZ30" s="18">
        <v>29</v>
      </c>
      <c r="BA30" s="18">
        <v>1</v>
      </c>
      <c r="BB30" s="18">
        <v>1</v>
      </c>
      <c r="BC30" s="18">
        <v>1</v>
      </c>
      <c r="BD30" s="18">
        <v>1</v>
      </c>
      <c r="BE30" s="18">
        <v>1</v>
      </c>
      <c r="BF30" s="204">
        <v>1</v>
      </c>
    </row>
    <row r="31" spans="1:58" ht="14.25" customHeight="1">
      <c r="A31" s="29"/>
      <c r="B31" s="29"/>
      <c r="C31" s="29"/>
      <c r="D31" s="29"/>
      <c r="E31" s="29"/>
      <c r="F31" s="29"/>
      <c r="G31" s="29"/>
      <c r="H31" s="71" t="str">
        <f>W47</f>
        <v>30 ਜੰਮੂ ਰਾਮ ਅਤੇ ਰਮੇਸ਼ ਕੁਮਾਰ</v>
      </c>
      <c r="I31" s="18"/>
      <c r="J31" s="18"/>
      <c r="K31" s="18"/>
      <c r="L31" s="18"/>
      <c r="M31" s="18"/>
      <c r="N31" s="18"/>
      <c r="O31" s="55"/>
      <c r="P31" s="40">
        <v>30</v>
      </c>
      <c r="Q31" s="40">
        <v>1</v>
      </c>
      <c r="R31" s="40">
        <v>1</v>
      </c>
      <c r="S31" s="40">
        <v>1</v>
      </c>
      <c r="T31" s="40">
        <v>1</v>
      </c>
      <c r="U31" s="40">
        <v>1</v>
      </c>
      <c r="V31" s="18">
        <v>1</v>
      </c>
      <c r="W31" s="18">
        <v>30</v>
      </c>
      <c r="X31" s="18">
        <v>1</v>
      </c>
      <c r="Y31" s="18">
        <v>1</v>
      </c>
      <c r="Z31" s="18">
        <v>1</v>
      </c>
      <c r="AA31" s="18">
        <v>1</v>
      </c>
      <c r="AB31" s="18">
        <v>1</v>
      </c>
      <c r="AC31" s="18">
        <v>1</v>
      </c>
      <c r="AD31" s="29"/>
      <c r="AE31" s="29"/>
      <c r="AF31" s="29"/>
      <c r="AG31" s="29"/>
      <c r="AH31" s="29"/>
      <c r="AI31" s="29"/>
      <c r="AJ31" s="29"/>
      <c r="AL31" s="18" t="s">
        <v>741</v>
      </c>
      <c r="AM31" s="18" t="s">
        <v>99</v>
      </c>
      <c r="AN31" s="18">
        <v>1</v>
      </c>
      <c r="AO31" s="18">
        <v>1</v>
      </c>
      <c r="AP31" s="18">
        <v>1</v>
      </c>
      <c r="AQ31" s="18">
        <v>1</v>
      </c>
      <c r="AR31" s="18">
        <v>1</v>
      </c>
      <c r="AS31" s="18">
        <v>30</v>
      </c>
      <c r="AT31" s="18">
        <v>1</v>
      </c>
      <c r="AU31" s="18">
        <v>1</v>
      </c>
      <c r="AV31" s="18">
        <v>1</v>
      </c>
      <c r="AW31" s="18">
        <v>1</v>
      </c>
      <c r="AX31" s="18">
        <v>1</v>
      </c>
      <c r="AY31" s="18">
        <v>1</v>
      </c>
      <c r="AZ31" s="18">
        <v>30</v>
      </c>
      <c r="BA31" s="18">
        <v>1</v>
      </c>
      <c r="BB31" s="18">
        <v>1</v>
      </c>
      <c r="BC31" s="18">
        <v>1</v>
      </c>
      <c r="BD31" s="18">
        <v>1</v>
      </c>
      <c r="BE31" s="18">
        <v>1</v>
      </c>
      <c r="BF31" s="204">
        <v>1</v>
      </c>
    </row>
    <row r="32" spans="1:58" ht="14.25" customHeight="1">
      <c r="A32" s="29"/>
      <c r="B32" s="29"/>
      <c r="C32" s="29"/>
      <c r="D32" s="29"/>
      <c r="E32" s="29"/>
      <c r="F32" s="29"/>
      <c r="G32" s="29"/>
      <c r="H32" s="64" t="str">
        <f>AL2</f>
        <v>31 ਕਸ਼ਮੀਰ ਲਾਲ ਅਤੇ ਪਰਮਾ ਨੰਦ</v>
      </c>
      <c r="I32" s="47" t="s">
        <v>681</v>
      </c>
      <c r="J32" s="18" t="s">
        <v>742</v>
      </c>
      <c r="K32" s="18" t="s">
        <v>1307</v>
      </c>
      <c r="L32" s="18" t="s">
        <v>1308</v>
      </c>
      <c r="M32" s="18">
        <v>1</v>
      </c>
      <c r="N32" s="18">
        <v>1</v>
      </c>
      <c r="O32" s="55" t="s">
        <v>1202</v>
      </c>
      <c r="P32" s="17" t="s">
        <v>708</v>
      </c>
      <c r="Q32" s="18">
        <v>1</v>
      </c>
      <c r="R32" s="18">
        <v>1</v>
      </c>
      <c r="S32" s="18">
        <v>1</v>
      </c>
      <c r="T32" s="18">
        <v>1</v>
      </c>
      <c r="U32" s="18">
        <v>1</v>
      </c>
      <c r="V32" s="55" t="s">
        <v>1212</v>
      </c>
      <c r="W32" s="17" t="s">
        <v>732</v>
      </c>
      <c r="X32" s="18" t="s">
        <v>743</v>
      </c>
      <c r="Y32" s="18">
        <v>1</v>
      </c>
      <c r="Z32" s="18" t="s">
        <v>594</v>
      </c>
      <c r="AA32" s="18" t="s">
        <v>457</v>
      </c>
      <c r="AB32" s="18">
        <v>1</v>
      </c>
      <c r="AC32" s="55" t="s">
        <v>1217</v>
      </c>
      <c r="AD32" s="29"/>
      <c r="AE32" s="29"/>
      <c r="AF32" s="29"/>
      <c r="AG32" s="29"/>
      <c r="AH32" s="29"/>
      <c r="AI32" s="29"/>
      <c r="AJ32" s="29"/>
      <c r="AK32" s="29"/>
      <c r="AL32" s="17" t="s">
        <v>744</v>
      </c>
      <c r="AM32" s="18" t="s">
        <v>129</v>
      </c>
      <c r="AN32" s="18">
        <v>1</v>
      </c>
      <c r="AO32" s="18">
        <v>1</v>
      </c>
      <c r="AP32" s="18">
        <v>1</v>
      </c>
      <c r="AQ32" s="18">
        <v>1</v>
      </c>
      <c r="AR32" s="55" t="s">
        <v>1224</v>
      </c>
      <c r="AS32" s="17" t="s">
        <v>745</v>
      </c>
      <c r="AT32" s="18">
        <v>1</v>
      </c>
      <c r="AU32" s="18">
        <v>1</v>
      </c>
      <c r="AV32" s="18">
        <v>1</v>
      </c>
      <c r="AW32" s="18">
        <v>1</v>
      </c>
      <c r="AX32" s="18">
        <v>1</v>
      </c>
      <c r="AY32" s="18">
        <v>1</v>
      </c>
      <c r="AZ32" s="17" t="s">
        <v>227</v>
      </c>
      <c r="BA32" s="18">
        <v>1</v>
      </c>
      <c r="BB32" s="18">
        <v>1</v>
      </c>
      <c r="BC32" s="18">
        <v>1</v>
      </c>
      <c r="BD32" s="18">
        <v>1</v>
      </c>
      <c r="BE32" s="18">
        <v>1</v>
      </c>
      <c r="BF32" s="204">
        <v>1</v>
      </c>
    </row>
    <row r="33" spans="1:58" ht="14.25" customHeight="1">
      <c r="A33" s="29"/>
      <c r="B33" s="29"/>
      <c r="C33" s="29"/>
      <c r="D33" s="29"/>
      <c r="E33" s="29"/>
      <c r="F33" s="29"/>
      <c r="G33" s="29"/>
      <c r="H33" s="64" t="str">
        <f>AL7</f>
        <v>32 ਸੱਤੀ ਰਾਮ</v>
      </c>
      <c r="I33" s="48" t="s">
        <v>222</v>
      </c>
      <c r="J33" s="18">
        <v>1</v>
      </c>
      <c r="K33" s="18">
        <v>1</v>
      </c>
      <c r="L33" s="18">
        <v>1</v>
      </c>
      <c r="M33" s="18">
        <v>1</v>
      </c>
      <c r="N33" s="18">
        <v>1</v>
      </c>
      <c r="O33" s="55"/>
      <c r="P33" s="18" t="s">
        <v>725</v>
      </c>
      <c r="Q33" s="18" t="s">
        <v>470</v>
      </c>
      <c r="R33" s="18" t="s">
        <v>746</v>
      </c>
      <c r="S33" s="18" t="s">
        <v>75</v>
      </c>
      <c r="T33" s="120" t="s">
        <v>710</v>
      </c>
      <c r="U33" s="18">
        <v>1</v>
      </c>
      <c r="V33" s="18">
        <v>1</v>
      </c>
      <c r="W33" s="18">
        <v>32</v>
      </c>
      <c r="X33" s="18" t="s">
        <v>747</v>
      </c>
      <c r="Y33" s="18" t="s">
        <v>748</v>
      </c>
      <c r="Z33" s="120" t="s">
        <v>212</v>
      </c>
      <c r="AA33" s="120" t="s">
        <v>209</v>
      </c>
      <c r="AB33" s="120" t="s">
        <v>596</v>
      </c>
      <c r="AC33" s="18">
        <v>1</v>
      </c>
      <c r="AD33" s="29"/>
      <c r="AE33" s="29"/>
      <c r="AF33" s="29"/>
      <c r="AG33" s="29"/>
      <c r="AH33" s="29"/>
      <c r="AI33" s="29"/>
      <c r="AJ33" s="29"/>
      <c r="AK33" s="29"/>
      <c r="AL33" s="18" t="s">
        <v>158</v>
      </c>
      <c r="AM33" s="18" t="s">
        <v>94</v>
      </c>
      <c r="AN33" s="18" t="s">
        <v>749</v>
      </c>
      <c r="AO33" s="18">
        <v>1</v>
      </c>
      <c r="AP33" s="18">
        <v>1</v>
      </c>
      <c r="AQ33" s="18">
        <v>1</v>
      </c>
      <c r="AR33" s="18">
        <v>1</v>
      </c>
      <c r="AS33" s="18">
        <v>32</v>
      </c>
      <c r="AT33" s="18">
        <v>1</v>
      </c>
      <c r="AU33" s="18">
        <v>1</v>
      </c>
      <c r="AV33" s="18">
        <v>1</v>
      </c>
      <c r="AW33" s="18">
        <v>1</v>
      </c>
      <c r="AX33" s="18">
        <v>1</v>
      </c>
      <c r="AY33" s="18">
        <v>1</v>
      </c>
      <c r="AZ33" s="18">
        <v>32</v>
      </c>
      <c r="BA33" s="18">
        <v>1</v>
      </c>
      <c r="BB33" s="18">
        <v>1</v>
      </c>
      <c r="BC33" s="18">
        <v>1</v>
      </c>
      <c r="BD33" s="18">
        <v>1</v>
      </c>
      <c r="BE33" s="18">
        <v>1</v>
      </c>
      <c r="BF33" s="204">
        <v>1</v>
      </c>
    </row>
    <row r="34" spans="1:58" ht="14.25" customHeight="1">
      <c r="A34" s="29"/>
      <c r="B34" s="29"/>
      <c r="C34" s="29"/>
      <c r="D34" s="29"/>
      <c r="E34" s="29"/>
      <c r="F34" s="29"/>
      <c r="G34" s="29"/>
      <c r="H34" s="64" t="str">
        <f>AL12</f>
        <v>33 ਜੈ ਚੰਦ ਚੌਧਰੀ ਰਾਮ</v>
      </c>
      <c r="I34" s="48"/>
      <c r="J34" s="18"/>
      <c r="K34" s="18"/>
      <c r="L34" s="18"/>
      <c r="M34" s="18"/>
      <c r="N34" s="18"/>
      <c r="O34" s="55"/>
      <c r="P34" s="120" t="s">
        <v>281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33</v>
      </c>
      <c r="X34" s="18" t="s">
        <v>582</v>
      </c>
      <c r="Y34" s="18" t="s">
        <v>750</v>
      </c>
      <c r="Z34" s="18" t="s">
        <v>55</v>
      </c>
      <c r="AA34" s="18" t="s">
        <v>39</v>
      </c>
      <c r="AB34" s="18">
        <v>1</v>
      </c>
      <c r="AC34" s="18">
        <v>1</v>
      </c>
      <c r="AD34" s="29"/>
      <c r="AE34" s="29"/>
      <c r="AF34" s="29"/>
      <c r="AG34" s="29"/>
      <c r="AH34" s="29"/>
      <c r="AI34" s="29"/>
      <c r="AJ34" s="29"/>
      <c r="AK34" s="29"/>
      <c r="AL34" s="18" t="s">
        <v>472</v>
      </c>
      <c r="AM34" s="18" t="s">
        <v>634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33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33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204">
        <v>1</v>
      </c>
    </row>
    <row r="35" spans="1:58" ht="14.25" customHeight="1">
      <c r="A35" s="29"/>
      <c r="B35" s="29"/>
      <c r="C35" s="29"/>
      <c r="D35" s="29"/>
      <c r="E35" s="29"/>
      <c r="F35" s="29"/>
      <c r="G35" s="29"/>
      <c r="H35" s="64" t="str">
        <f>AL17</f>
        <v>34 ਸਾਮ ਲਾਲ</v>
      </c>
      <c r="I35" s="48"/>
      <c r="J35" s="18"/>
      <c r="K35" s="18"/>
      <c r="L35" s="18"/>
      <c r="M35" s="18"/>
      <c r="N35" s="18"/>
      <c r="O35" s="55"/>
      <c r="P35" s="18" t="s">
        <v>544</v>
      </c>
      <c r="Q35" s="18" t="s">
        <v>150</v>
      </c>
      <c r="R35" s="120" t="s">
        <v>629</v>
      </c>
      <c r="S35" s="18">
        <v>1</v>
      </c>
      <c r="T35" s="18">
        <v>1</v>
      </c>
      <c r="U35" s="18">
        <v>1</v>
      </c>
      <c r="V35" s="18">
        <v>1</v>
      </c>
      <c r="W35" s="18">
        <v>34</v>
      </c>
      <c r="X35" s="18" t="s">
        <v>751</v>
      </c>
      <c r="Y35" s="18" t="s">
        <v>288</v>
      </c>
      <c r="Z35" s="120" t="s">
        <v>1397</v>
      </c>
      <c r="AA35" s="120" t="s">
        <v>1398</v>
      </c>
      <c r="AB35" s="120" t="s">
        <v>153</v>
      </c>
      <c r="AC35" s="18">
        <v>1</v>
      </c>
      <c r="AD35" s="29"/>
      <c r="AE35" s="29"/>
      <c r="AF35" s="29"/>
      <c r="AG35" s="29"/>
      <c r="AH35" s="29"/>
      <c r="AI35" s="29"/>
      <c r="AJ35" s="29"/>
      <c r="AK35" s="29"/>
      <c r="AL35" s="18">
        <v>34</v>
      </c>
      <c r="AM35" s="18">
        <v>1</v>
      </c>
      <c r="AN35" s="18">
        <v>1</v>
      </c>
      <c r="AO35" s="18">
        <v>1</v>
      </c>
      <c r="AP35" s="18">
        <v>1</v>
      </c>
      <c r="AQ35" s="18">
        <v>1</v>
      </c>
      <c r="AR35" s="18">
        <v>1</v>
      </c>
      <c r="AS35" s="18">
        <v>34</v>
      </c>
      <c r="AT35" s="18">
        <v>1</v>
      </c>
      <c r="AU35" s="18">
        <v>1</v>
      </c>
      <c r="AV35" s="18">
        <v>1</v>
      </c>
      <c r="AW35" s="18">
        <v>1</v>
      </c>
      <c r="AX35" s="18">
        <v>1</v>
      </c>
      <c r="AY35" s="18">
        <v>1</v>
      </c>
      <c r="AZ35" s="18">
        <v>34</v>
      </c>
      <c r="BA35" s="18">
        <v>1</v>
      </c>
      <c r="BB35" s="18">
        <v>1</v>
      </c>
      <c r="BC35" s="18">
        <v>1</v>
      </c>
      <c r="BD35" s="18">
        <v>1</v>
      </c>
      <c r="BE35" s="18">
        <v>1</v>
      </c>
      <c r="BF35" s="204">
        <v>1</v>
      </c>
    </row>
    <row r="36" spans="1:58" ht="14.25" customHeight="1">
      <c r="A36" s="29"/>
      <c r="B36" s="29"/>
      <c r="C36" s="29"/>
      <c r="D36" s="29"/>
      <c r="E36" s="29"/>
      <c r="F36" s="29"/>
      <c r="G36" s="29"/>
      <c r="H36" s="64" t="str">
        <f>AL22</f>
        <v>35 ਵਰਿਆਮ ਚੰਦ (ਕੁੱਲੀ)</v>
      </c>
      <c r="I36" s="48"/>
      <c r="J36" s="18"/>
      <c r="K36" s="18"/>
      <c r="L36" s="18"/>
      <c r="M36" s="18"/>
      <c r="N36" s="18"/>
      <c r="O36" s="55"/>
      <c r="P36" s="120" t="s">
        <v>606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35</v>
      </c>
      <c r="X36" s="18"/>
      <c r="Y36" s="18"/>
      <c r="Z36" s="18"/>
      <c r="AA36" s="18">
        <v>1</v>
      </c>
      <c r="AB36" s="18">
        <v>1</v>
      </c>
      <c r="AC36" s="18">
        <v>1</v>
      </c>
      <c r="AD36" s="29"/>
      <c r="AE36" s="29"/>
      <c r="AF36" s="29"/>
      <c r="AG36" s="29"/>
      <c r="AH36" s="29"/>
      <c r="AI36" s="29"/>
      <c r="AJ36" s="29"/>
      <c r="AK36" s="29"/>
      <c r="AL36" s="18">
        <v>35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35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35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204">
        <v>1</v>
      </c>
    </row>
    <row r="37" spans="1:58" ht="14.25" customHeight="1">
      <c r="A37" s="29"/>
      <c r="B37" s="29"/>
      <c r="C37" s="29"/>
      <c r="D37" s="29"/>
      <c r="E37" s="29"/>
      <c r="F37" s="29"/>
      <c r="G37" s="29"/>
      <c r="H37" s="233" t="str">
        <f>AL27</f>
        <v>36 ਮਾਹਲਾ ਰਾਮ ਨੱਢਾ</v>
      </c>
      <c r="I37" s="47" t="s">
        <v>686</v>
      </c>
      <c r="J37" s="18" t="s">
        <v>164</v>
      </c>
      <c r="K37" s="18" t="s">
        <v>1309</v>
      </c>
      <c r="L37" s="18" t="s">
        <v>1310</v>
      </c>
      <c r="M37" s="18">
        <v>1</v>
      </c>
      <c r="N37" s="18">
        <v>1</v>
      </c>
      <c r="O37" s="55" t="s">
        <v>1203</v>
      </c>
      <c r="P37" s="17" t="s">
        <v>713</v>
      </c>
      <c r="Q37" s="18">
        <v>1</v>
      </c>
      <c r="R37" s="18">
        <v>1</v>
      </c>
      <c r="S37" s="18">
        <v>1</v>
      </c>
      <c r="T37" s="18">
        <v>1</v>
      </c>
      <c r="U37" s="18">
        <v>1</v>
      </c>
      <c r="V37" s="55" t="s">
        <v>1213</v>
      </c>
      <c r="W37" s="229" t="s">
        <v>735</v>
      </c>
      <c r="X37" s="116" t="s">
        <v>143</v>
      </c>
      <c r="Y37" s="116" t="s">
        <v>754</v>
      </c>
      <c r="Z37" s="116" t="s">
        <v>755</v>
      </c>
      <c r="AA37" s="116">
        <v>1</v>
      </c>
      <c r="AB37" s="116" t="s">
        <v>1403</v>
      </c>
      <c r="AC37" s="250" t="s">
        <v>1445</v>
      </c>
      <c r="AD37" s="29"/>
      <c r="AE37" s="29"/>
      <c r="AF37" s="29"/>
      <c r="AG37" s="29"/>
      <c r="AH37" s="29"/>
      <c r="AI37" s="29"/>
      <c r="AJ37" s="29"/>
      <c r="AK37" s="29"/>
      <c r="AL37" s="17" t="s">
        <v>756</v>
      </c>
      <c r="AM37" s="18" t="s">
        <v>241</v>
      </c>
      <c r="AN37" s="18" t="s">
        <v>757</v>
      </c>
      <c r="AO37" s="18" t="s">
        <v>491</v>
      </c>
      <c r="AP37" s="18">
        <v>1</v>
      </c>
      <c r="AQ37" s="18">
        <v>1</v>
      </c>
      <c r="AR37" s="55" t="s">
        <v>1225</v>
      </c>
      <c r="AS37" s="17" t="s">
        <v>758</v>
      </c>
      <c r="AT37" s="18">
        <v>1</v>
      </c>
      <c r="AU37" s="18">
        <v>1</v>
      </c>
      <c r="AV37" s="18">
        <v>1</v>
      </c>
      <c r="AW37" s="18">
        <v>1</v>
      </c>
      <c r="AX37" s="18">
        <v>1</v>
      </c>
      <c r="AY37" s="18">
        <v>1</v>
      </c>
      <c r="AZ37" s="17" t="s">
        <v>247</v>
      </c>
      <c r="BA37" s="18">
        <v>1</v>
      </c>
      <c r="BB37" s="18">
        <v>1</v>
      </c>
      <c r="BC37" s="18">
        <v>1</v>
      </c>
      <c r="BD37" s="18">
        <v>1</v>
      </c>
      <c r="BE37" s="18">
        <v>1</v>
      </c>
      <c r="BF37" s="204">
        <v>1</v>
      </c>
    </row>
    <row r="38" spans="1:58" ht="14.25" customHeight="1">
      <c r="A38" s="29"/>
      <c r="B38" s="29"/>
      <c r="C38" s="29"/>
      <c r="D38" s="29"/>
      <c r="E38" s="29"/>
      <c r="F38" s="29"/>
      <c r="G38" s="29"/>
      <c r="H38" s="235" t="str">
        <f>AL32</f>
        <v>37 ਹੰਸ ਰਾਜ ਮਾਂਘਾ ਰਾਮ</v>
      </c>
      <c r="I38" s="18" t="s">
        <v>752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55"/>
      <c r="P38" s="18" t="s">
        <v>759</v>
      </c>
      <c r="Q38" s="18" t="s">
        <v>347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16" t="s">
        <v>457</v>
      </c>
      <c r="X38" s="116">
        <v>1</v>
      </c>
      <c r="Y38" s="116">
        <v>1</v>
      </c>
      <c r="Z38" s="116">
        <v>1</v>
      </c>
      <c r="AA38" s="116">
        <v>1</v>
      </c>
      <c r="AB38" s="116">
        <v>1</v>
      </c>
      <c r="AC38" s="116">
        <v>1</v>
      </c>
      <c r="AD38" s="29"/>
      <c r="AE38" s="29"/>
      <c r="AF38" s="29"/>
      <c r="AG38" s="29"/>
      <c r="AH38" s="29"/>
      <c r="AI38" s="29"/>
      <c r="AJ38" s="29"/>
      <c r="AK38" s="29"/>
      <c r="AL38" s="18" t="s">
        <v>112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37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37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204">
        <v>1</v>
      </c>
    </row>
    <row r="39" spans="1:58" ht="14.25" customHeight="1">
      <c r="A39" s="29"/>
      <c r="B39" s="29"/>
      <c r="C39" s="29"/>
      <c r="D39" s="29"/>
      <c r="E39" s="29"/>
      <c r="F39" s="29"/>
      <c r="G39" s="29"/>
      <c r="H39" s="64" t="str">
        <f>AL37</f>
        <v>38 ਸੋਭਾ ਰਾਮ ਵਸਾਵਾ ਰਾਮ</v>
      </c>
      <c r="I39" s="48"/>
      <c r="J39" s="18"/>
      <c r="K39" s="18"/>
      <c r="L39" s="18"/>
      <c r="M39" s="18"/>
      <c r="N39" s="18"/>
      <c r="O39" s="55"/>
      <c r="P39" s="18" t="s">
        <v>760</v>
      </c>
      <c r="Q39" s="120" t="s">
        <v>347</v>
      </c>
      <c r="R39" s="18">
        <v>1</v>
      </c>
      <c r="S39" s="18">
        <v>1</v>
      </c>
      <c r="T39" s="18">
        <v>1</v>
      </c>
      <c r="U39" s="18">
        <v>1</v>
      </c>
      <c r="V39" s="18">
        <v>1</v>
      </c>
      <c r="W39" s="116" t="s">
        <v>222</v>
      </c>
      <c r="X39" s="116">
        <v>1</v>
      </c>
      <c r="Y39" s="116">
        <v>1</v>
      </c>
      <c r="Z39" s="116">
        <v>1</v>
      </c>
      <c r="AA39" s="116">
        <v>1</v>
      </c>
      <c r="AB39" s="116">
        <v>1</v>
      </c>
      <c r="AC39" s="116">
        <v>1</v>
      </c>
      <c r="AD39" s="29"/>
      <c r="AE39" s="29"/>
      <c r="AF39" s="29"/>
      <c r="AG39" s="29"/>
      <c r="AH39" s="29"/>
      <c r="AI39" s="29"/>
      <c r="AJ39" s="29"/>
      <c r="AK39" s="29"/>
      <c r="AL39" s="40" t="s">
        <v>761</v>
      </c>
      <c r="AM39" s="18">
        <v>1</v>
      </c>
      <c r="AN39" s="18">
        <v>1</v>
      </c>
      <c r="AO39" s="18">
        <v>1</v>
      </c>
      <c r="AP39" s="18">
        <v>1</v>
      </c>
      <c r="AQ39" s="18">
        <v>1</v>
      </c>
      <c r="AR39" s="18">
        <v>1</v>
      </c>
      <c r="AS39" s="18">
        <v>38</v>
      </c>
      <c r="AT39" s="18">
        <v>1</v>
      </c>
      <c r="AU39" s="18">
        <v>1</v>
      </c>
      <c r="AV39" s="18">
        <v>1</v>
      </c>
      <c r="AW39" s="18">
        <v>1</v>
      </c>
      <c r="AX39" s="18">
        <v>1</v>
      </c>
      <c r="AY39" s="18">
        <v>1</v>
      </c>
      <c r="AZ39" s="18">
        <v>38</v>
      </c>
      <c r="BA39" s="18">
        <v>1</v>
      </c>
      <c r="BB39" s="18">
        <v>1</v>
      </c>
      <c r="BC39" s="18">
        <v>1</v>
      </c>
      <c r="BD39" s="18">
        <v>1</v>
      </c>
      <c r="BE39" s="18">
        <v>1</v>
      </c>
      <c r="BF39" s="204">
        <v>1</v>
      </c>
    </row>
    <row r="40" spans="1:58" ht="14.25" customHeight="1">
      <c r="A40" s="29"/>
      <c r="B40" s="29"/>
      <c r="C40" s="29"/>
      <c r="D40" s="29"/>
      <c r="E40" s="29"/>
      <c r="F40" s="29"/>
      <c r="G40" s="29"/>
      <c r="H40" s="64" t="str">
        <f>AL42</f>
        <v>39 ਚਾਂਦੀ ਰਾਮ ਖਜਾਨ ਚੰਦ</v>
      </c>
      <c r="I40" s="48"/>
      <c r="J40" s="18"/>
      <c r="K40" s="18"/>
      <c r="L40" s="18"/>
      <c r="M40" s="18"/>
      <c r="N40" s="18"/>
      <c r="O40" s="55"/>
      <c r="P40" s="18">
        <v>39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16">
        <v>45</v>
      </c>
      <c r="X40" s="116">
        <v>1</v>
      </c>
      <c r="Y40" s="116">
        <v>1</v>
      </c>
      <c r="Z40" s="116">
        <v>1</v>
      </c>
      <c r="AA40" s="116">
        <v>1</v>
      </c>
      <c r="AB40" s="116">
        <v>1</v>
      </c>
      <c r="AC40" s="116">
        <v>1</v>
      </c>
      <c r="AD40" s="29"/>
      <c r="AE40" s="29"/>
      <c r="AF40" s="29"/>
      <c r="AG40" s="29"/>
      <c r="AH40" s="29"/>
      <c r="AI40" s="29"/>
      <c r="AJ40" s="29"/>
      <c r="AK40" s="29"/>
      <c r="AL40" s="18">
        <v>39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39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39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204">
        <v>1</v>
      </c>
    </row>
    <row r="41" spans="1:58" ht="14.25" customHeight="1">
      <c r="A41" s="29"/>
      <c r="B41" s="29"/>
      <c r="C41" s="29"/>
      <c r="D41" s="29"/>
      <c r="E41" s="29"/>
      <c r="F41" s="29"/>
      <c r="G41" s="29"/>
      <c r="H41" s="64" t="str">
        <f>AL47</f>
        <v>40 ਟਾਹਲਾ ਰਾਮ ਨੱਢਾ</v>
      </c>
      <c r="I41" s="48"/>
      <c r="J41" s="18"/>
      <c r="K41" s="18"/>
      <c r="L41" s="18"/>
      <c r="M41" s="18"/>
      <c r="N41" s="18"/>
      <c r="O41" s="55"/>
      <c r="P41" s="18">
        <v>40</v>
      </c>
      <c r="Q41" s="18">
        <v>1</v>
      </c>
      <c r="R41" s="18">
        <v>1</v>
      </c>
      <c r="S41" s="18">
        <v>1</v>
      </c>
      <c r="T41" s="18">
        <v>1</v>
      </c>
      <c r="U41" s="18">
        <v>1</v>
      </c>
      <c r="V41" s="18">
        <v>1</v>
      </c>
      <c r="W41" s="116" t="s">
        <v>763</v>
      </c>
      <c r="X41" s="116" t="s">
        <v>717</v>
      </c>
      <c r="Y41" s="116" t="s">
        <v>281</v>
      </c>
      <c r="Z41" s="116" t="s">
        <v>657</v>
      </c>
      <c r="AA41" s="116" t="s">
        <v>413</v>
      </c>
      <c r="AB41" s="116">
        <v>1</v>
      </c>
      <c r="AC41" s="116">
        <v>1</v>
      </c>
      <c r="AD41" s="29"/>
      <c r="AE41" s="29"/>
      <c r="AF41" s="29"/>
      <c r="AG41" s="29"/>
      <c r="AH41" s="29"/>
      <c r="AI41" s="29"/>
      <c r="AJ41" s="29"/>
      <c r="AK41" s="29"/>
      <c r="AL41" s="18">
        <v>40</v>
      </c>
      <c r="AM41" s="18">
        <v>1</v>
      </c>
      <c r="AN41" s="18">
        <v>1</v>
      </c>
      <c r="AO41" s="18">
        <v>1</v>
      </c>
      <c r="AP41" s="18">
        <v>1</v>
      </c>
      <c r="AQ41" s="18">
        <v>1</v>
      </c>
      <c r="AR41" s="18">
        <v>1</v>
      </c>
      <c r="AS41" s="18">
        <v>40</v>
      </c>
      <c r="AT41" s="18">
        <v>1</v>
      </c>
      <c r="AU41" s="18">
        <v>1</v>
      </c>
      <c r="AV41" s="18">
        <v>1</v>
      </c>
      <c r="AW41" s="18">
        <v>1</v>
      </c>
      <c r="AX41" s="18">
        <v>1</v>
      </c>
      <c r="AY41" s="18">
        <v>1</v>
      </c>
      <c r="AZ41" s="18">
        <v>40</v>
      </c>
      <c r="BA41" s="18">
        <v>1</v>
      </c>
      <c r="BB41" s="18">
        <v>1</v>
      </c>
      <c r="BC41" s="18">
        <v>1</v>
      </c>
      <c r="BD41" s="18">
        <v>1</v>
      </c>
      <c r="BE41" s="18">
        <v>1</v>
      </c>
      <c r="BF41" s="204">
        <v>1</v>
      </c>
    </row>
    <row r="42" spans="1:58" ht="14.25" customHeight="1">
      <c r="A42" s="29"/>
      <c r="B42" s="29"/>
      <c r="C42" s="29"/>
      <c r="D42" s="29"/>
      <c r="E42" s="29"/>
      <c r="F42" s="29"/>
      <c r="G42" s="29"/>
      <c r="H42" s="64" t="str">
        <f>AS2</f>
        <v xml:space="preserve">41 ਓਮ ਪ੍ਰਕਾਸ਼ ਪੁੱਤਰ ਝਾਂਗੀ ਰਾਮ </v>
      </c>
      <c r="I42" s="47" t="s">
        <v>690</v>
      </c>
      <c r="J42" s="18" t="s">
        <v>167</v>
      </c>
      <c r="K42" s="18">
        <v>1</v>
      </c>
      <c r="L42" s="18">
        <v>1</v>
      </c>
      <c r="M42" s="18">
        <v>1</v>
      </c>
      <c r="N42" s="18">
        <v>1</v>
      </c>
      <c r="O42" s="55" t="s">
        <v>1204</v>
      </c>
      <c r="P42" s="17" t="s">
        <v>714</v>
      </c>
      <c r="Q42" s="18" t="s">
        <v>111</v>
      </c>
      <c r="R42" s="18">
        <v>1</v>
      </c>
      <c r="S42" s="18">
        <v>1</v>
      </c>
      <c r="T42" s="18">
        <v>1</v>
      </c>
      <c r="U42" s="18">
        <v>1</v>
      </c>
      <c r="V42" s="55" t="s">
        <v>1440</v>
      </c>
      <c r="W42" s="17" t="s">
        <v>738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244" t="s">
        <v>1446</v>
      </c>
      <c r="AD42" s="29"/>
      <c r="AE42" s="29"/>
      <c r="AF42" s="29"/>
      <c r="AG42" s="29"/>
      <c r="AH42" s="29"/>
      <c r="AI42" s="29"/>
      <c r="AJ42" s="29"/>
      <c r="AK42" s="29"/>
      <c r="AL42" s="17" t="s">
        <v>762</v>
      </c>
      <c r="AM42" s="18" t="s">
        <v>284</v>
      </c>
      <c r="AN42" s="18" t="s">
        <v>764</v>
      </c>
      <c r="AO42" s="18">
        <v>1</v>
      </c>
      <c r="AP42" s="18">
        <v>1</v>
      </c>
      <c r="AQ42" s="18">
        <v>1</v>
      </c>
      <c r="AR42" s="55" t="s">
        <v>1218</v>
      </c>
      <c r="AS42" s="17" t="s">
        <v>765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7" t="s">
        <v>270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204">
        <v>1</v>
      </c>
    </row>
    <row r="43" spans="1:58" ht="14.25" customHeight="1">
      <c r="A43" s="29"/>
      <c r="B43" s="29"/>
      <c r="C43" s="29"/>
      <c r="D43" s="29"/>
      <c r="E43" s="29"/>
      <c r="F43" s="29"/>
      <c r="G43" s="29"/>
      <c r="H43" s="64" t="str">
        <f>AS7</f>
        <v>42 00</v>
      </c>
      <c r="I43" s="48" t="s">
        <v>766</v>
      </c>
      <c r="J43" s="18" t="s">
        <v>197</v>
      </c>
      <c r="K43" s="18">
        <v>1</v>
      </c>
      <c r="L43" s="18">
        <v>1</v>
      </c>
      <c r="M43" s="18">
        <v>1</v>
      </c>
      <c r="N43" s="18">
        <v>1</v>
      </c>
      <c r="O43" s="55"/>
      <c r="P43" s="18" t="s">
        <v>767</v>
      </c>
      <c r="Q43" s="18" t="s">
        <v>257</v>
      </c>
      <c r="R43" s="18">
        <v>1</v>
      </c>
      <c r="S43" s="18">
        <v>1</v>
      </c>
      <c r="T43" s="18">
        <v>1</v>
      </c>
      <c r="U43" s="18">
        <v>1</v>
      </c>
      <c r="V43" s="18">
        <v>1</v>
      </c>
      <c r="W43" s="18" t="s">
        <v>761</v>
      </c>
      <c r="X43" s="18">
        <v>1</v>
      </c>
      <c r="Y43" s="18">
        <v>1</v>
      </c>
      <c r="Z43" s="18">
        <v>1</v>
      </c>
      <c r="AA43" s="18">
        <v>1</v>
      </c>
      <c r="AB43" s="18">
        <v>1</v>
      </c>
      <c r="AC43" s="18">
        <v>1</v>
      </c>
      <c r="AD43" s="29"/>
      <c r="AE43" s="29"/>
      <c r="AF43" s="29"/>
      <c r="AG43" s="29"/>
      <c r="AH43" s="29"/>
      <c r="AI43" s="29"/>
      <c r="AJ43" s="29"/>
      <c r="AK43" s="29"/>
      <c r="AL43" s="18" t="s">
        <v>768</v>
      </c>
      <c r="AM43" s="18" t="s">
        <v>572</v>
      </c>
      <c r="AN43" s="18" t="s">
        <v>769</v>
      </c>
      <c r="AO43" s="18">
        <v>1</v>
      </c>
      <c r="AP43" s="18">
        <v>1</v>
      </c>
      <c r="AQ43" s="18">
        <v>1</v>
      </c>
      <c r="AR43" s="18">
        <v>1</v>
      </c>
      <c r="AS43" s="18">
        <v>42</v>
      </c>
      <c r="AT43" s="18">
        <v>1</v>
      </c>
      <c r="AU43" s="18">
        <v>1</v>
      </c>
      <c r="AV43" s="18">
        <v>1</v>
      </c>
      <c r="AW43" s="18">
        <v>1</v>
      </c>
      <c r="AX43" s="18">
        <v>1</v>
      </c>
      <c r="AY43" s="18">
        <v>1</v>
      </c>
      <c r="AZ43" s="18">
        <v>42</v>
      </c>
      <c r="BA43" s="18">
        <v>1</v>
      </c>
      <c r="BB43" s="18">
        <v>1</v>
      </c>
      <c r="BC43" s="18">
        <v>1</v>
      </c>
      <c r="BD43" s="18">
        <v>1</v>
      </c>
      <c r="BE43" s="18">
        <v>1</v>
      </c>
      <c r="BF43" s="204">
        <v>1</v>
      </c>
    </row>
    <row r="44" spans="1:58" ht="14.25" customHeight="1">
      <c r="A44" s="29"/>
      <c r="B44" s="29"/>
      <c r="C44" s="29"/>
      <c r="D44" s="29"/>
      <c r="E44" s="29"/>
      <c r="F44" s="29"/>
      <c r="G44" s="29"/>
      <c r="H44" s="64" t="str">
        <f>AS12</f>
        <v>43 thirteen</v>
      </c>
      <c r="I44" s="48"/>
      <c r="J44" s="18"/>
      <c r="K44" s="18"/>
      <c r="L44" s="18"/>
      <c r="M44" s="18"/>
      <c r="N44" s="18"/>
      <c r="O44" s="55"/>
      <c r="P44" s="18" t="s">
        <v>55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 t="s">
        <v>384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29"/>
      <c r="AE44" s="29"/>
      <c r="AF44" s="29"/>
      <c r="AG44" s="29"/>
      <c r="AH44" s="29"/>
      <c r="AI44" s="29"/>
      <c r="AJ44" s="29"/>
      <c r="AK44" s="29"/>
      <c r="AL44" s="18" t="s">
        <v>457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43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43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204">
        <v>1</v>
      </c>
    </row>
    <row r="45" spans="1:58" ht="14.25" customHeight="1">
      <c r="A45" s="29"/>
      <c r="B45" s="29"/>
      <c r="C45" s="29"/>
      <c r="D45" s="29"/>
      <c r="E45" s="29"/>
      <c r="F45" s="29"/>
      <c r="G45" s="29"/>
      <c r="H45" s="64" t="str">
        <f>AS17</f>
        <v>44 fourteen</v>
      </c>
      <c r="I45" s="48"/>
      <c r="J45" s="18"/>
      <c r="K45" s="18"/>
      <c r="L45" s="18"/>
      <c r="M45" s="18"/>
      <c r="N45" s="18"/>
      <c r="O45" s="55"/>
      <c r="P45" s="18">
        <v>44</v>
      </c>
      <c r="Q45" s="18">
        <v>1</v>
      </c>
      <c r="R45" s="18">
        <v>1</v>
      </c>
      <c r="S45" s="18">
        <v>1</v>
      </c>
      <c r="T45" s="18">
        <v>1</v>
      </c>
      <c r="U45" s="18">
        <v>1</v>
      </c>
      <c r="V45" s="18">
        <v>1</v>
      </c>
      <c r="W45" s="18">
        <v>44</v>
      </c>
      <c r="X45" s="18">
        <v>1</v>
      </c>
      <c r="Y45" s="18">
        <v>1</v>
      </c>
      <c r="Z45" s="18">
        <v>1</v>
      </c>
      <c r="AA45" s="18">
        <v>1</v>
      </c>
      <c r="AB45" s="18">
        <v>1</v>
      </c>
      <c r="AC45" s="18">
        <v>1</v>
      </c>
      <c r="AD45" s="29"/>
      <c r="AE45" s="29"/>
      <c r="AF45" s="29"/>
      <c r="AG45" s="29"/>
      <c r="AH45" s="29"/>
      <c r="AI45" s="29"/>
      <c r="AJ45" s="29"/>
      <c r="AK45" s="29"/>
      <c r="AL45" s="18" t="s">
        <v>770</v>
      </c>
      <c r="AM45" s="18" t="s">
        <v>491</v>
      </c>
      <c r="AN45" s="18">
        <v>1</v>
      </c>
      <c r="AO45" s="18">
        <v>1</v>
      </c>
      <c r="AP45" s="18">
        <v>1</v>
      </c>
      <c r="AQ45" s="18">
        <v>1</v>
      </c>
      <c r="AR45" s="18">
        <v>1</v>
      </c>
      <c r="AS45" s="18">
        <v>44</v>
      </c>
      <c r="AT45" s="18">
        <v>1</v>
      </c>
      <c r="AU45" s="18">
        <v>1</v>
      </c>
      <c r="AV45" s="18">
        <v>1</v>
      </c>
      <c r="AW45" s="18">
        <v>1</v>
      </c>
      <c r="AX45" s="18">
        <v>1</v>
      </c>
      <c r="AY45" s="18">
        <v>1</v>
      </c>
      <c r="AZ45" s="18">
        <v>44</v>
      </c>
      <c r="BA45" s="18">
        <v>1</v>
      </c>
      <c r="BB45" s="18">
        <v>1</v>
      </c>
      <c r="BC45" s="18">
        <v>1</v>
      </c>
      <c r="BD45" s="18">
        <v>1</v>
      </c>
      <c r="BE45" s="18">
        <v>1</v>
      </c>
      <c r="BF45" s="204">
        <v>1</v>
      </c>
    </row>
    <row r="46" spans="1:58" ht="14.25" customHeight="1">
      <c r="A46" s="29"/>
      <c r="B46" s="29"/>
      <c r="C46" s="29"/>
      <c r="D46" s="29"/>
      <c r="E46" s="29"/>
      <c r="F46" s="29"/>
      <c r="G46" s="29"/>
      <c r="H46" s="64" t="str">
        <f>AS22</f>
        <v>45 fifteen</v>
      </c>
      <c r="I46" s="48"/>
      <c r="J46" s="18"/>
      <c r="K46" s="18"/>
      <c r="L46" s="18"/>
      <c r="M46" s="18"/>
      <c r="N46" s="18"/>
      <c r="O46" s="55"/>
      <c r="P46" s="18">
        <v>45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45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29"/>
      <c r="AE46" s="29"/>
      <c r="AF46" s="29"/>
      <c r="AG46" s="29"/>
      <c r="AH46" s="29"/>
      <c r="AI46" s="29"/>
      <c r="AJ46" s="29"/>
      <c r="AK46" s="29"/>
      <c r="AL46" s="18">
        <v>45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45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45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204">
        <v>1</v>
      </c>
    </row>
    <row r="47" spans="1:58" ht="14.25" customHeight="1">
      <c r="A47" s="29"/>
      <c r="B47" s="29"/>
      <c r="C47" s="29"/>
      <c r="D47" s="29"/>
      <c r="E47" s="29"/>
      <c r="F47" s="29"/>
      <c r="G47" s="29"/>
      <c r="H47" s="64" t="str">
        <f>AS27</f>
        <v>46 sixteen</v>
      </c>
      <c r="I47" s="47" t="s">
        <v>693</v>
      </c>
      <c r="J47" s="18" t="s">
        <v>94</v>
      </c>
      <c r="K47" s="120" t="s">
        <v>1352</v>
      </c>
      <c r="L47" s="18">
        <v>1</v>
      </c>
      <c r="M47" s="18">
        <v>1</v>
      </c>
      <c r="N47" s="18">
        <v>1</v>
      </c>
      <c r="O47" s="55" t="s">
        <v>1205</v>
      </c>
      <c r="P47" s="17" t="s">
        <v>715</v>
      </c>
      <c r="Q47" s="18" t="s">
        <v>771</v>
      </c>
      <c r="R47" s="18">
        <v>1</v>
      </c>
      <c r="S47" s="18">
        <v>1</v>
      </c>
      <c r="T47" s="18">
        <v>1</v>
      </c>
      <c r="U47" s="18">
        <v>1</v>
      </c>
      <c r="V47" s="55" t="s">
        <v>1214</v>
      </c>
      <c r="W47" s="17" t="s">
        <v>740</v>
      </c>
      <c r="X47" s="18">
        <v>1</v>
      </c>
      <c r="Y47" s="18">
        <v>1</v>
      </c>
      <c r="Z47" s="18">
        <v>1</v>
      </c>
      <c r="AA47" s="18">
        <v>1</v>
      </c>
      <c r="AB47" s="18">
        <v>1</v>
      </c>
      <c r="AC47" s="55" t="s">
        <v>1219</v>
      </c>
      <c r="AD47" s="29"/>
      <c r="AE47" s="29"/>
      <c r="AF47" s="29"/>
      <c r="AG47" s="29"/>
      <c r="AH47" s="29"/>
      <c r="AI47" s="29"/>
      <c r="AJ47" s="29"/>
      <c r="AK47" s="29"/>
      <c r="AL47" s="17" t="s">
        <v>658</v>
      </c>
      <c r="AM47" s="18">
        <v>1</v>
      </c>
      <c r="AN47" s="18">
        <v>1</v>
      </c>
      <c r="AO47" s="18">
        <v>1</v>
      </c>
      <c r="AP47" s="18">
        <v>1</v>
      </c>
      <c r="AQ47" s="18">
        <v>1</v>
      </c>
      <c r="AR47" s="55" t="s">
        <v>1226</v>
      </c>
      <c r="AS47" s="17" t="s">
        <v>772</v>
      </c>
      <c r="AT47" s="18">
        <v>1</v>
      </c>
      <c r="AU47" s="18">
        <v>1</v>
      </c>
      <c r="AV47" s="18">
        <v>1</v>
      </c>
      <c r="AW47" s="18">
        <v>1</v>
      </c>
      <c r="AX47" s="18">
        <v>1</v>
      </c>
      <c r="AY47" s="18">
        <v>1</v>
      </c>
      <c r="AZ47" s="17" t="s">
        <v>298</v>
      </c>
      <c r="BA47" s="18">
        <v>1</v>
      </c>
      <c r="BB47" s="18">
        <v>1</v>
      </c>
      <c r="BC47" s="18">
        <v>1</v>
      </c>
      <c r="BD47" s="18">
        <v>1</v>
      </c>
      <c r="BE47" s="18">
        <v>1</v>
      </c>
      <c r="BF47" s="204">
        <v>1</v>
      </c>
    </row>
    <row r="48" spans="1:58" ht="14.25" customHeight="1">
      <c r="A48" s="29"/>
      <c r="B48" s="29"/>
      <c r="C48" s="29"/>
      <c r="D48" s="29"/>
      <c r="E48" s="29"/>
      <c r="F48" s="29"/>
      <c r="G48" s="29"/>
      <c r="H48" s="64" t="str">
        <f>AS32</f>
        <v>47 seventeen</v>
      </c>
      <c r="I48" s="207" t="s">
        <v>667</v>
      </c>
      <c r="J48" s="120" t="s">
        <v>727</v>
      </c>
      <c r="K48" s="18">
        <v>1</v>
      </c>
      <c r="L48" s="18">
        <v>1</v>
      </c>
      <c r="M48" s="18">
        <v>1</v>
      </c>
      <c r="N48" s="18">
        <v>1</v>
      </c>
      <c r="O48" s="55"/>
      <c r="P48" s="18" t="s">
        <v>192</v>
      </c>
      <c r="Q48" s="18">
        <v>1</v>
      </c>
      <c r="R48" s="18">
        <v>1</v>
      </c>
      <c r="S48" s="18">
        <v>1</v>
      </c>
      <c r="T48" s="18">
        <v>1</v>
      </c>
      <c r="U48" s="18">
        <v>1</v>
      </c>
      <c r="V48" s="18">
        <v>1</v>
      </c>
      <c r="W48" s="18" t="s">
        <v>185</v>
      </c>
      <c r="X48" s="18" t="s">
        <v>92</v>
      </c>
      <c r="Y48" s="18" t="s">
        <v>773</v>
      </c>
      <c r="Z48" s="18" t="s">
        <v>774</v>
      </c>
      <c r="AA48" s="18">
        <v>1</v>
      </c>
      <c r="AB48" s="18">
        <v>1</v>
      </c>
      <c r="AC48" s="18">
        <v>1</v>
      </c>
      <c r="AD48" s="29"/>
      <c r="AE48" s="29"/>
      <c r="AF48" s="29"/>
      <c r="AG48" s="29"/>
      <c r="AH48" s="29"/>
      <c r="AI48" s="29"/>
      <c r="AJ48" s="29"/>
      <c r="AK48" s="29"/>
      <c r="AL48" s="18" t="s">
        <v>348</v>
      </c>
      <c r="AM48" s="18" t="s">
        <v>664</v>
      </c>
      <c r="AN48" s="18" t="s">
        <v>665</v>
      </c>
      <c r="AO48" s="18" t="s">
        <v>335</v>
      </c>
      <c r="AP48" s="18">
        <v>1</v>
      </c>
      <c r="AQ48" s="18">
        <v>1</v>
      </c>
      <c r="AR48" s="18">
        <v>1</v>
      </c>
      <c r="AS48" s="18">
        <v>47</v>
      </c>
      <c r="AT48" s="18">
        <v>1</v>
      </c>
      <c r="AU48" s="18">
        <v>1</v>
      </c>
      <c r="AV48" s="18">
        <v>1</v>
      </c>
      <c r="AW48" s="18">
        <v>1</v>
      </c>
      <c r="AX48" s="18">
        <v>1</v>
      </c>
      <c r="AY48" s="18">
        <v>1</v>
      </c>
      <c r="AZ48" s="18">
        <v>47</v>
      </c>
      <c r="BA48" s="18">
        <v>1</v>
      </c>
      <c r="BB48" s="18">
        <v>1</v>
      </c>
      <c r="BC48" s="18">
        <v>1</v>
      </c>
      <c r="BD48" s="18">
        <v>1</v>
      </c>
      <c r="BE48" s="18">
        <v>1</v>
      </c>
      <c r="BF48" s="204">
        <v>1</v>
      </c>
    </row>
    <row r="49" spans="1:58" ht="14.25" customHeight="1">
      <c r="A49" s="29"/>
      <c r="B49" s="29"/>
      <c r="C49" s="29"/>
      <c r="D49" s="29"/>
      <c r="E49" s="29"/>
      <c r="F49" s="29"/>
      <c r="G49" s="29"/>
      <c r="H49" s="64" t="str">
        <f>AS37</f>
        <v>48 eighteen</v>
      </c>
      <c r="I49" s="48" t="s">
        <v>775</v>
      </c>
      <c r="J49" s="18">
        <v>1</v>
      </c>
      <c r="K49" s="18">
        <v>1</v>
      </c>
      <c r="L49" s="18">
        <v>1</v>
      </c>
      <c r="M49" s="18">
        <v>1</v>
      </c>
      <c r="N49" s="18">
        <v>1</v>
      </c>
      <c r="O49" s="55"/>
      <c r="P49" s="18" t="s">
        <v>161</v>
      </c>
      <c r="Q49" s="18">
        <v>1</v>
      </c>
      <c r="R49" s="18">
        <v>1</v>
      </c>
      <c r="S49" s="18">
        <v>1</v>
      </c>
      <c r="T49" s="18">
        <v>1</v>
      </c>
      <c r="U49" s="18">
        <v>1</v>
      </c>
      <c r="V49" s="18">
        <v>1</v>
      </c>
      <c r="W49" s="18" t="s">
        <v>192</v>
      </c>
      <c r="X49" s="18" t="s">
        <v>776</v>
      </c>
      <c r="Y49" s="18" t="s">
        <v>423</v>
      </c>
      <c r="Z49" s="18" t="s">
        <v>175</v>
      </c>
      <c r="AA49" s="18">
        <v>1</v>
      </c>
      <c r="AB49" s="18">
        <v>1</v>
      </c>
      <c r="AC49" s="18">
        <v>1</v>
      </c>
      <c r="AD49" s="29"/>
      <c r="AE49" s="29"/>
      <c r="AF49" s="29"/>
      <c r="AG49" s="29"/>
      <c r="AH49" s="29"/>
      <c r="AI49" s="29"/>
      <c r="AJ49" s="29"/>
      <c r="AK49" s="29"/>
      <c r="AL49" s="18" t="s">
        <v>60</v>
      </c>
      <c r="AM49" s="18">
        <v>1</v>
      </c>
      <c r="AN49" s="18">
        <v>1</v>
      </c>
      <c r="AO49" s="18">
        <v>1</v>
      </c>
      <c r="AP49" s="18">
        <v>1</v>
      </c>
      <c r="AQ49" s="18">
        <v>1</v>
      </c>
      <c r="AR49" s="18">
        <v>1</v>
      </c>
      <c r="AS49" s="18">
        <v>48</v>
      </c>
      <c r="AT49" s="18">
        <v>1</v>
      </c>
      <c r="AU49" s="18">
        <v>1</v>
      </c>
      <c r="AV49" s="18">
        <v>1</v>
      </c>
      <c r="AW49" s="18">
        <v>1</v>
      </c>
      <c r="AX49" s="18">
        <v>1</v>
      </c>
      <c r="AY49" s="18">
        <v>1</v>
      </c>
      <c r="AZ49" s="18">
        <v>48</v>
      </c>
      <c r="BA49" s="18">
        <v>1</v>
      </c>
      <c r="BB49" s="18">
        <v>1</v>
      </c>
      <c r="BC49" s="18">
        <v>1</v>
      </c>
      <c r="BD49" s="18">
        <v>1</v>
      </c>
      <c r="BE49" s="18">
        <v>1</v>
      </c>
      <c r="BF49" s="204">
        <v>1</v>
      </c>
    </row>
    <row r="50" spans="1:58" ht="14.25" customHeight="1">
      <c r="A50" s="29"/>
      <c r="B50" s="29"/>
      <c r="C50" s="29"/>
      <c r="D50" s="29"/>
      <c r="E50" s="29"/>
      <c r="F50" s="29"/>
      <c r="G50" s="29"/>
      <c r="H50" s="64" t="str">
        <f>AS42</f>
        <v>49 niunteen</v>
      </c>
      <c r="I50" s="48"/>
      <c r="J50" s="18"/>
      <c r="K50" s="18"/>
      <c r="L50" s="18"/>
      <c r="M50" s="18"/>
      <c r="N50" s="18"/>
      <c r="O50" s="55"/>
      <c r="P50" s="18">
        <v>49</v>
      </c>
      <c r="Q50" s="18">
        <v>1</v>
      </c>
      <c r="R50" s="18">
        <v>1</v>
      </c>
      <c r="S50" s="18">
        <v>1</v>
      </c>
      <c r="T50" s="18">
        <v>1</v>
      </c>
      <c r="U50" s="18">
        <v>1</v>
      </c>
      <c r="V50" s="18">
        <v>1</v>
      </c>
      <c r="W50" s="18">
        <v>49</v>
      </c>
      <c r="X50" s="18">
        <v>1</v>
      </c>
      <c r="Y50" s="18">
        <v>1</v>
      </c>
      <c r="Z50" s="18">
        <v>1</v>
      </c>
      <c r="AA50" s="18">
        <v>1</v>
      </c>
      <c r="AB50" s="18">
        <v>1</v>
      </c>
      <c r="AC50" s="18">
        <v>1</v>
      </c>
      <c r="AD50" s="29"/>
      <c r="AE50" s="29"/>
      <c r="AF50" s="29"/>
      <c r="AG50" s="29"/>
      <c r="AH50" s="29"/>
      <c r="AI50" s="29"/>
      <c r="AJ50" s="29"/>
      <c r="AK50" s="29"/>
      <c r="AL50" s="18" t="s">
        <v>384</v>
      </c>
      <c r="AM50" s="18" t="s">
        <v>670</v>
      </c>
      <c r="AN50" s="18" t="s">
        <v>334</v>
      </c>
      <c r="AO50" s="18">
        <v>1</v>
      </c>
      <c r="AP50" s="18">
        <v>1</v>
      </c>
      <c r="AQ50" s="18">
        <v>1</v>
      </c>
      <c r="AR50" s="18">
        <v>1</v>
      </c>
      <c r="AS50" s="18">
        <v>49</v>
      </c>
      <c r="AT50" s="18">
        <v>1</v>
      </c>
      <c r="AU50" s="18">
        <v>1</v>
      </c>
      <c r="AV50" s="18">
        <v>1</v>
      </c>
      <c r="AW50" s="18">
        <v>1</v>
      </c>
      <c r="AX50" s="18">
        <v>1</v>
      </c>
      <c r="AY50" s="18">
        <v>1</v>
      </c>
      <c r="AZ50" s="18">
        <v>49</v>
      </c>
      <c r="BA50" s="18">
        <v>1</v>
      </c>
      <c r="BB50" s="18">
        <v>1</v>
      </c>
      <c r="BC50" s="18">
        <v>1</v>
      </c>
      <c r="BD50" s="18">
        <v>1</v>
      </c>
      <c r="BE50" s="18">
        <v>1</v>
      </c>
      <c r="BF50" s="204">
        <v>1</v>
      </c>
    </row>
    <row r="51" spans="1:58" ht="14.25" customHeight="1">
      <c r="A51" s="29"/>
      <c r="B51" s="29"/>
      <c r="C51" s="29"/>
      <c r="D51" s="29"/>
      <c r="E51" s="29"/>
      <c r="F51" s="29"/>
      <c r="G51" s="29"/>
      <c r="H51" s="64" t="str">
        <f>AS47</f>
        <v>50 twenty</v>
      </c>
      <c r="I51" s="48"/>
      <c r="J51" s="18"/>
      <c r="K51" s="18"/>
      <c r="L51" s="18"/>
      <c r="M51" s="18"/>
      <c r="N51" s="18"/>
      <c r="O51" s="55"/>
      <c r="P51" s="18">
        <v>50</v>
      </c>
      <c r="Q51" s="18">
        <v>1</v>
      </c>
      <c r="R51" s="18">
        <v>1</v>
      </c>
      <c r="S51" s="18">
        <v>1</v>
      </c>
      <c r="T51" s="18">
        <v>1</v>
      </c>
      <c r="U51" s="18">
        <v>1</v>
      </c>
      <c r="V51" s="18">
        <v>1</v>
      </c>
      <c r="W51" s="18">
        <v>50</v>
      </c>
      <c r="X51" s="18">
        <v>1</v>
      </c>
      <c r="Y51" s="18">
        <v>1</v>
      </c>
      <c r="Z51" s="18">
        <v>1</v>
      </c>
      <c r="AA51" s="18">
        <v>1</v>
      </c>
      <c r="AB51" s="18">
        <v>1</v>
      </c>
      <c r="AC51" s="18">
        <v>1</v>
      </c>
      <c r="AD51" s="29"/>
      <c r="AE51" s="29"/>
      <c r="AF51" s="29"/>
      <c r="AG51" s="29"/>
      <c r="AH51" s="29"/>
      <c r="AI51" s="29"/>
      <c r="AJ51" s="29"/>
      <c r="AK51" s="29"/>
      <c r="AL51" s="18" t="s">
        <v>592</v>
      </c>
      <c r="AM51" s="18" t="s">
        <v>143</v>
      </c>
      <c r="AN51" s="18" t="s">
        <v>673</v>
      </c>
      <c r="AO51" s="18">
        <v>1</v>
      </c>
      <c r="AP51" s="18">
        <v>1</v>
      </c>
      <c r="AQ51" s="18">
        <v>1</v>
      </c>
      <c r="AR51" s="18">
        <v>1</v>
      </c>
      <c r="AS51" s="18">
        <v>50</v>
      </c>
      <c r="AT51" s="18">
        <v>1</v>
      </c>
      <c r="AU51" s="18">
        <v>1</v>
      </c>
      <c r="AV51" s="18">
        <v>1</v>
      </c>
      <c r="AW51" s="18">
        <v>1</v>
      </c>
      <c r="AX51" s="18">
        <v>1</v>
      </c>
      <c r="AY51" s="18">
        <v>1</v>
      </c>
      <c r="AZ51" s="18">
        <v>50</v>
      </c>
      <c r="BA51" s="18">
        <v>1</v>
      </c>
      <c r="BB51" s="18">
        <v>1</v>
      </c>
      <c r="BC51" s="18">
        <v>1</v>
      </c>
      <c r="BD51" s="18">
        <v>1</v>
      </c>
      <c r="BE51" s="18">
        <v>1</v>
      </c>
      <c r="BF51" s="204">
        <v>1</v>
      </c>
    </row>
    <row r="52" spans="1:58" ht="14.25" customHeight="1">
      <c r="A52" s="29"/>
      <c r="B52" s="29"/>
      <c r="C52" s="29"/>
      <c r="D52" s="29"/>
      <c r="E52" s="29"/>
      <c r="F52" s="29"/>
      <c r="G52" s="29"/>
      <c r="H52" s="64" t="str">
        <f>AZ2</f>
        <v>51 sona</v>
      </c>
      <c r="I52" s="29"/>
      <c r="J52" s="29"/>
      <c r="K52" s="29"/>
      <c r="L52" s="29"/>
      <c r="M52" s="29"/>
      <c r="N52" s="29"/>
      <c r="O52" s="55"/>
      <c r="P52" s="29"/>
      <c r="Q52" s="29"/>
      <c r="R52" s="29"/>
      <c r="S52" s="29"/>
      <c r="T52" s="29"/>
      <c r="U52" s="29"/>
      <c r="V52" s="55"/>
      <c r="W52" s="29"/>
      <c r="X52" s="29"/>
      <c r="Y52" s="29"/>
      <c r="Z52" s="29"/>
      <c r="AA52" s="29"/>
      <c r="AB52" s="29"/>
      <c r="AC52" s="18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55"/>
      <c r="AS52" s="29"/>
      <c r="AT52" s="29"/>
      <c r="AU52" s="29"/>
      <c r="AV52" s="29"/>
      <c r="AW52" s="29"/>
      <c r="AX52" s="29"/>
      <c r="AY52" s="55"/>
      <c r="AZ52" s="29"/>
      <c r="BA52" s="29"/>
      <c r="BB52" s="29"/>
      <c r="BC52" s="29"/>
      <c r="BD52" s="29"/>
      <c r="BE52" s="29"/>
    </row>
    <row r="53" spans="1:58" ht="14.25" customHeight="1">
      <c r="A53" s="29"/>
      <c r="B53" s="29"/>
      <c r="C53" s="29"/>
      <c r="D53" s="29"/>
      <c r="E53" s="29"/>
      <c r="F53" s="29"/>
      <c r="G53" s="29"/>
      <c r="H53" s="64" t="str">
        <f>AZ7</f>
        <v>52 twenty 2</v>
      </c>
      <c r="I53" s="29"/>
      <c r="J53" s="29"/>
      <c r="K53" s="29"/>
      <c r="L53" s="29"/>
      <c r="M53" s="29"/>
      <c r="N53" s="29"/>
      <c r="O53" s="55"/>
      <c r="P53" s="29"/>
      <c r="Q53" s="29"/>
      <c r="R53" s="29"/>
      <c r="S53" s="29"/>
      <c r="T53" s="29"/>
      <c r="U53" s="29"/>
      <c r="V53" s="55"/>
      <c r="W53" s="29"/>
      <c r="X53" s="29"/>
      <c r="Y53" s="29"/>
      <c r="Z53" s="29"/>
      <c r="AA53" s="29"/>
      <c r="AB53" s="29"/>
      <c r="AC53" s="55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55"/>
      <c r="AS53" s="29"/>
      <c r="AT53" s="29"/>
      <c r="AU53" s="29"/>
      <c r="AV53" s="29"/>
      <c r="AW53" s="29"/>
      <c r="AX53" s="29"/>
      <c r="AY53" s="55"/>
      <c r="AZ53" s="29"/>
      <c r="BA53" s="29"/>
      <c r="BB53" s="29"/>
      <c r="BC53" s="29"/>
      <c r="BD53" s="29"/>
      <c r="BE53" s="29"/>
    </row>
    <row r="54" spans="1:58" ht="14.25" customHeight="1">
      <c r="A54" s="29"/>
      <c r="B54" s="29"/>
      <c r="C54" s="29"/>
      <c r="D54" s="29"/>
      <c r="E54" s="29"/>
      <c r="F54" s="29"/>
      <c r="G54" s="29"/>
      <c r="H54" s="64" t="str">
        <f>AZ12</f>
        <v>53 twenty 3</v>
      </c>
      <c r="I54" s="29"/>
      <c r="J54" s="29"/>
      <c r="K54" s="29"/>
      <c r="L54" s="29"/>
      <c r="M54" s="29"/>
      <c r="N54" s="29"/>
      <c r="O54" s="55"/>
      <c r="P54" s="29"/>
      <c r="Q54" s="29"/>
      <c r="R54" s="29"/>
      <c r="S54" s="29"/>
      <c r="T54" s="29"/>
      <c r="U54" s="29"/>
      <c r="V54" s="55"/>
      <c r="W54" s="29"/>
      <c r="X54" s="29"/>
      <c r="Y54" s="29"/>
      <c r="Z54" s="29"/>
      <c r="AA54" s="29"/>
      <c r="AB54" s="29"/>
      <c r="AC54" s="55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55"/>
      <c r="AS54" s="29"/>
      <c r="AT54" s="29"/>
      <c r="AU54" s="29"/>
      <c r="AV54" s="29"/>
      <c r="AW54" s="29"/>
      <c r="AX54" s="29"/>
      <c r="AY54" s="55"/>
      <c r="AZ54" s="29"/>
      <c r="BA54" s="29"/>
      <c r="BB54" s="29"/>
      <c r="BC54" s="29"/>
      <c r="BD54" s="29"/>
      <c r="BE54" s="29"/>
    </row>
    <row r="55" spans="1:58" ht="14.25" customHeight="1">
      <c r="A55" s="29"/>
      <c r="B55" s="29"/>
      <c r="C55" s="29"/>
      <c r="D55" s="29"/>
      <c r="E55" s="29"/>
      <c r="F55" s="29"/>
      <c r="G55" s="29"/>
      <c r="H55" s="64" t="str">
        <f>AZ17</f>
        <v>54 twenty 4</v>
      </c>
      <c r="I55" s="29"/>
      <c r="J55" s="29"/>
      <c r="K55" s="29"/>
      <c r="L55" s="29"/>
      <c r="M55" s="29"/>
      <c r="N55" s="29"/>
      <c r="O55" s="55"/>
      <c r="P55" s="29"/>
      <c r="Q55" s="29"/>
      <c r="R55" s="29"/>
      <c r="S55" s="29"/>
      <c r="T55" s="29"/>
      <c r="U55" s="29"/>
      <c r="V55" s="55"/>
      <c r="W55" s="29"/>
      <c r="X55" s="29"/>
      <c r="Y55" s="29"/>
      <c r="Z55" s="29"/>
      <c r="AA55" s="29"/>
      <c r="AB55" s="29"/>
      <c r="AC55" s="55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55"/>
      <c r="AS55" s="29"/>
      <c r="AT55" s="29"/>
      <c r="AU55" s="29"/>
      <c r="AV55" s="29"/>
      <c r="AW55" s="29"/>
      <c r="AX55" s="29"/>
      <c r="AY55" s="55"/>
      <c r="AZ55" s="29"/>
      <c r="BA55" s="29"/>
      <c r="BB55" s="29"/>
      <c r="BC55" s="29"/>
      <c r="BD55" s="29"/>
      <c r="BE55" s="29"/>
    </row>
    <row r="56" spans="1:58" ht="14.25" customHeight="1">
      <c r="A56" s="29"/>
      <c r="B56" s="29"/>
      <c r="C56" s="29"/>
      <c r="D56" s="29"/>
      <c r="E56" s="29"/>
      <c r="F56" s="29"/>
      <c r="G56" s="29"/>
      <c r="H56" s="64" t="str">
        <f>AZ22</f>
        <v>55 twenty 5</v>
      </c>
      <c r="I56" s="29"/>
      <c r="J56" s="29"/>
      <c r="K56" s="29"/>
      <c r="L56" s="29"/>
      <c r="M56" s="29"/>
      <c r="N56" s="29"/>
      <c r="O56" s="55"/>
      <c r="P56" s="29"/>
      <c r="Q56" s="29"/>
      <c r="R56" s="29"/>
      <c r="S56" s="29"/>
      <c r="T56" s="29"/>
      <c r="U56" s="29"/>
      <c r="V56" s="55"/>
      <c r="W56" s="29"/>
      <c r="X56" s="29"/>
      <c r="Y56" s="29"/>
      <c r="Z56" s="29"/>
      <c r="AA56" s="29"/>
      <c r="AB56" s="29"/>
      <c r="AC56" s="55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55"/>
      <c r="AS56" s="29"/>
      <c r="AT56" s="29"/>
      <c r="AU56" s="29"/>
      <c r="AV56" s="29"/>
      <c r="AW56" s="29"/>
      <c r="AX56" s="29"/>
      <c r="AY56" s="55"/>
      <c r="AZ56" s="29"/>
      <c r="BA56" s="29"/>
      <c r="BB56" s="29"/>
      <c r="BC56" s="29"/>
      <c r="BD56" s="29"/>
      <c r="BE56" s="29"/>
    </row>
    <row r="57" spans="1:58" ht="14.25" customHeight="1">
      <c r="A57" s="29"/>
      <c r="B57" s="29"/>
      <c r="C57" s="29"/>
      <c r="D57" s="29"/>
      <c r="E57" s="29"/>
      <c r="F57" s="29"/>
      <c r="G57" s="29"/>
      <c r="H57" s="64" t="str">
        <f>AZ27</f>
        <v>56 twenty 6</v>
      </c>
      <c r="I57" s="29"/>
      <c r="J57" s="29"/>
      <c r="K57" s="29"/>
      <c r="L57" s="29"/>
      <c r="M57" s="29"/>
      <c r="N57" s="29"/>
      <c r="O57" s="55"/>
      <c r="P57" s="29"/>
      <c r="Q57" s="29"/>
      <c r="R57" s="29"/>
      <c r="S57" s="29"/>
      <c r="T57" s="29"/>
      <c r="U57" s="29"/>
      <c r="V57" s="55"/>
      <c r="W57" s="29"/>
      <c r="X57" s="29"/>
      <c r="Y57" s="29"/>
      <c r="Z57" s="29"/>
      <c r="AA57" s="29"/>
      <c r="AB57" s="29"/>
      <c r="AC57" s="55"/>
      <c r="AD57" s="29"/>
      <c r="AE57" s="29" t="str">
        <f>IF($AE$1=$H$32,AL2,IF($AE$1=$H$33,AL7,IF($AE$1=$H$34,AL12,IF($AE$1=$H$35,AL17,IF($AE$1=$H$36,AL22,IF($AE$1=$H$37,AL27,IF($AE$1=$H$38,AL32,IF($AE$1=$H$39,AL37,IF($AE$1=$H$40,AL42,IF($AE$1=$H$41,AL47,IF($AE$1=$H$42,AS2,IF($AE$1=$H$43,AS7,IF($AE$1=$H$44,AS12,IF($AE$1=$H$45,AS17,IF($AE$1=$H$46,AS22,IF($AE$1=$H$47,AS27,IF($AE$1=$H$48,AS32,IF($AE$1=$H$49,AS37,IF($AE$1=$H$50,AS42,IF($AE$1=$H$51,AS47,IF($AE$1=$H$52,AS52,IF($AE$1=$H$52,AZ2,IF($AE$1=$H$53,AZ7,IF($AE$1=$H$54,AZ12,IF($AE$1=$H$55,AZ17,IF($AE$1=$H$56,AZ22,IF($AE$1=$H$57,AZ27,IF($AE$1=$H$58,AZ32,IF($AE$1=$H$59,AZ37,IF($AE$1=$H$60,AZ42,IF($AE$1=$H$61,AZ47)))))))))))))))))))))))))))))))</f>
        <v>31 ਕਸ਼ਮੀਰ ਲਾਲ ਅਤੇ ਪਰਮਾ ਨੰਦ</v>
      </c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55"/>
      <c r="AS57" s="29"/>
      <c r="AT57" s="29"/>
      <c r="AU57" s="29"/>
      <c r="AV57" s="29"/>
      <c r="AW57" s="29"/>
      <c r="AX57" s="29"/>
      <c r="AY57" s="55"/>
      <c r="AZ57" s="29"/>
      <c r="BA57" s="29"/>
      <c r="BB57" s="29"/>
      <c r="BC57" s="29"/>
      <c r="BD57" s="29"/>
      <c r="BE57" s="29"/>
    </row>
    <row r="58" spans="1:58" ht="14.25" customHeight="1">
      <c r="A58" s="29"/>
      <c r="B58" s="29"/>
      <c r="C58" s="29"/>
      <c r="D58" s="29"/>
      <c r="E58" s="29"/>
      <c r="F58" s="29"/>
      <c r="G58" s="29"/>
      <c r="H58" s="64" t="str">
        <f>AZ32</f>
        <v>57 twenty 7</v>
      </c>
      <c r="I58" s="29"/>
      <c r="J58" s="29"/>
      <c r="K58" s="29"/>
      <c r="L58" s="29"/>
      <c r="M58" s="29"/>
      <c r="N58" s="29"/>
      <c r="O58" s="55"/>
      <c r="P58" s="29"/>
      <c r="Q58" s="29"/>
      <c r="R58" s="29"/>
      <c r="S58" s="29"/>
      <c r="T58" s="29"/>
      <c r="U58" s="29"/>
      <c r="V58" s="55"/>
      <c r="W58" s="29"/>
      <c r="X58" s="29"/>
      <c r="Y58" s="29"/>
      <c r="Z58" s="29"/>
      <c r="AA58" s="29"/>
      <c r="AB58" s="29"/>
      <c r="AC58" s="55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55"/>
      <c r="AS58" s="29"/>
      <c r="AT58" s="29"/>
      <c r="AU58" s="29"/>
      <c r="AV58" s="29"/>
      <c r="AW58" s="29"/>
      <c r="AX58" s="29"/>
      <c r="AY58" s="55"/>
      <c r="AZ58" s="29"/>
      <c r="BA58" s="29"/>
      <c r="BB58" s="29"/>
      <c r="BC58" s="29"/>
      <c r="BD58" s="29"/>
      <c r="BE58" s="29"/>
    </row>
    <row r="59" spans="1:58" ht="14.25" customHeight="1">
      <c r="A59" s="29"/>
      <c r="B59" s="29"/>
      <c r="C59" s="29"/>
      <c r="D59" s="29"/>
      <c r="E59" s="29"/>
      <c r="F59" s="29"/>
      <c r="G59" s="29"/>
      <c r="H59" s="64" t="str">
        <f>AZ37</f>
        <v>58 twenty 8</v>
      </c>
      <c r="I59" s="29"/>
      <c r="J59" s="29"/>
      <c r="K59" s="29"/>
      <c r="L59" s="29"/>
      <c r="M59" s="29"/>
      <c r="N59" s="29"/>
      <c r="O59" s="55"/>
      <c r="P59" s="29"/>
      <c r="Q59" s="29"/>
      <c r="R59" s="29"/>
      <c r="S59" s="29"/>
      <c r="T59" s="29"/>
      <c r="U59" s="29"/>
      <c r="V59" s="55"/>
      <c r="W59" s="29"/>
      <c r="X59" s="29"/>
      <c r="Y59" s="29"/>
      <c r="Z59" s="29"/>
      <c r="AA59" s="29"/>
      <c r="AB59" s="29"/>
      <c r="AC59" s="55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55"/>
      <c r="AS59" s="29"/>
      <c r="AT59" s="29"/>
      <c r="AU59" s="29"/>
      <c r="AV59" s="29"/>
      <c r="AW59" s="29"/>
      <c r="AX59" s="29"/>
      <c r="AY59" s="55"/>
      <c r="AZ59" s="29"/>
      <c r="BA59" s="29"/>
      <c r="BB59" s="29"/>
      <c r="BC59" s="29"/>
      <c r="BD59" s="29"/>
      <c r="BE59" s="29"/>
    </row>
    <row r="60" spans="1:58" ht="14.25" customHeight="1">
      <c r="A60" s="29"/>
      <c r="B60" s="29"/>
      <c r="C60" s="29"/>
      <c r="D60" s="29"/>
      <c r="E60" s="29"/>
      <c r="F60" s="29"/>
      <c r="G60" s="29"/>
      <c r="H60" s="64" t="str">
        <f>AZ42</f>
        <v>59 twnety 9</v>
      </c>
      <c r="I60" s="29"/>
      <c r="J60" s="29"/>
      <c r="K60" s="29"/>
      <c r="L60" s="29"/>
      <c r="M60" s="29"/>
      <c r="N60" s="29"/>
      <c r="O60" s="55"/>
      <c r="P60" s="29"/>
      <c r="Q60" s="29"/>
      <c r="R60" s="29"/>
      <c r="S60" s="29"/>
      <c r="T60" s="29"/>
      <c r="U60" s="29"/>
      <c r="V60" s="55"/>
      <c r="W60" s="29"/>
      <c r="X60" s="29"/>
      <c r="Y60" s="29"/>
      <c r="Z60" s="29"/>
      <c r="AA60" s="29"/>
      <c r="AB60" s="29"/>
      <c r="AC60" s="55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55"/>
      <c r="AS60" s="29"/>
      <c r="AT60" s="29"/>
      <c r="AU60" s="29"/>
      <c r="AV60" s="29"/>
      <c r="AW60" s="29"/>
      <c r="AX60" s="29"/>
      <c r="AY60" s="55"/>
      <c r="AZ60" s="29"/>
      <c r="BA60" s="29"/>
      <c r="BB60" s="29"/>
      <c r="BC60" s="29"/>
      <c r="BD60" s="29"/>
      <c r="BE60" s="29"/>
    </row>
    <row r="61" spans="1:58" ht="14.25" customHeight="1">
      <c r="A61" s="29"/>
      <c r="B61" s="29"/>
      <c r="C61" s="29"/>
      <c r="D61" s="29"/>
      <c r="E61" s="29"/>
      <c r="F61" s="29"/>
      <c r="G61" s="29"/>
      <c r="H61" s="64" t="str">
        <f>AZ47</f>
        <v>60 thirty</v>
      </c>
      <c r="I61" s="29"/>
      <c r="J61" s="29"/>
      <c r="K61" s="29"/>
      <c r="L61" s="29"/>
      <c r="M61" s="29"/>
      <c r="N61" s="29"/>
      <c r="O61" s="55"/>
      <c r="P61" s="29"/>
      <c r="Q61" s="29"/>
      <c r="R61" s="29"/>
      <c r="S61" s="29"/>
      <c r="T61" s="29"/>
      <c r="U61" s="29"/>
      <c r="V61" s="55"/>
      <c r="W61" s="29"/>
      <c r="X61" s="29"/>
      <c r="Y61" s="29"/>
      <c r="Z61" s="29"/>
      <c r="AA61" s="29"/>
      <c r="AB61" s="29"/>
      <c r="AC61" s="55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55"/>
      <c r="AS61" s="29"/>
      <c r="AT61" s="29"/>
      <c r="AU61" s="29"/>
      <c r="AV61" s="29"/>
      <c r="AW61" s="29"/>
      <c r="AX61" s="29"/>
      <c r="AY61" s="55"/>
      <c r="AZ61" s="29"/>
      <c r="BA61" s="29"/>
      <c r="BB61" s="29"/>
      <c r="BC61" s="29"/>
      <c r="BD61" s="29"/>
      <c r="BE61" s="29"/>
    </row>
    <row r="62" spans="1:58" ht="14.25" customHeight="1">
      <c r="A62" s="29"/>
      <c r="B62" s="29"/>
      <c r="C62" s="29"/>
      <c r="D62" s="29"/>
      <c r="E62" s="29"/>
      <c r="F62" s="29"/>
      <c r="G62" s="29"/>
      <c r="H62" s="61"/>
      <c r="I62" s="29"/>
      <c r="J62" s="29"/>
      <c r="K62" s="29"/>
      <c r="L62" s="29"/>
      <c r="M62" s="29"/>
      <c r="N62" s="29"/>
      <c r="O62" s="55"/>
      <c r="P62" s="29"/>
      <c r="Q62" s="29"/>
      <c r="R62" s="29"/>
      <c r="S62" s="29"/>
      <c r="T62" s="29"/>
      <c r="U62" s="29"/>
      <c r="V62" s="55"/>
      <c r="W62" s="29"/>
      <c r="X62" s="29"/>
      <c r="Y62" s="29"/>
      <c r="Z62" s="29"/>
      <c r="AA62" s="29"/>
      <c r="AB62" s="29"/>
      <c r="AC62" s="55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55"/>
      <c r="AS62" s="29"/>
      <c r="AT62" s="29"/>
      <c r="AU62" s="29"/>
      <c r="AV62" s="29"/>
      <c r="AW62" s="29"/>
      <c r="AX62" s="29"/>
      <c r="AY62" s="55"/>
      <c r="AZ62" s="29"/>
      <c r="BA62" s="29"/>
      <c r="BB62" s="29"/>
      <c r="BC62" s="29"/>
      <c r="BD62" s="29"/>
      <c r="BE62" s="29"/>
    </row>
    <row r="63" spans="1:58" ht="14.25" customHeight="1">
      <c r="A63" s="29"/>
      <c r="B63" s="29"/>
      <c r="C63" s="29"/>
      <c r="D63" s="29"/>
      <c r="E63" s="29"/>
      <c r="F63" s="29"/>
      <c r="G63" s="29"/>
      <c r="H63" s="61"/>
      <c r="I63" s="29"/>
      <c r="J63" s="29"/>
      <c r="K63" s="29"/>
      <c r="L63" s="29"/>
      <c r="M63" s="29"/>
      <c r="N63" s="29"/>
      <c r="O63" s="55"/>
      <c r="P63" s="29"/>
      <c r="Q63" s="29"/>
      <c r="R63" s="29"/>
      <c r="S63" s="29"/>
      <c r="T63" s="29"/>
      <c r="U63" s="29"/>
      <c r="V63" s="55"/>
      <c r="W63" s="29"/>
      <c r="X63" s="29"/>
      <c r="Y63" s="29"/>
      <c r="Z63" s="29"/>
      <c r="AA63" s="29"/>
      <c r="AB63" s="29"/>
      <c r="AC63" s="55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55"/>
      <c r="AS63" s="29"/>
      <c r="AT63" s="29"/>
      <c r="AU63" s="29"/>
      <c r="AV63" s="29"/>
      <c r="AW63" s="29"/>
      <c r="AX63" s="29"/>
      <c r="AY63" s="55"/>
      <c r="AZ63" s="29"/>
      <c r="BA63" s="29"/>
      <c r="BB63" s="29"/>
      <c r="BC63" s="29"/>
      <c r="BD63" s="29"/>
      <c r="BE63" s="29"/>
    </row>
    <row r="64" spans="1:58" ht="14.25" customHeight="1">
      <c r="A64" s="29"/>
      <c r="B64" s="29"/>
      <c r="C64" s="29"/>
      <c r="D64" s="29"/>
      <c r="E64" s="29"/>
      <c r="F64" s="29"/>
      <c r="G64" s="29"/>
      <c r="H64" s="61"/>
      <c r="I64" s="29"/>
      <c r="J64" s="29"/>
      <c r="K64" s="29"/>
      <c r="L64" s="29"/>
      <c r="M64" s="29"/>
      <c r="N64" s="29"/>
      <c r="O64" s="55"/>
      <c r="P64" s="29"/>
      <c r="Q64" s="29"/>
      <c r="R64" s="29"/>
      <c r="S64" s="29"/>
      <c r="T64" s="29"/>
      <c r="U64" s="29"/>
      <c r="V64" s="55"/>
      <c r="W64" s="29"/>
      <c r="X64" s="29"/>
      <c r="Y64" s="29"/>
      <c r="Z64" s="29"/>
      <c r="AA64" s="29"/>
      <c r="AB64" s="29"/>
      <c r="AC64" s="55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55"/>
      <c r="AS64" s="29"/>
      <c r="AT64" s="29"/>
      <c r="AU64" s="29"/>
      <c r="AV64" s="29"/>
      <c r="AW64" s="29"/>
      <c r="AX64" s="29"/>
      <c r="AY64" s="55"/>
      <c r="AZ64" s="29"/>
      <c r="BA64" s="29"/>
      <c r="BB64" s="29"/>
      <c r="BC64" s="29"/>
      <c r="BD64" s="29"/>
      <c r="BE64" s="29"/>
    </row>
    <row r="65" spans="1:57" ht="14.25" customHeight="1">
      <c r="A65" s="29"/>
      <c r="B65" s="29"/>
      <c r="C65" s="29"/>
      <c r="D65" s="29"/>
      <c r="E65" s="29"/>
      <c r="F65" s="29"/>
      <c r="G65" s="29"/>
      <c r="H65" s="61"/>
      <c r="I65" s="29"/>
      <c r="J65" s="29"/>
      <c r="K65" s="29"/>
      <c r="L65" s="29"/>
      <c r="M65" s="29"/>
      <c r="N65" s="29"/>
      <c r="O65" s="55"/>
      <c r="P65" s="29"/>
      <c r="Q65" s="29"/>
      <c r="R65" s="29"/>
      <c r="S65" s="29"/>
      <c r="T65" s="29"/>
      <c r="U65" s="29"/>
      <c r="V65" s="55"/>
      <c r="W65" s="29"/>
      <c r="X65" s="29"/>
      <c r="Y65" s="29"/>
      <c r="Z65" s="29"/>
      <c r="AA65" s="29"/>
      <c r="AB65" s="29"/>
      <c r="AC65" s="55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55"/>
      <c r="AS65" s="29"/>
      <c r="AT65" s="29"/>
      <c r="AU65" s="29"/>
      <c r="AV65" s="29"/>
      <c r="AW65" s="29"/>
      <c r="AX65" s="29"/>
      <c r="AY65" s="55"/>
      <c r="AZ65" s="29"/>
      <c r="BA65" s="29"/>
      <c r="BB65" s="29"/>
      <c r="BC65" s="29"/>
      <c r="BD65" s="29"/>
      <c r="BE65" s="29"/>
    </row>
    <row r="66" spans="1:57" ht="14.25" customHeight="1">
      <c r="A66" s="29"/>
      <c r="B66" s="29"/>
      <c r="C66" s="29"/>
      <c r="D66" s="29"/>
      <c r="E66" s="29"/>
      <c r="F66" s="29"/>
      <c r="G66" s="29"/>
      <c r="H66" s="61"/>
      <c r="I66" s="29"/>
      <c r="J66" s="29"/>
      <c r="K66" s="29"/>
      <c r="L66" s="29"/>
      <c r="M66" s="29"/>
      <c r="N66" s="29"/>
      <c r="O66" s="55"/>
      <c r="P66" s="29"/>
      <c r="Q66" s="29"/>
      <c r="R66" s="29"/>
      <c r="S66" s="29"/>
      <c r="T66" s="29"/>
      <c r="U66" s="29"/>
      <c r="V66" s="55"/>
      <c r="W66" s="29"/>
      <c r="X66" s="29"/>
      <c r="Y66" s="29"/>
      <c r="Z66" s="29"/>
      <c r="AA66" s="29"/>
      <c r="AB66" s="29"/>
      <c r="AC66" s="55"/>
      <c r="AD66" s="29"/>
      <c r="AE66" s="35"/>
      <c r="AF66" s="35"/>
      <c r="AG66" s="35"/>
      <c r="AH66" s="35"/>
      <c r="AI66" s="35"/>
      <c r="AJ66" s="35"/>
      <c r="AK66" s="29"/>
      <c r="AL66" s="29"/>
      <c r="AM66" s="29"/>
      <c r="AN66" s="29"/>
      <c r="AO66" s="29"/>
      <c r="AP66" s="29"/>
      <c r="AQ66" s="29"/>
      <c r="AR66" s="55"/>
      <c r="AS66" s="29"/>
      <c r="AT66" s="29"/>
      <c r="AU66" s="29"/>
      <c r="AV66" s="29"/>
      <c r="AW66" s="29"/>
      <c r="AX66" s="29"/>
      <c r="AY66" s="55"/>
      <c r="AZ66" s="29"/>
      <c r="BA66" s="29"/>
      <c r="BB66" s="29"/>
      <c r="BC66" s="29"/>
      <c r="BD66" s="29"/>
      <c r="BE66" s="29"/>
    </row>
    <row r="67" spans="1:57" ht="14.25" customHeight="1">
      <c r="A67" s="29"/>
      <c r="B67" s="29"/>
      <c r="C67" s="29"/>
      <c r="D67" s="29"/>
      <c r="E67" s="29"/>
      <c r="F67" s="29"/>
      <c r="G67" s="29"/>
      <c r="H67" s="61"/>
      <c r="I67" s="29"/>
      <c r="J67" s="29"/>
      <c r="K67" s="29"/>
      <c r="L67" s="29"/>
      <c r="M67" s="29"/>
      <c r="N67" s="29"/>
      <c r="O67" s="55"/>
      <c r="P67" s="29"/>
      <c r="Q67" s="29"/>
      <c r="R67" s="29"/>
      <c r="S67" s="29"/>
      <c r="T67" s="29"/>
      <c r="U67" s="29"/>
      <c r="V67" s="55"/>
      <c r="W67" s="29"/>
      <c r="X67" s="29"/>
      <c r="Y67" s="29"/>
      <c r="Z67" s="29"/>
      <c r="AA67" s="29"/>
      <c r="AB67" s="29"/>
      <c r="AC67" s="55"/>
      <c r="AD67" s="29"/>
      <c r="AE67" s="35"/>
      <c r="AF67" s="35"/>
      <c r="AG67" s="35"/>
      <c r="AH67" s="35"/>
      <c r="AI67" s="35"/>
      <c r="AJ67" s="35"/>
      <c r="AK67" s="29"/>
      <c r="AL67" s="29"/>
      <c r="AM67" s="29"/>
      <c r="AN67" s="29"/>
      <c r="AO67" s="29"/>
      <c r="AP67" s="29"/>
      <c r="AQ67" s="29"/>
      <c r="AR67" s="55"/>
      <c r="AS67" s="29"/>
      <c r="AT67" s="29"/>
      <c r="AU67" s="29"/>
      <c r="AV67" s="29"/>
      <c r="AW67" s="29"/>
      <c r="AX67" s="29"/>
      <c r="AY67" s="55"/>
      <c r="AZ67" s="29"/>
      <c r="BA67" s="29"/>
      <c r="BB67" s="29"/>
      <c r="BC67" s="29"/>
      <c r="BD67" s="29"/>
      <c r="BE67" s="29"/>
    </row>
    <row r="68" spans="1:57" ht="14.25" customHeight="1">
      <c r="A68" s="35"/>
      <c r="B68" s="35"/>
      <c r="C68" s="35"/>
      <c r="D68" s="35"/>
      <c r="E68" s="35"/>
      <c r="F68" s="35"/>
      <c r="G68" s="35"/>
      <c r="H68" s="61"/>
      <c r="I68" s="29"/>
      <c r="J68" s="29"/>
      <c r="K68" s="29"/>
      <c r="L68" s="29"/>
      <c r="M68" s="29"/>
      <c r="N68" s="29"/>
      <c r="O68" s="55"/>
      <c r="P68" s="29"/>
      <c r="Q68" s="29"/>
      <c r="R68" s="29"/>
      <c r="S68" s="29"/>
      <c r="T68" s="29"/>
      <c r="U68" s="29"/>
      <c r="V68" s="55"/>
      <c r="W68" s="29"/>
      <c r="X68" s="29"/>
      <c r="Y68" s="29"/>
      <c r="Z68" s="29"/>
      <c r="AA68" s="29"/>
      <c r="AB68" s="29"/>
      <c r="AC68" s="55"/>
      <c r="AD68" s="29"/>
      <c r="AE68" s="35"/>
      <c r="AF68" s="35"/>
      <c r="AG68" s="35"/>
      <c r="AH68" s="35"/>
      <c r="AI68" s="35"/>
      <c r="AJ68" s="35"/>
      <c r="AK68" s="29"/>
      <c r="AL68" s="29"/>
      <c r="AM68" s="29"/>
      <c r="AN68" s="29"/>
      <c r="AO68" s="29"/>
      <c r="AP68" s="29"/>
      <c r="AQ68" s="29"/>
      <c r="AR68" s="55"/>
      <c r="AS68" s="29"/>
      <c r="AT68" s="29"/>
      <c r="AU68" s="29"/>
      <c r="AV68" s="29"/>
      <c r="AW68" s="29"/>
      <c r="AX68" s="29"/>
      <c r="AY68" s="55"/>
      <c r="AZ68" s="29"/>
      <c r="BA68" s="29"/>
      <c r="BB68" s="29"/>
      <c r="BC68" s="29"/>
      <c r="BD68" s="29"/>
      <c r="BE68" s="29"/>
    </row>
    <row r="69" spans="1:57" ht="14.25" customHeight="1">
      <c r="A69" s="35"/>
      <c r="B69" s="35"/>
      <c r="C69" s="35"/>
      <c r="D69" s="35"/>
      <c r="E69" s="35"/>
      <c r="F69" s="35"/>
      <c r="G69" s="35"/>
      <c r="H69" s="61"/>
      <c r="I69" s="29"/>
      <c r="J69" s="29"/>
      <c r="K69" s="29"/>
      <c r="L69" s="29"/>
      <c r="M69" s="29"/>
      <c r="N69" s="29"/>
      <c r="O69" s="55"/>
      <c r="P69" s="29"/>
      <c r="Q69" s="29"/>
      <c r="R69" s="29"/>
      <c r="S69" s="29"/>
      <c r="T69" s="29"/>
      <c r="U69" s="29"/>
      <c r="V69" s="55"/>
      <c r="W69" s="29"/>
      <c r="X69" s="29"/>
      <c r="Y69" s="29"/>
      <c r="Z69" s="29"/>
      <c r="AA69" s="29"/>
      <c r="AB69" s="29"/>
      <c r="AC69" s="55"/>
      <c r="AD69" s="29"/>
      <c r="AE69" s="35"/>
      <c r="AF69" s="35"/>
      <c r="AG69" s="35"/>
      <c r="AH69" s="35"/>
      <c r="AI69" s="35"/>
      <c r="AJ69" s="35"/>
      <c r="AK69" s="29"/>
      <c r="AL69" s="29"/>
      <c r="AM69" s="29"/>
      <c r="AN69" s="29"/>
      <c r="AO69" s="29"/>
      <c r="AP69" s="29"/>
      <c r="AQ69" s="29"/>
      <c r="AR69" s="55"/>
      <c r="AS69" s="29"/>
      <c r="AT69" s="29"/>
      <c r="AU69" s="29"/>
      <c r="AV69" s="29"/>
      <c r="AW69" s="29"/>
      <c r="AX69" s="29"/>
      <c r="AY69" s="55"/>
      <c r="AZ69" s="29"/>
      <c r="BA69" s="29"/>
      <c r="BB69" s="29"/>
      <c r="BC69" s="29"/>
      <c r="BD69" s="29"/>
      <c r="BE69" s="29"/>
    </row>
    <row r="70" spans="1:57" ht="14.25" customHeight="1">
      <c r="A70" s="35"/>
      <c r="B70" s="35"/>
      <c r="C70" s="35"/>
      <c r="D70" s="35"/>
      <c r="E70" s="35"/>
      <c r="F70" s="35"/>
      <c r="G70" s="35"/>
      <c r="H70" s="61"/>
      <c r="I70" s="29"/>
      <c r="J70" s="29"/>
      <c r="K70" s="29"/>
      <c r="L70" s="29"/>
      <c r="M70" s="29"/>
      <c r="N70" s="29"/>
      <c r="O70" s="55"/>
      <c r="P70" s="29"/>
      <c r="Q70" s="29"/>
      <c r="R70" s="29"/>
      <c r="S70" s="29"/>
      <c r="T70" s="29"/>
      <c r="U70" s="29"/>
      <c r="V70" s="55"/>
      <c r="W70" s="29"/>
      <c r="X70" s="29"/>
      <c r="Y70" s="29"/>
      <c r="Z70" s="29"/>
      <c r="AA70" s="29"/>
      <c r="AB70" s="29"/>
      <c r="AC70" s="55"/>
      <c r="AD70" s="29"/>
      <c r="AE70" s="35"/>
      <c r="AF70" s="35"/>
      <c r="AG70" s="35"/>
      <c r="AH70" s="35"/>
      <c r="AI70" s="35"/>
      <c r="AJ70" s="35"/>
      <c r="AK70" s="29"/>
      <c r="AL70" s="29"/>
      <c r="AM70" s="29"/>
      <c r="AN70" s="29"/>
      <c r="AO70" s="29"/>
      <c r="AP70" s="29"/>
      <c r="AQ70" s="29"/>
      <c r="AR70" s="55"/>
      <c r="AS70" s="29"/>
      <c r="AT70" s="29"/>
      <c r="AU70" s="29"/>
      <c r="AV70" s="29"/>
      <c r="AW70" s="29"/>
      <c r="AX70" s="29"/>
      <c r="AY70" s="55"/>
      <c r="AZ70" s="29"/>
      <c r="BA70" s="29"/>
      <c r="BB70" s="29"/>
      <c r="BC70" s="29"/>
      <c r="BD70" s="29"/>
      <c r="BE70" s="29"/>
    </row>
    <row r="71" spans="1:57" ht="14.25" customHeight="1">
      <c r="A71" s="35"/>
      <c r="B71" s="35"/>
      <c r="C71" s="35"/>
      <c r="D71" s="35"/>
      <c r="E71" s="35"/>
      <c r="F71" s="35"/>
      <c r="G71" s="35"/>
      <c r="H71" s="61"/>
      <c r="I71" s="29"/>
      <c r="J71" s="29"/>
      <c r="K71" s="29"/>
      <c r="L71" s="29"/>
      <c r="M71" s="29"/>
      <c r="N71" s="29"/>
      <c r="O71" s="55"/>
      <c r="P71" s="29"/>
      <c r="Q71" s="29"/>
      <c r="R71" s="29"/>
      <c r="S71" s="29"/>
      <c r="T71" s="29"/>
      <c r="U71" s="29"/>
      <c r="V71" s="55"/>
      <c r="W71" s="29"/>
      <c r="X71" s="29"/>
      <c r="Y71" s="29"/>
      <c r="Z71" s="29"/>
      <c r="AA71" s="29"/>
      <c r="AB71" s="29"/>
      <c r="AC71" s="55"/>
      <c r="AD71" s="29"/>
      <c r="AE71" s="35"/>
      <c r="AF71" s="35"/>
      <c r="AG71" s="35"/>
      <c r="AH71" s="35"/>
      <c r="AI71" s="35"/>
      <c r="AJ71" s="35"/>
      <c r="AK71" s="29"/>
      <c r="AL71" s="29"/>
      <c r="AM71" s="29"/>
      <c r="AN71" s="29"/>
      <c r="AO71" s="29"/>
      <c r="AP71" s="29"/>
      <c r="AQ71" s="29"/>
      <c r="AR71" s="55"/>
      <c r="AS71" s="29"/>
      <c r="AT71" s="29"/>
      <c r="AU71" s="29"/>
      <c r="AV71" s="29"/>
      <c r="AW71" s="29"/>
      <c r="AX71" s="29"/>
      <c r="AY71" s="55"/>
      <c r="AZ71" s="29"/>
      <c r="BA71" s="29"/>
      <c r="BB71" s="29"/>
      <c r="BC71" s="29"/>
      <c r="BD71" s="29"/>
      <c r="BE71" s="29"/>
    </row>
    <row r="72" spans="1:57" ht="14.25" customHeight="1">
      <c r="A72" s="35"/>
      <c r="B72" s="35"/>
      <c r="C72" s="35"/>
      <c r="D72" s="35"/>
      <c r="E72" s="35"/>
      <c r="F72" s="35"/>
      <c r="G72" s="35"/>
      <c r="H72" s="61"/>
      <c r="I72" s="29"/>
      <c r="J72" s="29"/>
      <c r="K72" s="29"/>
      <c r="L72" s="29"/>
      <c r="M72" s="29"/>
      <c r="N72" s="29"/>
      <c r="O72" s="55"/>
      <c r="P72" s="29"/>
      <c r="Q72" s="29"/>
      <c r="R72" s="29"/>
      <c r="S72" s="29"/>
      <c r="T72" s="29"/>
      <c r="U72" s="29"/>
      <c r="V72" s="55"/>
      <c r="W72" s="29"/>
      <c r="X72" s="29"/>
      <c r="Y72" s="29"/>
      <c r="Z72" s="29"/>
      <c r="AA72" s="29"/>
      <c r="AB72" s="29"/>
      <c r="AC72" s="55"/>
      <c r="AD72" s="29"/>
      <c r="AE72" s="35"/>
      <c r="AF72" s="35"/>
      <c r="AG72" s="35"/>
      <c r="AH72" s="35"/>
      <c r="AI72" s="35"/>
      <c r="AJ72" s="35"/>
      <c r="AK72" s="29"/>
      <c r="AL72" s="29"/>
      <c r="AM72" s="29"/>
      <c r="AN72" s="29"/>
      <c r="AO72" s="29"/>
      <c r="AP72" s="29"/>
      <c r="AQ72" s="29"/>
      <c r="AR72" s="55"/>
      <c r="AS72" s="29"/>
      <c r="AT72" s="29"/>
      <c r="AU72" s="29"/>
      <c r="AV72" s="29"/>
      <c r="AW72" s="29"/>
      <c r="AX72" s="29"/>
      <c r="AY72" s="55"/>
      <c r="AZ72" s="29"/>
      <c r="BA72" s="29"/>
      <c r="BB72" s="29"/>
      <c r="BC72" s="29"/>
      <c r="BD72" s="29"/>
      <c r="BE72" s="29"/>
    </row>
    <row r="73" spans="1:57" ht="14.25" customHeight="1">
      <c r="A73" s="35"/>
      <c r="B73" s="35"/>
      <c r="C73" s="35"/>
      <c r="D73" s="35"/>
      <c r="E73" s="35"/>
      <c r="F73" s="35"/>
      <c r="G73" s="35"/>
      <c r="H73" s="61"/>
      <c r="I73" s="29"/>
      <c r="J73" s="29"/>
      <c r="K73" s="29"/>
      <c r="L73" s="29"/>
      <c r="M73" s="29"/>
      <c r="N73" s="29"/>
      <c r="O73" s="55"/>
      <c r="P73" s="29"/>
      <c r="Q73" s="29"/>
      <c r="R73" s="29"/>
      <c r="S73" s="29"/>
      <c r="T73" s="29"/>
      <c r="U73" s="29"/>
      <c r="V73" s="55"/>
      <c r="W73" s="29"/>
      <c r="X73" s="29"/>
      <c r="Y73" s="29"/>
      <c r="Z73" s="29"/>
      <c r="AA73" s="29"/>
      <c r="AB73" s="29"/>
      <c r="AC73" s="55"/>
      <c r="AD73" s="29"/>
      <c r="AE73" s="35"/>
      <c r="AF73" s="35"/>
      <c r="AG73" s="35"/>
      <c r="AH73" s="35"/>
      <c r="AI73" s="35"/>
      <c r="AJ73" s="35"/>
      <c r="AK73" s="29"/>
      <c r="AL73" s="29"/>
      <c r="AM73" s="29"/>
      <c r="AN73" s="29"/>
      <c r="AO73" s="29"/>
      <c r="AP73" s="29"/>
      <c r="AQ73" s="29"/>
      <c r="AR73" s="55"/>
      <c r="AS73" s="29"/>
      <c r="AT73" s="29"/>
      <c r="AU73" s="29"/>
      <c r="AV73" s="29"/>
      <c r="AW73" s="29"/>
      <c r="AX73" s="29"/>
      <c r="AY73" s="55"/>
      <c r="AZ73" s="29"/>
      <c r="BA73" s="29"/>
      <c r="BB73" s="29"/>
      <c r="BC73" s="29"/>
      <c r="BD73" s="29"/>
      <c r="BE73" s="29"/>
    </row>
    <row r="74" spans="1:57" ht="14.25" customHeight="1">
      <c r="A74" s="35"/>
      <c r="B74" s="35"/>
      <c r="C74" s="35"/>
      <c r="D74" s="35"/>
      <c r="E74" s="35"/>
      <c r="F74" s="35"/>
      <c r="G74" s="35"/>
      <c r="H74" s="61"/>
      <c r="I74" s="29"/>
      <c r="J74" s="29"/>
      <c r="K74" s="29"/>
      <c r="L74" s="29"/>
      <c r="M74" s="29"/>
      <c r="N74" s="29"/>
      <c r="O74" s="55"/>
      <c r="P74" s="29"/>
      <c r="Q74" s="29"/>
      <c r="R74" s="29"/>
      <c r="S74" s="29"/>
      <c r="T74" s="29"/>
      <c r="U74" s="29"/>
      <c r="V74" s="55"/>
      <c r="W74" s="29"/>
      <c r="X74" s="29"/>
      <c r="Y74" s="29"/>
      <c r="Z74" s="29"/>
      <c r="AA74" s="29"/>
      <c r="AB74" s="29"/>
      <c r="AC74" s="55"/>
      <c r="AD74" s="29"/>
      <c r="AE74" s="35"/>
      <c r="AF74" s="35"/>
      <c r="AG74" s="35"/>
      <c r="AH74" s="35"/>
      <c r="AI74" s="35"/>
      <c r="AJ74" s="35"/>
      <c r="AK74" s="29"/>
      <c r="AL74" s="29"/>
      <c r="AM74" s="29"/>
      <c r="AN74" s="29"/>
      <c r="AO74" s="29"/>
      <c r="AP74" s="29"/>
      <c r="AQ74" s="29"/>
      <c r="AR74" s="55"/>
      <c r="AS74" s="29"/>
      <c r="AT74" s="29"/>
      <c r="AU74" s="29"/>
      <c r="AV74" s="29"/>
      <c r="AW74" s="29"/>
      <c r="AX74" s="29"/>
      <c r="AY74" s="55"/>
      <c r="AZ74" s="29"/>
      <c r="BA74" s="29"/>
      <c r="BB74" s="29"/>
      <c r="BC74" s="29"/>
      <c r="BD74" s="29"/>
      <c r="BE74" s="29"/>
    </row>
    <row r="75" spans="1:57" ht="14.25" customHeight="1">
      <c r="A75" s="35"/>
      <c r="B75" s="35"/>
      <c r="C75" s="35"/>
      <c r="D75" s="35"/>
      <c r="E75" s="35"/>
      <c r="F75" s="35"/>
      <c r="G75" s="35"/>
      <c r="H75" s="61"/>
      <c r="I75" s="29"/>
      <c r="J75" s="29"/>
      <c r="K75" s="29"/>
      <c r="L75" s="29"/>
      <c r="M75" s="29"/>
      <c r="N75" s="29"/>
      <c r="O75" s="55"/>
      <c r="P75" s="29"/>
      <c r="Q75" s="29"/>
      <c r="R75" s="29"/>
      <c r="S75" s="29"/>
      <c r="T75" s="29"/>
      <c r="U75" s="29"/>
      <c r="V75" s="55"/>
      <c r="W75" s="29"/>
      <c r="X75" s="29"/>
      <c r="Y75" s="29"/>
      <c r="Z75" s="29"/>
      <c r="AA75" s="29"/>
      <c r="AB75" s="29"/>
      <c r="AC75" s="55"/>
      <c r="AD75" s="29"/>
      <c r="AE75" s="35"/>
      <c r="AF75" s="35"/>
      <c r="AG75" s="35"/>
      <c r="AH75" s="35"/>
      <c r="AI75" s="35"/>
      <c r="AJ75" s="35"/>
      <c r="AK75" s="29"/>
      <c r="AL75" s="29"/>
      <c r="AM75" s="29"/>
      <c r="AN75" s="29"/>
      <c r="AO75" s="29"/>
      <c r="AP75" s="29"/>
      <c r="AQ75" s="29"/>
      <c r="AR75" s="55"/>
      <c r="AS75" s="29"/>
      <c r="AT75" s="29"/>
      <c r="AU75" s="29"/>
      <c r="AV75" s="29"/>
      <c r="AW75" s="29"/>
      <c r="AX75" s="29"/>
      <c r="AY75" s="55"/>
      <c r="AZ75" s="29"/>
      <c r="BA75" s="29"/>
      <c r="BB75" s="29"/>
      <c r="BC75" s="29"/>
      <c r="BD75" s="29"/>
      <c r="BE75" s="29"/>
    </row>
    <row r="76" spans="1:57" ht="14.25" customHeight="1">
      <c r="A76" s="35"/>
      <c r="B76" s="35"/>
      <c r="C76" s="35"/>
      <c r="D76" s="35"/>
      <c r="E76" s="35"/>
      <c r="F76" s="35"/>
      <c r="G76" s="35"/>
      <c r="H76" s="61"/>
      <c r="I76" s="29"/>
      <c r="J76" s="29"/>
      <c r="K76" s="29"/>
      <c r="L76" s="29"/>
      <c r="M76" s="29"/>
      <c r="N76" s="29"/>
      <c r="O76" s="55"/>
      <c r="P76" s="29"/>
      <c r="Q76" s="29"/>
      <c r="R76" s="29"/>
      <c r="S76" s="29"/>
      <c r="T76" s="29"/>
      <c r="U76" s="29"/>
      <c r="V76" s="55"/>
      <c r="W76" s="29"/>
      <c r="X76" s="29"/>
      <c r="Y76" s="29"/>
      <c r="Z76" s="29"/>
      <c r="AA76" s="29"/>
      <c r="AB76" s="29"/>
      <c r="AC76" s="55"/>
      <c r="AD76" s="29"/>
      <c r="AE76" s="35"/>
      <c r="AF76" s="35"/>
      <c r="AG76" s="35"/>
      <c r="AH76" s="35"/>
      <c r="AI76" s="35"/>
      <c r="AJ76" s="35"/>
      <c r="AK76" s="29"/>
      <c r="AL76" s="29"/>
      <c r="AM76" s="29"/>
      <c r="AN76" s="29"/>
      <c r="AO76" s="29"/>
      <c r="AP76" s="29"/>
      <c r="AQ76" s="29"/>
      <c r="AR76" s="55"/>
      <c r="AS76" s="29"/>
      <c r="AT76" s="29"/>
      <c r="AU76" s="29"/>
      <c r="AV76" s="29"/>
      <c r="AW76" s="29"/>
      <c r="AX76" s="29"/>
      <c r="AY76" s="55"/>
      <c r="AZ76" s="29"/>
      <c r="BA76" s="29"/>
      <c r="BB76" s="29"/>
      <c r="BC76" s="29"/>
      <c r="BD76" s="29"/>
      <c r="BE76" s="29"/>
    </row>
    <row r="77" spans="1:57" ht="14.25" customHeight="1">
      <c r="A77" s="35"/>
      <c r="B77" s="35"/>
      <c r="C77" s="35"/>
      <c r="D77" s="35"/>
      <c r="E77" s="35"/>
      <c r="F77" s="35"/>
      <c r="G77" s="35"/>
      <c r="H77" s="61"/>
      <c r="I77" s="29"/>
      <c r="J77" s="29"/>
      <c r="K77" s="29"/>
      <c r="L77" s="29"/>
      <c r="M77" s="29"/>
      <c r="N77" s="29"/>
      <c r="O77" s="55"/>
      <c r="P77" s="29"/>
      <c r="Q77" s="29"/>
      <c r="R77" s="29"/>
      <c r="S77" s="29"/>
      <c r="T77" s="29"/>
      <c r="U77" s="29"/>
      <c r="V77" s="55"/>
      <c r="W77" s="29"/>
      <c r="X77" s="29"/>
      <c r="Y77" s="29"/>
      <c r="Z77" s="29"/>
      <c r="AA77" s="29"/>
      <c r="AB77" s="29"/>
      <c r="AC77" s="55"/>
      <c r="AD77" s="29"/>
      <c r="AE77" s="35"/>
      <c r="AF77" s="35"/>
      <c r="AG77" s="35"/>
      <c r="AH77" s="35"/>
      <c r="AI77" s="35"/>
      <c r="AJ77" s="35"/>
      <c r="AK77" s="29"/>
      <c r="AL77" s="29"/>
      <c r="AM77" s="29"/>
      <c r="AN77" s="29"/>
      <c r="AO77" s="29"/>
      <c r="AP77" s="29"/>
      <c r="AQ77" s="29"/>
      <c r="AR77" s="55"/>
      <c r="AS77" s="29"/>
      <c r="AT77" s="29"/>
      <c r="AU77" s="29"/>
      <c r="AV77" s="29"/>
      <c r="AW77" s="29"/>
      <c r="AX77" s="29"/>
      <c r="AY77" s="55"/>
      <c r="AZ77" s="29"/>
      <c r="BA77" s="29"/>
      <c r="BB77" s="29"/>
      <c r="BC77" s="29"/>
      <c r="BD77" s="29"/>
      <c r="BE77" s="29"/>
    </row>
    <row r="78" spans="1:57" ht="14.25" customHeight="1">
      <c r="A78" s="35" t="b">
        <f>IF(A1=H12,P2,IF(A1=H13,P7,IF(A1=H14,P12,IF(A1=H15,P17,IF(A1=H16,P22,IF(A1=H17,P27,IF(A1=H18,P32,IF(A1=H19,P37,IF(A1=H20,P42,IF(A1=H21,P47,IF(A1=H22,P52)))))))))))</f>
        <v>0</v>
      </c>
      <c r="B78" s="35"/>
      <c r="C78" s="35"/>
      <c r="D78" s="35"/>
      <c r="E78" s="35"/>
      <c r="F78" s="35"/>
      <c r="G78" s="35"/>
      <c r="H78" s="61"/>
      <c r="I78" s="29"/>
      <c r="J78" s="29"/>
      <c r="K78" s="29"/>
      <c r="L78" s="29"/>
      <c r="M78" s="29"/>
      <c r="N78" s="29"/>
      <c r="O78" s="55"/>
      <c r="P78" s="29"/>
      <c r="Q78" s="29"/>
      <c r="R78" s="29"/>
      <c r="S78" s="29"/>
      <c r="T78" s="29"/>
      <c r="U78" s="29"/>
      <c r="V78" s="55"/>
      <c r="W78" s="29"/>
      <c r="X78" s="29"/>
      <c r="Y78" s="29"/>
      <c r="Z78" s="29"/>
      <c r="AA78" s="29"/>
      <c r="AB78" s="29"/>
      <c r="AC78" s="55"/>
      <c r="AD78" s="29"/>
      <c r="AE78" s="35"/>
      <c r="AF78" s="35"/>
      <c r="AG78" s="35"/>
      <c r="AH78" s="35"/>
      <c r="AI78" s="35"/>
      <c r="AJ78" s="35"/>
      <c r="AK78" s="29"/>
      <c r="AL78" s="29"/>
      <c r="AM78" s="29"/>
      <c r="AN78" s="29"/>
      <c r="AO78" s="29"/>
      <c r="AP78" s="29"/>
      <c r="AQ78" s="29"/>
      <c r="AR78" s="55"/>
      <c r="AS78" s="29"/>
      <c r="AT78" s="29"/>
      <c r="AU78" s="29"/>
      <c r="AV78" s="29"/>
      <c r="AW78" s="29"/>
      <c r="AX78" s="29"/>
      <c r="AY78" s="55"/>
      <c r="AZ78" s="29"/>
      <c r="BA78" s="29"/>
      <c r="BB78" s="29"/>
      <c r="BC78" s="29"/>
      <c r="BD78" s="29"/>
      <c r="BE78" s="29"/>
    </row>
    <row r="79" spans="1:57" ht="14.25" customHeight="1">
      <c r="A79" s="35" t="b">
        <f>IF(A1=H22,W2,IF(A1=H23,W7,IF(A1=H24,W12,IF(A1=H25,W17,IF(A1=H26,W22,IF(A1=H27,W27,IF(A1=H28,W32,IF(A1=H29,W37,IF(A1=H30,W42,IF(A1=H31,W47))))))))))</f>
        <v>0</v>
      </c>
      <c r="B79" s="35"/>
      <c r="C79" s="35"/>
      <c r="D79" s="35"/>
      <c r="E79" s="35"/>
      <c r="F79" s="35"/>
      <c r="G79" s="35"/>
      <c r="H79" s="61"/>
      <c r="I79" s="29"/>
      <c r="J79" s="29"/>
      <c r="K79" s="29"/>
      <c r="L79" s="29"/>
      <c r="M79" s="29"/>
      <c r="N79" s="29"/>
      <c r="O79" s="55"/>
      <c r="P79" s="29"/>
      <c r="Q79" s="29"/>
      <c r="R79" s="29"/>
      <c r="S79" s="29"/>
      <c r="T79" s="29"/>
      <c r="U79" s="29"/>
      <c r="V79" s="55"/>
      <c r="W79" s="29"/>
      <c r="X79" s="29"/>
      <c r="Y79" s="29"/>
      <c r="Z79" s="29"/>
      <c r="AA79" s="29"/>
      <c r="AB79" s="29"/>
      <c r="AC79" s="55"/>
      <c r="AD79" s="29"/>
      <c r="AE79" s="35"/>
      <c r="AF79" s="35"/>
      <c r="AG79" s="35"/>
      <c r="AH79" s="35"/>
      <c r="AI79" s="35"/>
      <c r="AJ79" s="35"/>
      <c r="AK79" s="29"/>
      <c r="AL79" s="29"/>
      <c r="AM79" s="29"/>
      <c r="AN79" s="29"/>
      <c r="AO79" s="29"/>
      <c r="AP79" s="29"/>
      <c r="AQ79" s="29"/>
      <c r="AR79" s="55"/>
      <c r="AS79" s="29"/>
      <c r="AT79" s="29"/>
      <c r="AU79" s="29"/>
      <c r="AV79" s="29"/>
      <c r="AW79" s="29"/>
      <c r="AX79" s="29"/>
      <c r="AY79" s="55"/>
      <c r="AZ79" s="29"/>
      <c r="BA79" s="29"/>
      <c r="BB79" s="29"/>
      <c r="BC79" s="29"/>
      <c r="BD79" s="29"/>
      <c r="BE79" s="29"/>
    </row>
    <row r="80" spans="1:57" ht="14.25" customHeight="1">
      <c r="A80" s="35"/>
      <c r="B80" s="35"/>
      <c r="C80" s="35"/>
      <c r="D80" s="35"/>
      <c r="E80" s="35"/>
      <c r="F80" s="35"/>
      <c r="G80" s="35"/>
      <c r="H80" s="61"/>
      <c r="I80" s="29"/>
      <c r="J80" s="29"/>
      <c r="K80" s="29"/>
      <c r="L80" s="29"/>
      <c r="M80" s="29"/>
      <c r="N80" s="29"/>
      <c r="O80" s="55"/>
      <c r="P80" s="29"/>
      <c r="Q80" s="29"/>
      <c r="R80" s="29"/>
      <c r="S80" s="29"/>
      <c r="T80" s="29"/>
      <c r="U80" s="29"/>
      <c r="V80" s="55"/>
      <c r="W80" s="29"/>
      <c r="X80" s="29"/>
      <c r="Y80" s="29"/>
      <c r="Z80" s="29"/>
      <c r="AA80" s="29"/>
      <c r="AB80" s="29"/>
      <c r="AC80" s="55"/>
      <c r="AD80" s="29"/>
      <c r="AE80" s="35"/>
      <c r="AF80" s="35"/>
      <c r="AG80" s="35"/>
      <c r="AH80" s="35"/>
      <c r="AI80" s="35"/>
      <c r="AJ80" s="35"/>
      <c r="AK80" s="29"/>
      <c r="AL80" s="29"/>
      <c r="AM80" s="29"/>
      <c r="AN80" s="29"/>
      <c r="AO80" s="29"/>
      <c r="AP80" s="29"/>
      <c r="AQ80" s="29"/>
      <c r="AR80" s="55"/>
      <c r="AS80" s="29"/>
      <c r="AT80" s="29"/>
      <c r="AU80" s="29"/>
      <c r="AV80" s="29"/>
      <c r="AW80" s="29"/>
      <c r="AX80" s="29"/>
      <c r="AY80" s="55"/>
      <c r="AZ80" s="29"/>
      <c r="BA80" s="29"/>
      <c r="BB80" s="29"/>
      <c r="BC80" s="29"/>
      <c r="BD80" s="29"/>
      <c r="BE80" s="29"/>
    </row>
    <row r="81" spans="1:57" ht="14.25" customHeight="1">
      <c r="A81" s="35"/>
      <c r="B81" s="35"/>
      <c r="C81" s="35"/>
      <c r="D81" s="35"/>
      <c r="E81" s="35"/>
      <c r="F81" s="35"/>
      <c r="G81" s="35"/>
      <c r="H81" s="61"/>
      <c r="I81" s="29"/>
      <c r="J81" s="29"/>
      <c r="K81" s="29"/>
      <c r="L81" s="29"/>
      <c r="M81" s="29"/>
      <c r="N81" s="29"/>
      <c r="O81" s="55"/>
      <c r="P81" s="29"/>
      <c r="Q81" s="29"/>
      <c r="R81" s="29"/>
      <c r="S81" s="29"/>
      <c r="T81" s="29"/>
      <c r="U81" s="29"/>
      <c r="V81" s="55"/>
      <c r="W81" s="29"/>
      <c r="X81" s="29"/>
      <c r="Y81" s="29"/>
      <c r="Z81" s="29"/>
      <c r="AA81" s="29"/>
      <c r="AB81" s="29"/>
      <c r="AC81" s="55"/>
      <c r="AD81" s="29"/>
      <c r="AE81" s="35"/>
      <c r="AF81" s="35"/>
      <c r="AG81" s="35"/>
      <c r="AH81" s="35"/>
      <c r="AI81" s="35"/>
      <c r="AJ81" s="35"/>
      <c r="AK81" s="29"/>
      <c r="AL81" s="29"/>
      <c r="AM81" s="29"/>
      <c r="AN81" s="29"/>
      <c r="AO81" s="29"/>
      <c r="AP81" s="29"/>
      <c r="AQ81" s="29"/>
      <c r="AR81" s="55"/>
      <c r="AS81" s="29"/>
      <c r="AT81" s="29"/>
      <c r="AU81" s="29"/>
      <c r="AV81" s="29"/>
      <c r="AW81" s="29"/>
      <c r="AX81" s="29"/>
      <c r="AY81" s="55"/>
      <c r="AZ81" s="29"/>
      <c r="BA81" s="29"/>
      <c r="BB81" s="29"/>
      <c r="BC81" s="29"/>
      <c r="BD81" s="29"/>
      <c r="BE81" s="29"/>
    </row>
    <row r="82" spans="1:57" ht="14.25" customHeight="1">
      <c r="A82" s="35"/>
      <c r="B82" s="35"/>
      <c r="C82" s="35"/>
      <c r="D82" s="35"/>
      <c r="E82" s="35"/>
      <c r="F82" s="35"/>
      <c r="G82" s="35"/>
      <c r="H82" s="61"/>
      <c r="I82" s="29"/>
      <c r="J82" s="29"/>
      <c r="K82" s="29"/>
      <c r="L82" s="29"/>
      <c r="M82" s="29"/>
      <c r="N82" s="29"/>
      <c r="O82" s="55"/>
      <c r="P82" s="29"/>
      <c r="Q82" s="29"/>
      <c r="R82" s="29"/>
      <c r="S82" s="29"/>
      <c r="T82" s="29"/>
      <c r="U82" s="29"/>
      <c r="V82" s="55"/>
      <c r="W82" s="29"/>
      <c r="X82" s="29"/>
      <c r="Y82" s="29"/>
      <c r="Z82" s="29"/>
      <c r="AA82" s="29"/>
      <c r="AB82" s="29"/>
      <c r="AC82" s="55"/>
      <c r="AD82" s="29"/>
      <c r="AE82" s="35"/>
      <c r="AF82" s="35"/>
      <c r="AG82" s="35"/>
      <c r="AH82" s="35"/>
      <c r="AI82" s="35"/>
      <c r="AJ82" s="35"/>
      <c r="AK82" s="29"/>
      <c r="AL82" s="29"/>
      <c r="AM82" s="29"/>
      <c r="AN82" s="29"/>
      <c r="AO82" s="29"/>
      <c r="AP82" s="29"/>
      <c r="AQ82" s="29"/>
      <c r="AR82" s="55"/>
      <c r="AS82" s="29"/>
      <c r="AT82" s="29"/>
      <c r="AU82" s="29"/>
      <c r="AV82" s="29"/>
      <c r="AW82" s="29"/>
      <c r="AX82" s="29"/>
      <c r="AY82" s="55"/>
      <c r="AZ82" s="29"/>
      <c r="BA82" s="29"/>
      <c r="BB82" s="29"/>
      <c r="BC82" s="29"/>
      <c r="BD82" s="29"/>
      <c r="BE82" s="29"/>
    </row>
    <row r="83" spans="1:57" ht="14.25" customHeight="1">
      <c r="A83" s="35"/>
      <c r="B83" s="35"/>
      <c r="C83" s="35"/>
      <c r="D83" s="35"/>
      <c r="E83" s="35"/>
      <c r="F83" s="35"/>
      <c r="G83" s="35"/>
      <c r="H83" s="61"/>
      <c r="I83" s="29"/>
      <c r="J83" s="29"/>
      <c r="K83" s="29"/>
      <c r="L83" s="29"/>
      <c r="M83" s="29"/>
      <c r="N83" s="29"/>
      <c r="O83" s="55"/>
      <c r="P83" s="29"/>
      <c r="Q83" s="29"/>
      <c r="R83" s="29"/>
      <c r="S83" s="29"/>
      <c r="T83" s="29"/>
      <c r="U83" s="29"/>
      <c r="V83" s="55"/>
      <c r="W83" s="29"/>
      <c r="X83" s="29"/>
      <c r="Y83" s="29"/>
      <c r="Z83" s="29"/>
      <c r="AA83" s="29"/>
      <c r="AB83" s="29"/>
      <c r="AC83" s="55"/>
      <c r="AD83" s="29"/>
      <c r="AE83" s="35"/>
      <c r="AF83" s="35"/>
      <c r="AG83" s="35"/>
      <c r="AH83" s="35"/>
      <c r="AI83" s="35"/>
      <c r="AJ83" s="35"/>
      <c r="AK83" s="29"/>
      <c r="AL83" s="29"/>
      <c r="AM83" s="29"/>
      <c r="AN83" s="29"/>
      <c r="AO83" s="29"/>
      <c r="AP83" s="29"/>
      <c r="AQ83" s="29"/>
      <c r="AR83" s="55"/>
      <c r="AS83" s="29"/>
      <c r="AT83" s="29"/>
      <c r="AU83" s="29"/>
      <c r="AV83" s="29"/>
      <c r="AW83" s="29"/>
      <c r="AX83" s="29"/>
      <c r="AY83" s="55"/>
      <c r="AZ83" s="29"/>
      <c r="BA83" s="29"/>
      <c r="BB83" s="29"/>
      <c r="BC83" s="29"/>
      <c r="BD83" s="29"/>
      <c r="BE83" s="29"/>
    </row>
    <row r="84" spans="1:57" ht="14.25" customHeight="1">
      <c r="A84" s="35"/>
      <c r="B84" s="35"/>
      <c r="C84" s="35"/>
      <c r="D84" s="35"/>
      <c r="E84" s="35"/>
      <c r="F84" s="35"/>
      <c r="G84" s="35"/>
      <c r="H84" s="61"/>
      <c r="I84" s="29"/>
      <c r="J84" s="29"/>
      <c r="K84" s="29"/>
      <c r="L84" s="29"/>
      <c r="M84" s="29"/>
      <c r="N84" s="29"/>
      <c r="O84" s="55"/>
      <c r="P84" s="29"/>
      <c r="Q84" s="29"/>
      <c r="R84" s="29"/>
      <c r="S84" s="29"/>
      <c r="T84" s="29"/>
      <c r="U84" s="29"/>
      <c r="V84" s="55"/>
      <c r="W84" s="29"/>
      <c r="X84" s="29"/>
      <c r="Y84" s="29"/>
      <c r="Z84" s="29"/>
      <c r="AA84" s="29"/>
      <c r="AB84" s="29"/>
      <c r="AC84" s="55"/>
      <c r="AD84" s="29"/>
      <c r="AE84" s="35"/>
      <c r="AF84" s="35"/>
      <c r="AG84" s="35"/>
      <c r="AH84" s="35"/>
      <c r="AI84" s="35"/>
      <c r="AJ84" s="35"/>
      <c r="AK84" s="29"/>
      <c r="AL84" s="29"/>
      <c r="AM84" s="29"/>
      <c r="AN84" s="29"/>
      <c r="AO84" s="29"/>
      <c r="AP84" s="29"/>
      <c r="AQ84" s="29"/>
      <c r="AR84" s="55"/>
      <c r="AS84" s="29"/>
      <c r="AT84" s="29"/>
      <c r="AU84" s="29"/>
      <c r="AV84" s="29"/>
      <c r="AW84" s="29"/>
      <c r="AX84" s="29"/>
      <c r="AY84" s="55"/>
      <c r="AZ84" s="29"/>
      <c r="BA84" s="29"/>
      <c r="BB84" s="29"/>
      <c r="BC84" s="29"/>
      <c r="BD84" s="29"/>
      <c r="BE84" s="29"/>
    </row>
    <row r="85" spans="1:57" ht="14.25" customHeight="1">
      <c r="A85" s="35"/>
      <c r="B85" s="35"/>
      <c r="C85" s="35"/>
      <c r="D85" s="35"/>
      <c r="E85" s="35"/>
      <c r="F85" s="35"/>
      <c r="G85" s="35"/>
      <c r="H85" s="61"/>
      <c r="I85" s="29"/>
      <c r="J85" s="29"/>
      <c r="K85" s="29"/>
      <c r="L85" s="29"/>
      <c r="M85" s="29"/>
      <c r="N85" s="29"/>
      <c r="O85" s="55"/>
      <c r="P85" s="29"/>
      <c r="Q85" s="29"/>
      <c r="R85" s="29"/>
      <c r="S85" s="29"/>
      <c r="T85" s="29"/>
      <c r="U85" s="29"/>
      <c r="V85" s="55"/>
      <c r="W85" s="29"/>
      <c r="X85" s="29"/>
      <c r="Y85" s="29"/>
      <c r="Z85" s="29"/>
      <c r="AA85" s="29"/>
      <c r="AB85" s="29"/>
      <c r="AC85" s="55"/>
      <c r="AD85" s="29"/>
      <c r="AE85" s="35"/>
      <c r="AF85" s="35"/>
      <c r="AG85" s="35"/>
      <c r="AH85" s="35"/>
      <c r="AI85" s="35"/>
      <c r="AJ85" s="35"/>
      <c r="AK85" s="29"/>
      <c r="AL85" s="29"/>
      <c r="AM85" s="29"/>
      <c r="AN85" s="29"/>
      <c r="AO85" s="29"/>
      <c r="AP85" s="29"/>
      <c r="AQ85" s="29"/>
      <c r="AR85" s="55"/>
      <c r="AS85" s="29"/>
      <c r="AT85" s="29"/>
      <c r="AU85" s="29"/>
      <c r="AV85" s="29"/>
      <c r="AW85" s="29"/>
      <c r="AX85" s="29"/>
      <c r="AY85" s="55"/>
      <c r="AZ85" s="29"/>
      <c r="BA85" s="29"/>
      <c r="BB85" s="29"/>
      <c r="BC85" s="29"/>
      <c r="BD85" s="29"/>
      <c r="BE85" s="29"/>
    </row>
    <row r="86" spans="1:57" ht="14.25" customHeight="1">
      <c r="A86" s="35"/>
      <c r="B86" s="35"/>
      <c r="C86" s="35"/>
      <c r="D86" s="35"/>
      <c r="E86" s="35"/>
      <c r="F86" s="35"/>
      <c r="G86" s="35"/>
      <c r="H86" s="61"/>
      <c r="I86" s="29"/>
      <c r="J86" s="29"/>
      <c r="K86" s="29"/>
      <c r="L86" s="29"/>
      <c r="M86" s="29"/>
      <c r="N86" s="29"/>
      <c r="O86" s="55"/>
      <c r="P86" s="29"/>
      <c r="Q86" s="29"/>
      <c r="R86" s="29"/>
      <c r="S86" s="29"/>
      <c r="T86" s="29"/>
      <c r="U86" s="29"/>
      <c r="V86" s="55"/>
      <c r="W86" s="29"/>
      <c r="X86" s="29"/>
      <c r="Y86" s="29"/>
      <c r="Z86" s="29"/>
      <c r="AA86" s="29"/>
      <c r="AB86" s="29"/>
      <c r="AC86" s="55"/>
      <c r="AD86" s="29"/>
      <c r="AE86" s="35"/>
      <c r="AF86" s="35"/>
      <c r="AG86" s="35"/>
      <c r="AH86" s="35"/>
      <c r="AI86" s="35"/>
      <c r="AJ86" s="35"/>
      <c r="AK86" s="29"/>
      <c r="AL86" s="29"/>
      <c r="AM86" s="29"/>
      <c r="AN86" s="29"/>
      <c r="AO86" s="29"/>
      <c r="AP86" s="29"/>
      <c r="AQ86" s="29"/>
      <c r="AR86" s="55"/>
      <c r="AS86" s="29"/>
      <c r="AT86" s="29"/>
      <c r="AU86" s="29"/>
      <c r="AV86" s="29"/>
      <c r="AW86" s="29"/>
      <c r="AX86" s="29"/>
      <c r="AY86" s="55"/>
      <c r="AZ86" s="29"/>
      <c r="BA86" s="29"/>
      <c r="BB86" s="29"/>
      <c r="BC86" s="29"/>
      <c r="BD86" s="29"/>
      <c r="BE86" s="29"/>
    </row>
    <row r="87" spans="1:57" ht="14.25" customHeight="1">
      <c r="A87" s="35"/>
      <c r="B87" s="35"/>
      <c r="C87" s="35"/>
      <c r="D87" s="35"/>
      <c r="E87" s="35"/>
      <c r="F87" s="35"/>
      <c r="G87" s="35"/>
      <c r="H87" s="61"/>
      <c r="I87" s="29"/>
      <c r="J87" s="29"/>
      <c r="K87" s="29"/>
      <c r="L87" s="29"/>
      <c r="M87" s="29"/>
      <c r="N87" s="29"/>
      <c r="O87" s="55"/>
      <c r="P87" s="29"/>
      <c r="Q87" s="29"/>
      <c r="R87" s="29"/>
      <c r="S87" s="29"/>
      <c r="T87" s="29"/>
      <c r="U87" s="29"/>
      <c r="V87" s="55"/>
      <c r="W87" s="29"/>
      <c r="X87" s="29"/>
      <c r="Y87" s="29"/>
      <c r="Z87" s="29"/>
      <c r="AA87" s="29"/>
      <c r="AB87" s="29"/>
      <c r="AC87" s="55"/>
      <c r="AD87" s="29"/>
      <c r="AE87" s="35"/>
      <c r="AF87" s="35"/>
      <c r="AG87" s="35"/>
      <c r="AH87" s="35"/>
      <c r="AI87" s="35"/>
      <c r="AJ87" s="35"/>
      <c r="AK87" s="29"/>
      <c r="AL87" s="29"/>
      <c r="AM87" s="29"/>
      <c r="AN87" s="29"/>
      <c r="AO87" s="29"/>
      <c r="AP87" s="29"/>
      <c r="AQ87" s="29"/>
      <c r="AR87" s="55"/>
      <c r="AS87" s="29"/>
      <c r="AT87" s="29"/>
      <c r="AU87" s="29"/>
      <c r="AV87" s="29"/>
      <c r="AW87" s="29"/>
      <c r="AX87" s="29"/>
      <c r="AY87" s="55"/>
      <c r="AZ87" s="29"/>
      <c r="BA87" s="29"/>
      <c r="BB87" s="29"/>
      <c r="BC87" s="29"/>
      <c r="BD87" s="29"/>
      <c r="BE87" s="29"/>
    </row>
    <row r="88" spans="1:57" ht="14.25" customHeight="1">
      <c r="A88" s="35"/>
      <c r="B88" s="35"/>
      <c r="C88" s="35"/>
      <c r="D88" s="35"/>
      <c r="E88" s="35"/>
      <c r="F88" s="35"/>
      <c r="G88" s="35"/>
      <c r="H88" s="61"/>
      <c r="I88" s="29"/>
      <c r="J88" s="29"/>
      <c r="K88" s="29"/>
      <c r="L88" s="29"/>
      <c r="M88" s="29"/>
      <c r="N88" s="29"/>
      <c r="O88" s="55"/>
      <c r="P88" s="29"/>
      <c r="Q88" s="29"/>
      <c r="R88" s="29"/>
      <c r="S88" s="29"/>
      <c r="T88" s="29"/>
      <c r="U88" s="29"/>
      <c r="V88" s="55"/>
      <c r="W88" s="29"/>
      <c r="X88" s="29"/>
      <c r="Y88" s="29"/>
      <c r="Z88" s="29"/>
      <c r="AA88" s="29"/>
      <c r="AB88" s="29"/>
      <c r="AC88" s="55"/>
      <c r="AD88" s="29"/>
      <c r="AE88" s="35"/>
      <c r="AF88" s="35"/>
      <c r="AG88" s="35"/>
      <c r="AH88" s="35"/>
      <c r="AI88" s="35"/>
      <c r="AJ88" s="35"/>
      <c r="AK88" s="29"/>
      <c r="AL88" s="29"/>
      <c r="AM88" s="29"/>
      <c r="AN88" s="29"/>
      <c r="AO88" s="29"/>
      <c r="AP88" s="29"/>
      <c r="AQ88" s="29"/>
      <c r="AR88" s="55"/>
      <c r="AS88" s="29"/>
      <c r="AT88" s="29"/>
      <c r="AU88" s="29"/>
      <c r="AV88" s="29"/>
      <c r="AW88" s="29"/>
      <c r="AX88" s="29"/>
      <c r="AY88" s="55"/>
      <c r="AZ88" s="29"/>
      <c r="BA88" s="29"/>
      <c r="BB88" s="29"/>
      <c r="BC88" s="29"/>
      <c r="BD88" s="29"/>
      <c r="BE88" s="29"/>
    </row>
    <row r="89" spans="1:57" ht="14.25" customHeight="1">
      <c r="A89" s="35"/>
      <c r="B89" s="35"/>
      <c r="C89" s="35"/>
      <c r="D89" s="35"/>
      <c r="E89" s="35"/>
      <c r="F89" s="35"/>
      <c r="G89" s="35"/>
      <c r="H89" s="61"/>
      <c r="I89" s="29"/>
      <c r="J89" s="29"/>
      <c r="K89" s="29"/>
      <c r="L89" s="29"/>
      <c r="M89" s="29"/>
      <c r="N89" s="29"/>
      <c r="O89" s="55"/>
      <c r="P89" s="29"/>
      <c r="Q89" s="29"/>
      <c r="R89" s="29"/>
      <c r="S89" s="29"/>
      <c r="T89" s="29"/>
      <c r="U89" s="29"/>
      <c r="V89" s="55"/>
      <c r="W89" s="29"/>
      <c r="X89" s="29"/>
      <c r="Y89" s="29"/>
      <c r="Z89" s="29"/>
      <c r="AA89" s="29"/>
      <c r="AB89" s="29"/>
      <c r="AC89" s="55"/>
      <c r="AD89" s="29"/>
      <c r="AE89" s="35"/>
      <c r="AF89" s="35"/>
      <c r="AG89" s="35"/>
      <c r="AH89" s="35"/>
      <c r="AI89" s="35"/>
      <c r="AJ89" s="35"/>
      <c r="AK89" s="29"/>
      <c r="AL89" s="29"/>
      <c r="AM89" s="29"/>
      <c r="AN89" s="29"/>
      <c r="AO89" s="29"/>
      <c r="AP89" s="29"/>
      <c r="AQ89" s="29"/>
      <c r="AR89" s="55"/>
      <c r="AS89" s="29"/>
      <c r="AT89" s="29"/>
      <c r="AU89" s="29"/>
      <c r="AV89" s="29"/>
      <c r="AW89" s="29"/>
      <c r="AX89" s="29"/>
      <c r="AY89" s="55"/>
      <c r="AZ89" s="29"/>
      <c r="BA89" s="29"/>
      <c r="BB89" s="29"/>
      <c r="BC89" s="29"/>
      <c r="BD89" s="29"/>
      <c r="BE89" s="29"/>
    </row>
    <row r="90" spans="1:57" ht="14.25" customHeight="1">
      <c r="A90" s="35"/>
      <c r="B90" s="35"/>
      <c r="C90" s="35"/>
      <c r="D90" s="35"/>
      <c r="E90" s="35"/>
      <c r="F90" s="35"/>
      <c r="G90" s="35"/>
      <c r="H90" s="61"/>
      <c r="I90" s="29"/>
      <c r="J90" s="29"/>
      <c r="K90" s="29"/>
      <c r="L90" s="29"/>
      <c r="M90" s="29"/>
      <c r="N90" s="29"/>
      <c r="O90" s="55"/>
      <c r="P90" s="29"/>
      <c r="Q90" s="29"/>
      <c r="R90" s="29"/>
      <c r="S90" s="29"/>
      <c r="T90" s="29"/>
      <c r="U90" s="29"/>
      <c r="V90" s="55"/>
      <c r="W90" s="29"/>
      <c r="X90" s="29"/>
      <c r="Y90" s="29"/>
      <c r="Z90" s="29"/>
      <c r="AA90" s="29"/>
      <c r="AB90" s="29"/>
      <c r="AC90" s="55"/>
      <c r="AD90" s="29"/>
      <c r="AE90" s="35"/>
      <c r="AF90" s="35"/>
      <c r="AG90" s="35"/>
      <c r="AH90" s="35"/>
      <c r="AI90" s="35"/>
      <c r="AJ90" s="35"/>
      <c r="AK90" s="29"/>
      <c r="AL90" s="29"/>
      <c r="AM90" s="29"/>
      <c r="AN90" s="29"/>
      <c r="AO90" s="29"/>
      <c r="AP90" s="29"/>
      <c r="AQ90" s="29"/>
      <c r="AR90" s="55"/>
      <c r="AS90" s="29"/>
      <c r="AT90" s="29"/>
      <c r="AU90" s="29"/>
      <c r="AV90" s="29"/>
      <c r="AW90" s="29"/>
      <c r="AX90" s="29"/>
      <c r="AY90" s="55"/>
      <c r="AZ90" s="29"/>
      <c r="BA90" s="29"/>
      <c r="BB90" s="29"/>
      <c r="BC90" s="29"/>
      <c r="BD90" s="29"/>
      <c r="BE90" s="29"/>
    </row>
    <row r="91" spans="1:57" ht="14.25" customHeight="1">
      <c r="A91" s="35"/>
      <c r="B91" s="35"/>
      <c r="C91" s="35"/>
      <c r="D91" s="35"/>
      <c r="E91" s="35"/>
      <c r="F91" s="35"/>
      <c r="G91" s="35"/>
      <c r="H91" s="61"/>
      <c r="I91" s="29"/>
      <c r="J91" s="29"/>
      <c r="K91" s="29"/>
      <c r="L91" s="29"/>
      <c r="M91" s="29"/>
      <c r="N91" s="29"/>
      <c r="O91" s="55"/>
      <c r="P91" s="29"/>
      <c r="Q91" s="29"/>
      <c r="R91" s="29"/>
      <c r="S91" s="29"/>
      <c r="T91" s="29"/>
      <c r="U91" s="29"/>
      <c r="V91" s="55"/>
      <c r="W91" s="29"/>
      <c r="X91" s="29"/>
      <c r="Y91" s="29"/>
      <c r="Z91" s="29"/>
      <c r="AA91" s="29"/>
      <c r="AB91" s="29"/>
      <c r="AC91" s="55"/>
      <c r="AD91" s="29"/>
      <c r="AE91" s="35"/>
      <c r="AF91" s="35"/>
      <c r="AG91" s="35"/>
      <c r="AH91" s="35"/>
      <c r="AI91" s="35"/>
      <c r="AJ91" s="35"/>
      <c r="AK91" s="29"/>
      <c r="AL91" s="29"/>
      <c r="AM91" s="29"/>
      <c r="AN91" s="29"/>
      <c r="AO91" s="29"/>
      <c r="AP91" s="29"/>
      <c r="AQ91" s="29"/>
      <c r="AR91" s="55"/>
      <c r="AS91" s="29"/>
      <c r="AT91" s="29"/>
      <c r="AU91" s="29"/>
      <c r="AV91" s="29"/>
      <c r="AW91" s="29"/>
      <c r="AX91" s="29"/>
      <c r="AY91" s="55"/>
      <c r="AZ91" s="29"/>
      <c r="BA91" s="29"/>
      <c r="BB91" s="29"/>
      <c r="BC91" s="29"/>
      <c r="BD91" s="29"/>
      <c r="BE91" s="29"/>
    </row>
    <row r="92" spans="1:57" ht="14.25" customHeight="1">
      <c r="A92" s="35"/>
      <c r="B92" s="35"/>
      <c r="C92" s="35"/>
      <c r="D92" s="35"/>
      <c r="E92" s="35"/>
      <c r="F92" s="35"/>
      <c r="G92" s="35"/>
      <c r="H92" s="61"/>
      <c r="I92" s="29"/>
      <c r="J92" s="29"/>
      <c r="K92" s="29"/>
      <c r="L92" s="29"/>
      <c r="M92" s="29"/>
      <c r="N92" s="29"/>
      <c r="O92" s="55"/>
      <c r="P92" s="29"/>
      <c r="Q92" s="29"/>
      <c r="R92" s="29"/>
      <c r="S92" s="29"/>
      <c r="T92" s="29"/>
      <c r="U92" s="29"/>
      <c r="V92" s="55"/>
      <c r="W92" s="29"/>
      <c r="X92" s="29"/>
      <c r="Y92" s="29"/>
      <c r="Z92" s="29"/>
      <c r="AA92" s="29"/>
      <c r="AB92" s="29"/>
      <c r="AC92" s="55"/>
      <c r="AD92" s="29"/>
      <c r="AE92" s="35"/>
      <c r="AF92" s="35"/>
      <c r="AG92" s="35"/>
      <c r="AH92" s="35"/>
      <c r="AI92" s="35"/>
      <c r="AJ92" s="35"/>
      <c r="AK92" s="29"/>
      <c r="AL92" s="29"/>
      <c r="AM92" s="29"/>
      <c r="AN92" s="29"/>
      <c r="AO92" s="29"/>
      <c r="AP92" s="29"/>
      <c r="AQ92" s="29"/>
      <c r="AR92" s="55"/>
      <c r="AS92" s="29"/>
      <c r="AT92" s="29"/>
      <c r="AU92" s="29"/>
      <c r="AV92" s="29"/>
      <c r="AW92" s="29"/>
      <c r="AX92" s="29"/>
      <c r="AY92" s="55"/>
      <c r="AZ92" s="29"/>
      <c r="BA92" s="29"/>
      <c r="BB92" s="29"/>
      <c r="BC92" s="29"/>
      <c r="BD92" s="29"/>
      <c r="BE92" s="29"/>
    </row>
    <row r="93" spans="1:57" ht="14.25" customHeight="1">
      <c r="A93" s="35"/>
      <c r="B93" s="35"/>
      <c r="C93" s="35"/>
      <c r="D93" s="35"/>
      <c r="E93" s="35"/>
      <c r="F93" s="35"/>
      <c r="G93" s="35"/>
      <c r="H93" s="61"/>
      <c r="I93" s="29"/>
      <c r="J93" s="29"/>
      <c r="K93" s="29"/>
      <c r="L93" s="29"/>
      <c r="M93" s="29"/>
      <c r="N93" s="29"/>
      <c r="O93" s="55"/>
      <c r="P93" s="29"/>
      <c r="Q93" s="29"/>
      <c r="R93" s="29"/>
      <c r="S93" s="29"/>
      <c r="T93" s="29"/>
      <c r="U93" s="29"/>
      <c r="V93" s="55"/>
      <c r="W93" s="29"/>
      <c r="X93" s="29"/>
      <c r="Y93" s="29"/>
      <c r="Z93" s="29"/>
      <c r="AA93" s="29"/>
      <c r="AB93" s="29"/>
      <c r="AC93" s="55"/>
      <c r="AD93" s="29"/>
      <c r="AE93" s="35"/>
      <c r="AF93" s="35"/>
      <c r="AG93" s="35"/>
      <c r="AH93" s="35"/>
      <c r="AI93" s="35"/>
      <c r="AJ93" s="35"/>
      <c r="AK93" s="29"/>
      <c r="AL93" s="29"/>
      <c r="AM93" s="29"/>
      <c r="AN93" s="29"/>
      <c r="AO93" s="29"/>
      <c r="AP93" s="29"/>
      <c r="AQ93" s="29"/>
      <c r="AR93" s="55"/>
      <c r="AS93" s="29"/>
      <c r="AT93" s="29"/>
      <c r="AU93" s="29"/>
      <c r="AV93" s="29"/>
      <c r="AW93" s="29"/>
      <c r="AX93" s="29"/>
      <c r="AY93" s="55"/>
      <c r="AZ93" s="29"/>
      <c r="BA93" s="29"/>
      <c r="BB93" s="29"/>
      <c r="BC93" s="29"/>
      <c r="BD93" s="29"/>
      <c r="BE93" s="29"/>
    </row>
    <row r="94" spans="1:57" ht="14.25" customHeight="1">
      <c r="A94" s="35"/>
      <c r="B94" s="35"/>
      <c r="C94" s="35"/>
      <c r="D94" s="35"/>
      <c r="E94" s="35"/>
      <c r="F94" s="35"/>
      <c r="G94" s="35"/>
      <c r="H94" s="61"/>
      <c r="I94" s="29"/>
      <c r="J94" s="29"/>
      <c r="K94" s="29"/>
      <c r="L94" s="29"/>
      <c r="M94" s="29"/>
      <c r="N94" s="29"/>
      <c r="O94" s="55"/>
      <c r="P94" s="29"/>
      <c r="Q94" s="29"/>
      <c r="R94" s="29"/>
      <c r="S94" s="29"/>
      <c r="T94" s="29"/>
      <c r="U94" s="29"/>
      <c r="V94" s="55"/>
      <c r="W94" s="29"/>
      <c r="X94" s="29"/>
      <c r="Y94" s="29"/>
      <c r="Z94" s="29"/>
      <c r="AA94" s="29"/>
      <c r="AB94" s="29"/>
      <c r="AC94" s="55"/>
      <c r="AD94" s="29"/>
      <c r="AE94" s="35"/>
      <c r="AF94" s="35"/>
      <c r="AG94" s="35"/>
      <c r="AH94" s="35"/>
      <c r="AI94" s="35"/>
      <c r="AJ94" s="35"/>
      <c r="AK94" s="29"/>
      <c r="AL94" s="29"/>
      <c r="AM94" s="29"/>
      <c r="AN94" s="29"/>
      <c r="AO94" s="29"/>
      <c r="AP94" s="29"/>
      <c r="AQ94" s="29"/>
      <c r="AR94" s="55"/>
      <c r="AS94" s="29"/>
      <c r="AT94" s="29"/>
      <c r="AU94" s="29"/>
      <c r="AV94" s="29"/>
      <c r="AW94" s="29"/>
      <c r="AX94" s="29"/>
      <c r="AY94" s="55"/>
      <c r="AZ94" s="29"/>
      <c r="BA94" s="29"/>
      <c r="BB94" s="29"/>
      <c r="BC94" s="29"/>
      <c r="BD94" s="29"/>
      <c r="BE94" s="29"/>
    </row>
    <row r="95" spans="1:57" ht="14.25" customHeight="1">
      <c r="A95" s="35"/>
      <c r="B95" s="35"/>
      <c r="C95" s="35"/>
      <c r="D95" s="35"/>
      <c r="E95" s="35"/>
      <c r="F95" s="35"/>
      <c r="G95" s="35"/>
      <c r="H95" s="61"/>
      <c r="I95" s="29"/>
      <c r="J95" s="29"/>
      <c r="K95" s="29"/>
      <c r="L95" s="29"/>
      <c r="M95" s="29"/>
      <c r="N95" s="29"/>
      <c r="O95" s="55"/>
      <c r="P95" s="29"/>
      <c r="Q95" s="29"/>
      <c r="R95" s="29"/>
      <c r="S95" s="29"/>
      <c r="T95" s="29"/>
      <c r="U95" s="29"/>
      <c r="V95" s="55"/>
      <c r="W95" s="29"/>
      <c r="X95" s="29"/>
      <c r="Y95" s="29"/>
      <c r="Z95" s="29"/>
      <c r="AA95" s="29"/>
      <c r="AB95" s="29"/>
      <c r="AC95" s="55"/>
      <c r="AD95" s="29"/>
      <c r="AE95" s="35"/>
      <c r="AF95" s="35"/>
      <c r="AG95" s="35"/>
      <c r="AH95" s="35"/>
      <c r="AI95" s="35"/>
      <c r="AJ95" s="35"/>
      <c r="AK95" s="29"/>
      <c r="AL95" s="29"/>
      <c r="AM95" s="29"/>
      <c r="AN95" s="29"/>
      <c r="AO95" s="29"/>
      <c r="AP95" s="29"/>
      <c r="AQ95" s="29"/>
      <c r="AR95" s="55"/>
      <c r="AS95" s="29"/>
      <c r="AT95" s="29"/>
      <c r="AU95" s="29"/>
      <c r="AV95" s="29"/>
      <c r="AW95" s="29"/>
      <c r="AX95" s="29"/>
      <c r="AY95" s="55"/>
      <c r="AZ95" s="29"/>
      <c r="BA95" s="29"/>
      <c r="BB95" s="29"/>
      <c r="BC95" s="29"/>
      <c r="BD95" s="29"/>
      <c r="BE95" s="29"/>
    </row>
    <row r="96" spans="1:57" ht="14.25" customHeight="1">
      <c r="A96" s="35"/>
      <c r="B96" s="35"/>
      <c r="C96" s="35"/>
      <c r="D96" s="35"/>
      <c r="E96" s="35"/>
      <c r="F96" s="35"/>
      <c r="G96" s="35"/>
      <c r="H96" s="61"/>
      <c r="I96" s="29"/>
      <c r="J96" s="29"/>
      <c r="K96" s="29"/>
      <c r="L96" s="29"/>
      <c r="M96" s="29"/>
      <c r="N96" s="29"/>
      <c r="O96" s="55"/>
      <c r="P96" s="29"/>
      <c r="Q96" s="29"/>
      <c r="R96" s="29"/>
      <c r="S96" s="29"/>
      <c r="T96" s="29"/>
      <c r="U96" s="29"/>
      <c r="V96" s="55"/>
      <c r="W96" s="29"/>
      <c r="X96" s="29"/>
      <c r="Y96" s="29"/>
      <c r="Z96" s="29"/>
      <c r="AA96" s="29"/>
      <c r="AB96" s="29"/>
      <c r="AC96" s="55"/>
      <c r="AD96" s="29"/>
      <c r="AE96" s="35"/>
      <c r="AF96" s="35"/>
      <c r="AG96" s="35"/>
      <c r="AH96" s="35"/>
      <c r="AI96" s="35"/>
      <c r="AJ96" s="35"/>
      <c r="AK96" s="29"/>
      <c r="AL96" s="29"/>
      <c r="AM96" s="29"/>
      <c r="AN96" s="29"/>
      <c r="AO96" s="29"/>
      <c r="AP96" s="29"/>
      <c r="AQ96" s="29"/>
      <c r="AR96" s="55"/>
      <c r="AS96" s="29"/>
      <c r="AT96" s="29"/>
      <c r="AU96" s="29"/>
      <c r="AV96" s="29"/>
      <c r="AW96" s="29"/>
      <c r="AX96" s="29"/>
      <c r="AY96" s="55"/>
      <c r="AZ96" s="29"/>
      <c r="BA96" s="29"/>
      <c r="BB96" s="29"/>
      <c r="BC96" s="29"/>
      <c r="BD96" s="29"/>
      <c r="BE96" s="29"/>
    </row>
    <row r="97" spans="1:57" ht="14.25" customHeight="1">
      <c r="A97" s="35"/>
      <c r="B97" s="35"/>
      <c r="C97" s="35"/>
      <c r="D97" s="35"/>
      <c r="E97" s="35"/>
      <c r="F97" s="35"/>
      <c r="G97" s="35"/>
      <c r="H97" s="61"/>
      <c r="I97" s="29"/>
      <c r="J97" s="29"/>
      <c r="K97" s="29"/>
      <c r="L97" s="29"/>
      <c r="M97" s="29"/>
      <c r="N97" s="29"/>
      <c r="O97" s="55"/>
      <c r="P97" s="29"/>
      <c r="Q97" s="29"/>
      <c r="R97" s="29"/>
      <c r="S97" s="29"/>
      <c r="T97" s="29"/>
      <c r="U97" s="29"/>
      <c r="V97" s="55"/>
      <c r="W97" s="29"/>
      <c r="X97" s="29"/>
      <c r="Y97" s="29"/>
      <c r="Z97" s="29"/>
      <c r="AA97" s="29"/>
      <c r="AB97" s="29"/>
      <c r="AC97" s="55"/>
      <c r="AD97" s="29"/>
      <c r="AE97" s="35"/>
      <c r="AF97" s="35"/>
      <c r="AG97" s="35"/>
      <c r="AH97" s="35"/>
      <c r="AI97" s="35"/>
      <c r="AJ97" s="35"/>
      <c r="AK97" s="29"/>
      <c r="AL97" s="29"/>
      <c r="AM97" s="29"/>
      <c r="AN97" s="29"/>
      <c r="AO97" s="29"/>
      <c r="AP97" s="29"/>
      <c r="AQ97" s="29"/>
      <c r="AR97" s="55"/>
      <c r="AS97" s="29"/>
      <c r="AT97" s="29"/>
      <c r="AU97" s="29"/>
      <c r="AV97" s="29"/>
      <c r="AW97" s="29"/>
      <c r="AX97" s="29"/>
      <c r="AY97" s="55"/>
      <c r="AZ97" s="29"/>
      <c r="BA97" s="29"/>
      <c r="BB97" s="29"/>
      <c r="BC97" s="29"/>
      <c r="BD97" s="29"/>
      <c r="BE97" s="29"/>
    </row>
    <row r="98" spans="1:57" ht="14.25" customHeight="1">
      <c r="A98" s="35"/>
      <c r="B98" s="35"/>
      <c r="C98" s="35"/>
      <c r="D98" s="35"/>
      <c r="E98" s="35"/>
      <c r="F98" s="35"/>
      <c r="G98" s="35"/>
      <c r="H98" s="61"/>
      <c r="I98" s="29"/>
      <c r="J98" s="29"/>
      <c r="K98" s="29"/>
      <c r="L98" s="29"/>
      <c r="M98" s="29"/>
      <c r="N98" s="29"/>
      <c r="O98" s="55"/>
      <c r="P98" s="29"/>
      <c r="Q98" s="29"/>
      <c r="R98" s="29"/>
      <c r="S98" s="29"/>
      <c r="T98" s="29"/>
      <c r="U98" s="29"/>
      <c r="V98" s="55"/>
      <c r="W98" s="29"/>
      <c r="X98" s="29"/>
      <c r="Y98" s="29"/>
      <c r="Z98" s="29"/>
      <c r="AA98" s="29"/>
      <c r="AB98" s="29"/>
      <c r="AC98" s="55"/>
      <c r="AD98" s="29"/>
      <c r="AE98" s="35"/>
      <c r="AF98" s="35"/>
      <c r="AG98" s="35"/>
      <c r="AH98" s="35"/>
      <c r="AI98" s="35"/>
      <c r="AJ98" s="35"/>
      <c r="AK98" s="29"/>
      <c r="AL98" s="29"/>
      <c r="AM98" s="29"/>
      <c r="AN98" s="29"/>
      <c r="AO98" s="29"/>
      <c r="AP98" s="29"/>
      <c r="AQ98" s="29"/>
      <c r="AR98" s="55"/>
      <c r="AS98" s="29"/>
      <c r="AT98" s="29"/>
      <c r="AU98" s="29"/>
      <c r="AV98" s="29"/>
      <c r="AW98" s="29"/>
      <c r="AX98" s="29"/>
      <c r="AY98" s="55"/>
      <c r="AZ98" s="29"/>
      <c r="BA98" s="29"/>
      <c r="BB98" s="29"/>
      <c r="BC98" s="29"/>
      <c r="BD98" s="29"/>
      <c r="BE98" s="29"/>
    </row>
    <row r="99" spans="1:57" ht="14.25" customHeight="1">
      <c r="A99" s="35"/>
      <c r="B99" s="35"/>
      <c r="C99" s="35"/>
      <c r="D99" s="35"/>
      <c r="E99" s="35"/>
      <c r="F99" s="35"/>
      <c r="G99" s="35"/>
      <c r="H99" s="61"/>
      <c r="I99" s="29"/>
      <c r="J99" s="29"/>
      <c r="K99" s="29"/>
      <c r="L99" s="29"/>
      <c r="M99" s="29"/>
      <c r="N99" s="29"/>
      <c r="O99" s="55"/>
      <c r="P99" s="29"/>
      <c r="Q99" s="29"/>
      <c r="R99" s="29"/>
      <c r="S99" s="29"/>
      <c r="T99" s="29"/>
      <c r="U99" s="29"/>
      <c r="V99" s="55"/>
      <c r="W99" s="29"/>
      <c r="X99" s="29"/>
      <c r="Y99" s="29"/>
      <c r="Z99" s="29"/>
      <c r="AA99" s="29"/>
      <c r="AB99" s="29"/>
      <c r="AC99" s="55"/>
      <c r="AD99" s="29"/>
      <c r="AE99" s="35"/>
      <c r="AF99" s="35"/>
      <c r="AG99" s="35"/>
      <c r="AH99" s="35"/>
      <c r="AI99" s="35"/>
      <c r="AJ99" s="35"/>
      <c r="AK99" s="29"/>
      <c r="AL99" s="29"/>
      <c r="AM99" s="29"/>
      <c r="AN99" s="29"/>
      <c r="AO99" s="29"/>
      <c r="AP99" s="29"/>
      <c r="AQ99" s="29"/>
      <c r="AR99" s="55"/>
      <c r="AS99" s="29"/>
      <c r="AT99" s="29"/>
      <c r="AU99" s="29"/>
      <c r="AV99" s="29"/>
      <c r="AW99" s="29"/>
      <c r="AX99" s="29"/>
      <c r="AY99" s="55"/>
      <c r="AZ99" s="29"/>
      <c r="BA99" s="29"/>
      <c r="BB99" s="29"/>
      <c r="BC99" s="29"/>
      <c r="BD99" s="29"/>
      <c r="BE99" s="29"/>
    </row>
    <row r="100" spans="1:57" ht="14.25" customHeight="1">
      <c r="A100" s="35"/>
      <c r="B100" s="35"/>
      <c r="C100" s="35"/>
      <c r="D100" s="35"/>
      <c r="E100" s="35"/>
      <c r="F100" s="35"/>
      <c r="G100" s="35"/>
      <c r="H100" s="61"/>
      <c r="I100" s="29"/>
      <c r="J100" s="29"/>
      <c r="K100" s="29"/>
      <c r="L100" s="29"/>
      <c r="M100" s="29"/>
      <c r="N100" s="29"/>
      <c r="O100" s="55"/>
      <c r="P100" s="29"/>
      <c r="Q100" s="29"/>
      <c r="R100" s="29"/>
      <c r="S100" s="29"/>
      <c r="T100" s="29"/>
      <c r="U100" s="29"/>
      <c r="V100" s="55"/>
      <c r="W100" s="29"/>
      <c r="X100" s="29"/>
      <c r="Y100" s="29"/>
      <c r="Z100" s="29"/>
      <c r="AA100" s="29"/>
      <c r="AB100" s="29"/>
      <c r="AC100" s="55"/>
      <c r="AD100" s="29"/>
      <c r="AE100" s="35"/>
      <c r="AF100" s="35"/>
      <c r="AG100" s="35"/>
      <c r="AH100" s="35"/>
      <c r="AI100" s="35"/>
      <c r="AJ100" s="35"/>
      <c r="AK100" s="29"/>
      <c r="AL100" s="29"/>
      <c r="AM100" s="29"/>
      <c r="AN100" s="29"/>
      <c r="AO100" s="29"/>
      <c r="AP100" s="29"/>
      <c r="AQ100" s="29"/>
      <c r="AR100" s="55"/>
      <c r="AS100" s="29"/>
      <c r="AT100" s="29"/>
      <c r="AU100" s="29"/>
      <c r="AV100" s="29"/>
      <c r="AW100" s="29"/>
      <c r="AX100" s="29"/>
      <c r="AY100" s="55"/>
      <c r="AZ100" s="29"/>
      <c r="BA100" s="29"/>
      <c r="BB100" s="29"/>
      <c r="BC100" s="29"/>
      <c r="BD100" s="29"/>
      <c r="BE100" s="29"/>
    </row>
  </sheetData>
  <dataValidations count="2">
    <dataValidation type="list" allowBlank="1" showErrorMessage="1" sqref="A1">
      <formula1>$H$2:$H$61</formula1>
    </dataValidation>
    <dataValidation type="list" allowBlank="1" showErrorMessage="1" sqref="AE1">
      <formula1>$H$32:$H$61</formula1>
    </dataValidation>
  </dataValidations>
  <hyperlinks>
    <hyperlink ref="AC37" r:id="rId1"/>
  </hyperlinks>
  <pageMargins left="0.7" right="0.7" top="0.75" bottom="0.75" header="0" footer="0"/>
  <pageSetup orientation="portrait" useFirstPageNumber="1" r:id="rId2"/>
  <headerFooter>
    <oddHeader>&amp;L&amp;C&amp;R</oddHeader>
    <oddFooter>&amp;L&amp;C&amp;R</oddFooter>
  </headerFooter>
  <extLst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theme="6" tint="-0.249977111117893"/>
  </sheetPr>
  <dimension ref="A1:BF100"/>
  <sheetViews>
    <sheetView workbookViewId="0">
      <selection activeCell="BG13" sqref="BG13"/>
    </sheetView>
  </sheetViews>
  <sheetFormatPr defaultColWidth="8.85546875" defaultRowHeight="15" customHeight="1"/>
  <cols>
    <col min="1" max="1" width="20.7109375" style="57" customWidth="1"/>
    <col min="2" max="6" width="7.7109375" style="57" customWidth="1"/>
    <col min="7" max="7" width="16.42578125" style="57" hidden="1" customWidth="1"/>
    <col min="8" max="8" width="30.140625" style="72" hidden="1" customWidth="1"/>
    <col min="9" max="9" width="19" style="59" hidden="1" customWidth="1"/>
    <col min="10" max="14" width="7.7109375" style="59" hidden="1" customWidth="1"/>
    <col min="15" max="15" width="19.28515625" style="60" hidden="1" customWidth="1"/>
    <col min="16" max="16" width="19" style="59" hidden="1" customWidth="1"/>
    <col min="17" max="17" width="12" style="59" hidden="1" customWidth="1"/>
    <col min="18" max="21" width="7.7109375" style="59" hidden="1" customWidth="1"/>
    <col min="22" max="22" width="14.42578125" style="60" hidden="1" customWidth="1"/>
    <col min="23" max="23" width="19" style="59" hidden="1" customWidth="1"/>
    <col min="24" max="24" width="7.7109375" style="59" hidden="1" customWidth="1"/>
    <col min="25" max="25" width="13.28515625" style="59" hidden="1" customWidth="1"/>
    <col min="26" max="26" width="7.7109375" style="59" hidden="1" customWidth="1"/>
    <col min="27" max="27" width="14" style="59" hidden="1" customWidth="1"/>
    <col min="28" max="28" width="9.28515625" style="59" hidden="1" customWidth="1"/>
    <col min="29" max="29" width="18.140625" style="60" hidden="1" customWidth="1"/>
    <col min="30" max="30" width="7.7109375" style="59" hidden="1" customWidth="1"/>
    <col min="31" max="34" width="7.7109375" style="57" hidden="1" customWidth="1"/>
    <col min="35" max="35" width="12.85546875" style="57" hidden="1" customWidth="1"/>
    <col min="36" max="36" width="7.7109375" style="57" hidden="1" customWidth="1"/>
    <col min="37" max="37" width="7.7109375" style="59" hidden="1" customWidth="1"/>
    <col min="38" max="38" width="19" style="59" hidden="1" customWidth="1"/>
    <col min="39" max="43" width="7.7109375" style="59" hidden="1" customWidth="1"/>
    <col min="44" max="44" width="17.7109375" style="60" hidden="1" customWidth="1"/>
    <col min="45" max="45" width="19" style="59" hidden="1" customWidth="1"/>
    <col min="46" max="51" width="7.7109375" style="59" hidden="1" customWidth="1"/>
    <col min="52" max="52" width="19" style="59" hidden="1" customWidth="1"/>
    <col min="53" max="57" width="7.7109375" style="59" hidden="1" customWidth="1"/>
    <col min="58" max="58" width="0" hidden="1" customWidth="1"/>
  </cols>
  <sheetData>
    <row r="1" spans="1:58" ht="24" customHeight="1" thickBot="1">
      <c r="A1" s="28" t="s">
        <v>777</v>
      </c>
      <c r="B1" s="29"/>
      <c r="C1" s="29"/>
      <c r="D1" s="29"/>
      <c r="E1" s="29"/>
      <c r="F1" s="29"/>
      <c r="G1" s="29"/>
      <c r="H1" s="61"/>
      <c r="I1" s="29"/>
      <c r="J1" s="29"/>
      <c r="K1" s="29"/>
      <c r="L1" s="29"/>
      <c r="M1" s="29"/>
      <c r="N1" s="29"/>
      <c r="O1" s="55"/>
      <c r="P1" s="29"/>
      <c r="Q1" s="29"/>
      <c r="R1" s="29"/>
      <c r="S1" s="29"/>
      <c r="T1" s="29"/>
      <c r="U1" s="29"/>
      <c r="V1" s="55"/>
      <c r="W1" s="29"/>
      <c r="X1" s="29"/>
      <c r="Y1" s="29"/>
      <c r="Z1" s="29"/>
      <c r="AA1" s="29"/>
      <c r="AB1" s="29"/>
      <c r="AC1" s="55"/>
      <c r="AD1" s="29"/>
      <c r="AE1" s="28" t="s">
        <v>778</v>
      </c>
      <c r="AF1" s="29"/>
      <c r="AG1" s="29"/>
      <c r="AH1" s="29"/>
      <c r="AI1" s="29"/>
      <c r="AJ1" s="29"/>
      <c r="AK1" s="29"/>
      <c r="AL1" s="31"/>
      <c r="AM1" s="31"/>
      <c r="AN1" s="31"/>
      <c r="AO1" s="31"/>
      <c r="AP1" s="31"/>
      <c r="AQ1" s="31"/>
      <c r="AR1" s="32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</row>
    <row r="2" spans="1:58" ht="15" hidden="1" customHeight="1" thickBot="1">
      <c r="A2" s="33" t="str">
        <f t="shared" ref="A2:G2" si="0">IF($A$1=$H$2,I2,IF($A$1=$H$3,I7,IF($A$1=$H$4,I12,IF($A$1=$H$5,I17,IF($A$1=$H$6,I22,IF($A$1=$H$7,I27,IF($A$1=$H$8,I32,IF($A$1=$H$9,I37,IF($A$1=$H$10,I42,IF($A$1=$H$11,I47,IF($A$1=$H$12,P2,IF($A$1=$H$13,P7,IF($A$1=$H$14,P12,IF($A$1=$H$15,P17,IF($A$1=$H$16,P22,IF($A$1=$H$17,P27,IF($A$1=$H$18,P32,IF($A$1=$H$19,P37,IF($A$1=$H$20,P42,IF($A$1=$H$21,P47,IF($A$1=$H$21,P52,IF($A$1=$H$22,W2,IF($A$1=$H$23,W7,IF($A$1=$H$24,W12,IF($A$1=$H$25,W17,IF($A$1=$H$26,W22,IF($A$1=$H$27,W27,IF($A$1=$H$28,W32,IF($A$1=$H$29,W37,IF($A$1=$H$30,W42,IF($A$1=$H$31,W47,IF($A$1=$H$32,AL2,IF($A$1=$H$33,AL7,IF($A$1=$H$34,AL12,IF($A$1=$H$35,AL17,IF($A$1=$H$36,AL22,IF($A$1=$H$37,AL27,IF($A$1=$H$38,AL32,IF($A$1=$H$39,AL37,IF($A$1=$H$40,AL42,IF($A$1=$H$41,AL47,IF($A$1=$H$42,AS2,IF($A$1=$H$43,AS7,IF($A$1=$H$44,AS12,IF($A$1=$H$45,AS17,IF($A$1=$H$46,AS22,IF($A$1=$H$47,AS27,IF($A$1=$H$48,AS32,IF($A$1=$H$49,AS37,IF($A$1=$H$50,AS42,IF($A$1=$H$51,AS47,IF($A$1=$H$51,AS52,IF($A$1=$H$52,AZ2,IF($A$1=$H$53,AZ7,IF($A$1=$H$54,AZ12,IF($A$1=$H$55,AZ17,IF($A$1=$H$56,AZ22,IF($A$1=$H$57,AZ27,IF($A$1=$H$58,AZ32,IF($A$1=$H$59,AZ37,IF($A$1=$H$60,AZ42,IF($A$1=$H$61,AZ47))))))))))))))))))))))))))))))))))))))))))))))))))))))))))))))</f>
        <v>1 ਕੇਵਲ ਕ੍ਰਿਸ਼ਨ ਰਾਮ ਰੱਖਾ</v>
      </c>
      <c r="B2" s="33" t="str">
        <f t="shared" si="0"/>
        <v>ਜੀਵਾਂ ਬਾਈ</v>
      </c>
      <c r="C2" s="33">
        <f t="shared" si="0"/>
        <v>1</v>
      </c>
      <c r="D2" s="33" t="str">
        <f t="shared" si="0"/>
        <v>ਭਰਾਵਾਂ ਬਾਈ (ਮਾਂ)</v>
      </c>
      <c r="E2" s="33">
        <f t="shared" si="0"/>
        <v>1</v>
      </c>
      <c r="F2" s="102">
        <f t="shared" si="0"/>
        <v>1</v>
      </c>
      <c r="G2" s="127" t="str">
        <f t="shared" si="0"/>
        <v>https://serving.photos.photobox.com/896517774cd04673a0d1604f26611ca02bb49a774cc3aa2828122d22e9eb7683d4e60730.jpg</v>
      </c>
      <c r="H2" s="104" t="str">
        <f>I2</f>
        <v>1 ਕੇਵਲ ਕ੍ਰਿਸ਼ਨ ਰਾਮ ਰੱਖਾ</v>
      </c>
      <c r="I2" s="17" t="s">
        <v>777</v>
      </c>
      <c r="J2" s="18" t="s">
        <v>779</v>
      </c>
      <c r="K2" s="18">
        <v>1</v>
      </c>
      <c r="L2" s="18" t="s">
        <v>780</v>
      </c>
      <c r="M2" s="18">
        <v>1</v>
      </c>
      <c r="N2" s="18">
        <v>1</v>
      </c>
      <c r="O2" s="55" t="s">
        <v>1232</v>
      </c>
      <c r="P2" s="17" t="s">
        <v>781</v>
      </c>
      <c r="Q2" s="18" t="s">
        <v>782</v>
      </c>
      <c r="R2" s="18" t="s">
        <v>783</v>
      </c>
      <c r="S2" s="18">
        <v>1</v>
      </c>
      <c r="T2" s="18">
        <v>1</v>
      </c>
      <c r="U2" s="18">
        <v>1</v>
      </c>
      <c r="V2" s="55" t="s">
        <v>1240</v>
      </c>
      <c r="W2" s="17" t="s">
        <v>784</v>
      </c>
      <c r="X2" s="18" t="s">
        <v>344</v>
      </c>
      <c r="Y2" s="18">
        <v>1</v>
      </c>
      <c r="Z2" s="18">
        <v>1</v>
      </c>
      <c r="AA2" s="18">
        <v>1</v>
      </c>
      <c r="AB2" s="18">
        <v>1</v>
      </c>
      <c r="AC2" s="55" t="s">
        <v>1242</v>
      </c>
      <c r="AD2" s="29"/>
      <c r="AE2" s="33" t="str">
        <f t="shared" ref="AE2:AJ6" si="1">IF($AE$1=$H$32,AL2,IF($AE$1=$H$33,AL7,IF($AE$1=$H$34,AL12,IF($AE$1=$H$35,AL17,IF($AE$1=$H$36,AL22,IF($AE$1=$H$37,AL27,IF($AE$1=$H$38,AL32,IF($AE$1=$H$39,AL37,IF($AE$1=$H$40,AL42,IF($AE$1=$H$41,AL47,IF($AE$1=$H$42,AS2,IF($AE$1=$H$43,AS7,IF($AE$1=$H$44,AS12,IF($AE$1=$H$45,AS17,IF($AE$1=$H$46,AS22,IF($AE$1=$H$47,AS27,IF($AE$1=$H$48,AS32,IF($AE$1=$H$49,AS37,IF($AE$1=$H$50,AS42,IF($AE$1=$H$51,AS47,IF($AE$1=$H$51,AS52,IF($AE$1=$H$52,AZ2,IF($AE$1=$H$53,AZ7,IF($AE$1=$H$54,AZ12,IF($AE$1=$H$55,AZ17,IF($AE$1=$H$56,AZ22,IF($AE$1=$H$57,AZ27,IF($AE$1=$H$58,AZ32,IF($AE$1=$H$59,AZ37,IF($AE$1=$H$60,AZ42,IF($AE$1=$H$61,AZ47)))))))))))))))))))))))))))))))</f>
        <v>31 ਮੋਤੀ ਰਾਮ</v>
      </c>
      <c r="AF2" s="33">
        <f t="shared" si="1"/>
        <v>1</v>
      </c>
      <c r="AG2" s="33">
        <f t="shared" si="1"/>
        <v>1</v>
      </c>
      <c r="AH2" s="33">
        <f t="shared" si="1"/>
        <v>1</v>
      </c>
      <c r="AI2" s="33">
        <f t="shared" si="1"/>
        <v>1</v>
      </c>
      <c r="AJ2" s="33">
        <f t="shared" si="1"/>
        <v>1</v>
      </c>
      <c r="AL2" s="73" t="s">
        <v>778</v>
      </c>
      <c r="AM2" s="5">
        <v>1</v>
      </c>
      <c r="AN2" s="5">
        <v>1</v>
      </c>
      <c r="AO2" s="5">
        <v>1</v>
      </c>
      <c r="AP2" s="5">
        <v>1</v>
      </c>
      <c r="AQ2" s="5">
        <v>1</v>
      </c>
      <c r="AR2" s="80" t="s">
        <v>1254</v>
      </c>
      <c r="AS2" s="17" t="s">
        <v>785</v>
      </c>
      <c r="AT2" s="18">
        <v>1</v>
      </c>
      <c r="AU2" s="18">
        <v>1</v>
      </c>
      <c r="AV2" s="18">
        <v>1</v>
      </c>
      <c r="AW2" s="18">
        <v>1</v>
      </c>
      <c r="AX2" s="18">
        <v>1</v>
      </c>
      <c r="AY2" s="29">
        <v>2</v>
      </c>
      <c r="AZ2" s="17" t="s">
        <v>51</v>
      </c>
      <c r="BA2" s="18">
        <v>1</v>
      </c>
      <c r="BB2" s="18">
        <v>1</v>
      </c>
      <c r="BC2" s="18">
        <v>1</v>
      </c>
      <c r="BD2" s="18">
        <v>1</v>
      </c>
      <c r="BE2" s="18">
        <v>1</v>
      </c>
    </row>
    <row r="3" spans="1:58" ht="14.25" hidden="1" customHeight="1">
      <c r="A3" s="33" t="str">
        <f t="shared" ref="A3:F6" si="2">IF($A$1=$H$2,I3,IF($A$1=$H$3,I8,IF($A$1=$H$4,I13,IF($A$1=$H$5,I18,IF($A$1=$H$6,I23,IF($A$1=$H$7,I28,IF($A$1=$H$8,I33,IF($A$1=$H$9,I38,IF($A$1=$H$10,I43,IF($A$1=$H$11,I48,IF($A$1=$H$12,P3,IF($A$1=$H$13,P8,IF($A$1=$H$14,P13,IF($A$1=$H$15,P18,IF($A$1=$H$16,P23,IF($A$1=$H$17,P28,IF($A$1=$H$18,P33,IF($A$1=$H$19,P38,IF($A$1=$H$20,P43,IF($A$1=$H$21,P48,IF($A$1=$H$21,P53,IF($A$1=$H$22,W3,IF($A$1=$H$23,W8,IF($A$1=$H$24,W13,IF($A$1=$H$25,W18,IF($A$1=$H$26,W23,IF($A$1=$H$27,W28,IF($A$1=$H$28,W33,IF($A$1=$H$29,W38,IF($A$1=$H$30,W43,IF($A$1=$H$31,W48,IF($A$1=$H$32,AL3,IF($A$1=$H$33,AL8,IF($A$1=$H$34,AL13,IF($A$1=$H$35,AL18,IF($A$1=$H$36,AL23,IF($A$1=$H$37,AL28,IF($A$1=$H$38,AL33,IF($A$1=$H$39,AL38,IF($A$1=$H$40,AL43,IF($A$1=$H$41,AL48,IF($A$1=$H$42,AS3,IF($A$1=$H$43,AS8,IF($A$1=$H$44,AS13,IF($A$1=$H$45,AS18,IF($A$1=$H$46,AS23,IF($A$1=$H$47,AS28,IF($A$1=$H$48,AS33,IF($A$1=$H$49,AS38,IF($A$1=$H$50,AS43,IF($A$1=$H$51,AS48,IF($A$1=$H$51,AS53,IF($A$1=$H$52,AZ3,IF($A$1=$H$53,AZ8,IF($A$1=$H$54,AZ13,IF($A$1=$H$55,AZ18,IF($A$1=$H$56,AZ23,IF($A$1=$H$57,AZ28,IF($A$1=$H$58,AZ33,IF($A$1=$H$59,AZ38,IF($A$1=$H$60,AZ43,IF($A$1=$H$61,AZ48))))))))))))))))))))))))))))))))))))))))))))))))))))))))))))))</f>
        <v>ਪਰਮਾ ਨੰਦ (ਸਵ:)</v>
      </c>
      <c r="B3" s="33" t="str">
        <f t="shared" si="2"/>
        <v>ਸੋਮਾ ਰਾਣੀ</v>
      </c>
      <c r="C3" s="33" t="str">
        <f t="shared" si="2"/>
        <v xml:space="preserve">ਹੇਮ ਰਾਜ </v>
      </c>
      <c r="D3" s="33" t="str">
        <f t="shared" si="2"/>
        <v>ਤੇਜਿੰਦਰ ਪਾਲ</v>
      </c>
      <c r="E3" s="33">
        <f t="shared" si="2"/>
        <v>1</v>
      </c>
      <c r="F3" s="33">
        <f t="shared" si="2"/>
        <v>1</v>
      </c>
      <c r="G3" s="93"/>
      <c r="H3" s="66" t="str">
        <f>I7</f>
        <v>2 ਕ੍ਰਿਸ਼ਨ ਲਾਲ ਅਤੇ ਲਛਮਣ ਰਾਮ</v>
      </c>
      <c r="I3" s="18" t="s">
        <v>786</v>
      </c>
      <c r="J3" s="18" t="s">
        <v>388</v>
      </c>
      <c r="K3" s="18" t="s">
        <v>787</v>
      </c>
      <c r="L3" s="18" t="s">
        <v>788</v>
      </c>
      <c r="M3" s="18">
        <v>1</v>
      </c>
      <c r="N3" s="18">
        <v>1</v>
      </c>
      <c r="O3" s="18">
        <v>1</v>
      </c>
      <c r="P3" s="18" t="s">
        <v>414</v>
      </c>
      <c r="Q3" s="18" t="s">
        <v>790</v>
      </c>
      <c r="R3" s="120" t="s">
        <v>1341</v>
      </c>
      <c r="S3" s="120" t="s">
        <v>226</v>
      </c>
      <c r="T3" s="18">
        <v>1</v>
      </c>
      <c r="U3" s="18">
        <v>1</v>
      </c>
      <c r="V3" s="18">
        <v>1</v>
      </c>
      <c r="W3" s="18" t="s">
        <v>791</v>
      </c>
      <c r="X3" s="18" t="s">
        <v>792</v>
      </c>
      <c r="Y3" s="18">
        <v>1</v>
      </c>
      <c r="Z3" s="18">
        <v>1</v>
      </c>
      <c r="AA3" s="18">
        <v>1</v>
      </c>
      <c r="AB3" s="18">
        <v>1</v>
      </c>
      <c r="AC3" s="18">
        <v>1</v>
      </c>
      <c r="AD3" s="29"/>
      <c r="AE3" s="33" t="str">
        <f t="shared" si="1"/>
        <v>ਜੰਮੂ ਰਾਮ</v>
      </c>
      <c r="AF3" s="33" t="str">
        <f t="shared" si="1"/>
        <v>ਕ੍ਰਿਸ਼ਨਾ ਰਾਣੀ</v>
      </c>
      <c r="AG3" s="33" t="str">
        <f t="shared" si="1"/>
        <v>ਊਸ਼ਾ ਰਾਣੀ</v>
      </c>
      <c r="AH3" s="33" t="str">
        <f t="shared" si="1"/>
        <v>ਸ਼ੀਲਾ ਰਾਣੀ</v>
      </c>
      <c r="AI3" s="33" t="str">
        <f t="shared" si="1"/>
        <v>ਸੁਰਿੰਦਰ ਕੁਮਾਰ</v>
      </c>
      <c r="AJ3" s="33">
        <f t="shared" si="1"/>
        <v>1</v>
      </c>
      <c r="AL3" s="5" t="s">
        <v>185</v>
      </c>
      <c r="AM3" s="5" t="s">
        <v>207</v>
      </c>
      <c r="AN3" s="5" t="s">
        <v>314</v>
      </c>
      <c r="AO3" s="5" t="s">
        <v>455</v>
      </c>
      <c r="AP3" s="5" t="s">
        <v>60</v>
      </c>
      <c r="AQ3" s="5">
        <v>1</v>
      </c>
      <c r="AR3" s="18">
        <v>1</v>
      </c>
      <c r="AS3" s="18">
        <v>2</v>
      </c>
      <c r="AT3" s="18">
        <v>1</v>
      </c>
      <c r="AU3" s="18">
        <v>1</v>
      </c>
      <c r="AV3" s="18">
        <v>1</v>
      </c>
      <c r="AW3" s="18">
        <v>1</v>
      </c>
      <c r="AX3" s="18">
        <v>1</v>
      </c>
      <c r="AY3" s="29">
        <v>2</v>
      </c>
      <c r="AZ3" s="18">
        <v>2</v>
      </c>
      <c r="BA3" s="18">
        <v>1</v>
      </c>
      <c r="BB3" s="18">
        <v>1</v>
      </c>
      <c r="BC3" s="18">
        <v>1</v>
      </c>
      <c r="BD3" s="18">
        <v>1</v>
      </c>
      <c r="BE3" s="18">
        <v>1</v>
      </c>
    </row>
    <row r="4" spans="1:58" ht="14.25" hidden="1" customHeight="1">
      <c r="A4" s="33" t="str">
        <f t="shared" si="2"/>
        <v>ਮਹਿੰਦਰ ਕੁਮਾਰ</v>
      </c>
      <c r="B4" s="33" t="str">
        <f t="shared" si="2"/>
        <v>ਸਿਮਰਨਜੀਤ ਕੌਰ</v>
      </c>
      <c r="C4" s="33">
        <f t="shared" si="2"/>
        <v>1</v>
      </c>
      <c r="D4" s="33">
        <f t="shared" si="2"/>
        <v>1</v>
      </c>
      <c r="E4" s="33">
        <f t="shared" si="2"/>
        <v>1</v>
      </c>
      <c r="F4" s="33">
        <f t="shared" si="2"/>
        <v>1</v>
      </c>
      <c r="G4" s="93"/>
      <c r="H4" s="66" t="str">
        <f>I12</f>
        <v>3 ਹੀਰਾ ਲਾਲ</v>
      </c>
      <c r="I4" s="18" t="s">
        <v>158</v>
      </c>
      <c r="J4" s="18" t="s">
        <v>793</v>
      </c>
      <c r="K4" s="18">
        <v>1</v>
      </c>
      <c r="L4" s="18">
        <v>1</v>
      </c>
      <c r="M4" s="18">
        <v>1</v>
      </c>
      <c r="N4" s="18">
        <v>1</v>
      </c>
      <c r="O4" s="18">
        <v>1</v>
      </c>
      <c r="P4" s="18" t="s">
        <v>177</v>
      </c>
      <c r="Q4" s="18" t="s">
        <v>107</v>
      </c>
      <c r="R4" s="18">
        <v>1</v>
      </c>
      <c r="S4" s="18">
        <v>1</v>
      </c>
      <c r="T4" s="18">
        <v>1</v>
      </c>
      <c r="U4" s="18">
        <v>1</v>
      </c>
      <c r="V4" s="18">
        <v>1</v>
      </c>
      <c r="W4" s="18">
        <v>3</v>
      </c>
      <c r="X4" s="18">
        <v>1</v>
      </c>
      <c r="Y4" s="18">
        <v>1</v>
      </c>
      <c r="Z4" s="18">
        <v>1</v>
      </c>
      <c r="AA4" s="18">
        <v>1</v>
      </c>
      <c r="AB4" s="18">
        <v>1</v>
      </c>
      <c r="AC4" s="18">
        <v>1</v>
      </c>
      <c r="AD4" s="29"/>
      <c r="AE4" s="33" t="str">
        <f t="shared" si="1"/>
        <v>ਦੇਸ ਰਾਜ</v>
      </c>
      <c r="AF4" s="33" t="str">
        <f t="shared" si="1"/>
        <v>ਸਰੋਜ ਰਾਣੀ</v>
      </c>
      <c r="AG4" s="33" t="str">
        <f t="shared" si="1"/>
        <v xml:space="preserve">ਸੋਨੂੰ ਰਾਮ </v>
      </c>
      <c r="AH4" s="33" t="str">
        <f t="shared" si="1"/>
        <v>ਬਲਵਿੰਦਰ ਕੁਮਾਰ</v>
      </c>
      <c r="AI4" s="33">
        <f t="shared" si="1"/>
        <v>1</v>
      </c>
      <c r="AJ4" s="33">
        <f t="shared" si="1"/>
        <v>1</v>
      </c>
      <c r="AL4" s="5" t="s">
        <v>201</v>
      </c>
      <c r="AM4" s="5" t="s">
        <v>107</v>
      </c>
      <c r="AN4" s="5" t="s">
        <v>795</v>
      </c>
      <c r="AO4" s="5" t="s">
        <v>796</v>
      </c>
      <c r="AP4" s="5">
        <v>1</v>
      </c>
      <c r="AQ4" s="5">
        <v>1</v>
      </c>
      <c r="AR4" s="18">
        <v>1</v>
      </c>
      <c r="AS4" s="18">
        <v>3</v>
      </c>
      <c r="AT4" s="18">
        <v>1</v>
      </c>
      <c r="AU4" s="18">
        <v>1</v>
      </c>
      <c r="AV4" s="18">
        <v>1</v>
      </c>
      <c r="AW4" s="18">
        <v>1</v>
      </c>
      <c r="AX4" s="18">
        <v>1</v>
      </c>
      <c r="AY4" s="29">
        <v>2</v>
      </c>
      <c r="AZ4" s="18">
        <v>3</v>
      </c>
      <c r="BA4" s="18">
        <v>1</v>
      </c>
      <c r="BB4" s="18">
        <v>1</v>
      </c>
      <c r="BC4" s="18">
        <v>1</v>
      </c>
      <c r="BD4" s="18">
        <v>1</v>
      </c>
      <c r="BE4" s="18">
        <v>1</v>
      </c>
    </row>
    <row r="5" spans="1:58" ht="14.25" hidden="1" customHeight="1">
      <c r="A5" s="33" t="str">
        <f t="shared" si="2"/>
        <v>ਰਾਜਪਾਲ</v>
      </c>
      <c r="B5" s="33" t="str">
        <f t="shared" si="2"/>
        <v>ਪਰਵੀਨਾ ਰਾਣੀ</v>
      </c>
      <c r="C5" s="33">
        <f t="shared" si="2"/>
        <v>1</v>
      </c>
      <c r="D5" s="33">
        <f t="shared" si="2"/>
        <v>1</v>
      </c>
      <c r="E5" s="33">
        <f t="shared" si="2"/>
        <v>1</v>
      </c>
      <c r="F5" s="33">
        <f t="shared" si="2"/>
        <v>1</v>
      </c>
      <c r="G5" s="93"/>
      <c r="H5" s="64" t="str">
        <f>I17</f>
        <v>4  ਕੋਟ ਚੰਦ ਢੋਟ</v>
      </c>
      <c r="I5" s="18" t="s">
        <v>759</v>
      </c>
      <c r="J5" s="18" t="s">
        <v>797</v>
      </c>
      <c r="K5" s="18">
        <v>1</v>
      </c>
      <c r="L5" s="18">
        <v>1</v>
      </c>
      <c r="M5" s="18">
        <v>1</v>
      </c>
      <c r="N5" s="18">
        <v>1</v>
      </c>
      <c r="O5" s="18">
        <v>1</v>
      </c>
      <c r="P5" s="18">
        <v>4</v>
      </c>
      <c r="Q5" s="18">
        <v>1</v>
      </c>
      <c r="R5" s="18">
        <v>1</v>
      </c>
      <c r="S5" s="18">
        <v>1</v>
      </c>
      <c r="T5" s="18">
        <v>1</v>
      </c>
      <c r="U5" s="18">
        <v>1</v>
      </c>
      <c r="V5" s="18">
        <v>1</v>
      </c>
      <c r="W5" s="18">
        <v>4</v>
      </c>
      <c r="X5" s="18">
        <v>1</v>
      </c>
      <c r="Y5" s="18">
        <v>1</v>
      </c>
      <c r="Z5" s="18">
        <v>1</v>
      </c>
      <c r="AA5" s="18">
        <v>1</v>
      </c>
      <c r="AB5" s="18">
        <v>1</v>
      </c>
      <c r="AC5" s="18">
        <v>1</v>
      </c>
      <c r="AD5" s="29"/>
      <c r="AE5" s="33" t="str">
        <f t="shared" si="1"/>
        <v>ਪਰਮਾ ਨੰਦ</v>
      </c>
      <c r="AF5" s="33" t="str">
        <f t="shared" si="1"/>
        <v>ਸਵਰਨਾ</v>
      </c>
      <c r="AG5" s="33" t="str">
        <f t="shared" si="1"/>
        <v>ਅੰਜੂ ਬਾਲਾ</v>
      </c>
      <c r="AH5" s="33" t="str">
        <f t="shared" si="1"/>
        <v>ਅਮਨਦੀਪ</v>
      </c>
      <c r="AI5" s="33">
        <f t="shared" si="1"/>
        <v>1</v>
      </c>
      <c r="AJ5" s="33">
        <f t="shared" si="1"/>
        <v>1</v>
      </c>
      <c r="AL5" s="5" t="s">
        <v>401</v>
      </c>
      <c r="AM5" s="5" t="s">
        <v>799</v>
      </c>
      <c r="AN5" s="5" t="s">
        <v>209</v>
      </c>
      <c r="AO5" s="5" t="s">
        <v>457</v>
      </c>
      <c r="AP5" s="5">
        <v>1</v>
      </c>
      <c r="AQ5" s="5">
        <v>1</v>
      </c>
      <c r="AR5" s="18">
        <v>1</v>
      </c>
      <c r="AS5" s="18">
        <v>4</v>
      </c>
      <c r="AT5" s="18">
        <v>1</v>
      </c>
      <c r="AU5" s="18">
        <v>1</v>
      </c>
      <c r="AV5" s="18">
        <v>1</v>
      </c>
      <c r="AW5" s="18">
        <v>1</v>
      </c>
      <c r="AX5" s="18">
        <v>1</v>
      </c>
      <c r="AY5" s="29">
        <v>2</v>
      </c>
      <c r="AZ5" s="18">
        <v>4</v>
      </c>
      <c r="BA5" s="18">
        <v>1</v>
      </c>
      <c r="BB5" s="18">
        <v>1</v>
      </c>
      <c r="BC5" s="18">
        <v>1</v>
      </c>
      <c r="BD5" s="18">
        <v>1</v>
      </c>
      <c r="BE5" s="18">
        <v>1</v>
      </c>
    </row>
    <row r="6" spans="1:58" ht="14.25" hidden="1" customHeight="1">
      <c r="A6" s="33">
        <f t="shared" si="2"/>
        <v>5</v>
      </c>
      <c r="B6" s="33">
        <f t="shared" si="2"/>
        <v>1</v>
      </c>
      <c r="C6" s="33">
        <f t="shared" si="2"/>
        <v>1</v>
      </c>
      <c r="D6" s="33">
        <f t="shared" si="2"/>
        <v>1</v>
      </c>
      <c r="E6" s="33">
        <f t="shared" si="2"/>
        <v>1</v>
      </c>
      <c r="F6" s="33">
        <f t="shared" si="2"/>
        <v>1</v>
      </c>
      <c r="G6" s="93"/>
      <c r="H6" s="64" t="str">
        <f>I22</f>
        <v xml:space="preserve">5 ਕਾਲੂ ਰਾਮ ਢੋਟ </v>
      </c>
      <c r="I6" s="18">
        <v>5</v>
      </c>
      <c r="J6" s="18">
        <v>1</v>
      </c>
      <c r="K6" s="18">
        <v>1</v>
      </c>
      <c r="L6" s="18">
        <v>1</v>
      </c>
      <c r="M6" s="18">
        <v>1</v>
      </c>
      <c r="N6" s="18">
        <v>1</v>
      </c>
      <c r="O6" s="18">
        <v>1</v>
      </c>
      <c r="P6" s="18">
        <v>5</v>
      </c>
      <c r="Q6" s="18">
        <v>1</v>
      </c>
      <c r="R6" s="18">
        <v>1</v>
      </c>
      <c r="S6" s="18">
        <v>1</v>
      </c>
      <c r="T6" s="18">
        <v>1</v>
      </c>
      <c r="U6" s="18">
        <v>1</v>
      </c>
      <c r="V6" s="18">
        <v>1</v>
      </c>
      <c r="W6" s="18">
        <v>5</v>
      </c>
      <c r="X6" s="18">
        <v>1</v>
      </c>
      <c r="Y6" s="18">
        <v>1</v>
      </c>
      <c r="Z6" s="18">
        <v>1</v>
      </c>
      <c r="AA6" s="18">
        <v>1</v>
      </c>
      <c r="AB6" s="18">
        <v>1</v>
      </c>
      <c r="AC6" s="18">
        <v>1</v>
      </c>
      <c r="AD6" s="29"/>
      <c r="AE6" s="33" t="str">
        <f t="shared" si="1"/>
        <v>ਧਰਮ ਚੰਦ</v>
      </c>
      <c r="AF6" s="33" t="str">
        <f t="shared" si="1"/>
        <v>ਸੋਮਾ ਰਾਣੀ</v>
      </c>
      <c r="AG6" s="33" t="str">
        <f t="shared" si="1"/>
        <v>ਰੇਨੂ ਬਾਲਾ</v>
      </c>
      <c r="AH6" s="33" t="str">
        <f t="shared" si="1"/>
        <v>ਸਾਜਨ ਕੁਮਾਰ</v>
      </c>
      <c r="AI6" s="33">
        <f t="shared" si="1"/>
        <v>1</v>
      </c>
      <c r="AJ6" s="33">
        <f t="shared" si="1"/>
        <v>1</v>
      </c>
      <c r="AL6" s="5" t="s">
        <v>229</v>
      </c>
      <c r="AM6" s="5" t="s">
        <v>388</v>
      </c>
      <c r="AN6" s="5" t="s">
        <v>488</v>
      </c>
      <c r="AO6" s="5" t="s">
        <v>633</v>
      </c>
      <c r="AP6" s="5">
        <v>1</v>
      </c>
      <c r="AQ6" s="5">
        <v>1</v>
      </c>
      <c r="AR6" s="18">
        <v>1</v>
      </c>
      <c r="AS6" s="18">
        <v>5</v>
      </c>
      <c r="AT6" s="18">
        <v>1</v>
      </c>
      <c r="AU6" s="18">
        <v>1</v>
      </c>
      <c r="AV6" s="18">
        <v>1</v>
      </c>
      <c r="AW6" s="18">
        <v>1</v>
      </c>
      <c r="AX6" s="18">
        <v>1</v>
      </c>
      <c r="AY6" s="29">
        <v>2</v>
      </c>
      <c r="AZ6" s="18">
        <v>5</v>
      </c>
      <c r="BA6" s="18">
        <v>1</v>
      </c>
      <c r="BB6" s="18">
        <v>1</v>
      </c>
      <c r="BC6" s="18">
        <v>1</v>
      </c>
      <c r="BD6" s="18">
        <v>1</v>
      </c>
      <c r="BE6" s="18">
        <v>1</v>
      </c>
    </row>
    <row r="7" spans="1:58" ht="14.25" hidden="1" customHeight="1">
      <c r="A7" s="35"/>
      <c r="B7" s="35"/>
      <c r="C7" s="35"/>
      <c r="D7" s="35"/>
      <c r="E7" s="35"/>
      <c r="F7" s="35"/>
      <c r="G7" s="94"/>
      <c r="H7" s="74" t="str">
        <f>I27</f>
        <v>6 Six</v>
      </c>
      <c r="I7" s="17" t="s">
        <v>789</v>
      </c>
      <c r="J7" s="18" t="s">
        <v>311</v>
      </c>
      <c r="K7" s="18" t="s">
        <v>802</v>
      </c>
      <c r="L7" s="18">
        <v>1</v>
      </c>
      <c r="M7" s="18">
        <v>1</v>
      </c>
      <c r="N7" s="18">
        <v>1</v>
      </c>
      <c r="O7" s="55" t="s">
        <v>1233</v>
      </c>
      <c r="P7" s="17" t="s">
        <v>803</v>
      </c>
      <c r="Q7" s="18" t="s">
        <v>129</v>
      </c>
      <c r="R7" s="18" t="s">
        <v>90</v>
      </c>
      <c r="S7" s="18" t="s">
        <v>382</v>
      </c>
      <c r="T7" s="120" t="s">
        <v>951</v>
      </c>
      <c r="U7" s="18">
        <v>1</v>
      </c>
      <c r="V7" s="55" t="s">
        <v>1241</v>
      </c>
      <c r="W7" s="17" t="s">
        <v>804</v>
      </c>
      <c r="X7" s="18">
        <v>1</v>
      </c>
      <c r="Y7" s="18">
        <v>1</v>
      </c>
      <c r="Z7" s="18">
        <v>1</v>
      </c>
      <c r="AA7" s="18">
        <v>1</v>
      </c>
      <c r="AB7" s="18">
        <v>1</v>
      </c>
      <c r="AC7" s="55" t="s">
        <v>1246</v>
      </c>
      <c r="AD7" s="29"/>
      <c r="AE7" s="35"/>
      <c r="AF7" s="35"/>
      <c r="AG7" s="35"/>
      <c r="AH7" s="35"/>
      <c r="AI7" s="35"/>
      <c r="AJ7" s="35"/>
      <c r="AL7" s="73" t="s">
        <v>805</v>
      </c>
      <c r="AM7" s="5" t="s">
        <v>167</v>
      </c>
      <c r="AN7" s="5">
        <v>1</v>
      </c>
      <c r="AO7" s="5">
        <v>1</v>
      </c>
      <c r="AP7" s="5">
        <v>1</v>
      </c>
      <c r="AQ7" s="5">
        <v>1</v>
      </c>
      <c r="AR7" s="80" t="s">
        <v>1255</v>
      </c>
      <c r="AS7" s="17" t="s">
        <v>680</v>
      </c>
      <c r="AT7" s="18">
        <v>1</v>
      </c>
      <c r="AU7" s="18">
        <v>1</v>
      </c>
      <c r="AV7" s="18">
        <v>1</v>
      </c>
      <c r="AW7" s="18">
        <v>1</v>
      </c>
      <c r="AX7" s="18">
        <v>1</v>
      </c>
      <c r="AY7" s="29">
        <v>2</v>
      </c>
      <c r="AZ7" s="17" t="s">
        <v>85</v>
      </c>
      <c r="BA7" s="18">
        <v>1</v>
      </c>
      <c r="BB7" s="18">
        <v>1</v>
      </c>
      <c r="BC7" s="18">
        <v>1</v>
      </c>
      <c r="BD7" s="18">
        <v>1</v>
      </c>
      <c r="BE7" s="18">
        <v>1</v>
      </c>
    </row>
    <row r="8" spans="1:58" ht="14.25" hidden="1" customHeight="1">
      <c r="A8" s="35"/>
      <c r="B8" s="35"/>
      <c r="C8" s="35"/>
      <c r="D8" s="35"/>
      <c r="E8" s="35"/>
      <c r="F8" s="35"/>
      <c r="G8" s="94"/>
      <c r="H8" s="74" t="str">
        <f>I32</f>
        <v>7 Seven</v>
      </c>
      <c r="I8" s="18" t="s">
        <v>457</v>
      </c>
      <c r="J8" s="18" t="s">
        <v>90</v>
      </c>
      <c r="K8" s="18">
        <v>1</v>
      </c>
      <c r="L8" s="18">
        <v>1</v>
      </c>
      <c r="M8" s="18">
        <v>1</v>
      </c>
      <c r="N8" s="18">
        <v>1</v>
      </c>
      <c r="O8" s="18">
        <v>1</v>
      </c>
      <c r="P8" s="120" t="s">
        <v>633</v>
      </c>
      <c r="Q8" s="18">
        <v>1</v>
      </c>
      <c r="R8" s="18">
        <v>1</v>
      </c>
      <c r="S8" s="18">
        <v>1</v>
      </c>
      <c r="T8" s="18">
        <v>1</v>
      </c>
      <c r="U8" s="18">
        <v>1</v>
      </c>
      <c r="V8" s="18">
        <v>1</v>
      </c>
      <c r="W8" s="18" t="s">
        <v>192</v>
      </c>
      <c r="X8" s="18" t="s">
        <v>806</v>
      </c>
      <c r="Y8" s="18">
        <v>1</v>
      </c>
      <c r="Z8" s="18">
        <v>1</v>
      </c>
      <c r="AA8" s="18">
        <v>1</v>
      </c>
      <c r="AB8" s="18">
        <v>1</v>
      </c>
      <c r="AC8" s="18">
        <v>1</v>
      </c>
      <c r="AD8" s="29"/>
      <c r="AE8" s="35"/>
      <c r="AF8" s="35"/>
      <c r="AG8" s="35"/>
      <c r="AH8" s="35"/>
      <c r="AI8" s="35"/>
      <c r="AJ8" s="35"/>
      <c r="AL8" s="5" t="s">
        <v>236</v>
      </c>
      <c r="AM8" s="5" t="s">
        <v>807</v>
      </c>
      <c r="AN8" s="5" t="s">
        <v>808</v>
      </c>
      <c r="AO8" s="5" t="s">
        <v>809</v>
      </c>
      <c r="AP8" s="5" t="s">
        <v>810</v>
      </c>
      <c r="AQ8" s="5">
        <v>1</v>
      </c>
      <c r="AR8" s="18">
        <v>1</v>
      </c>
      <c r="AS8" s="18">
        <v>7</v>
      </c>
      <c r="AT8" s="18">
        <v>1</v>
      </c>
      <c r="AU8" s="18">
        <v>1</v>
      </c>
      <c r="AV8" s="18">
        <v>1</v>
      </c>
      <c r="AW8" s="18">
        <v>1</v>
      </c>
      <c r="AX8" s="18">
        <v>1</v>
      </c>
      <c r="AY8" s="29">
        <v>2</v>
      </c>
      <c r="AZ8" s="18">
        <v>7</v>
      </c>
      <c r="BA8" s="18">
        <v>1</v>
      </c>
      <c r="BB8" s="18">
        <v>1</v>
      </c>
      <c r="BC8" s="18">
        <v>1</v>
      </c>
      <c r="BD8" s="18">
        <v>1</v>
      </c>
      <c r="BE8" s="18">
        <v>1</v>
      </c>
    </row>
    <row r="9" spans="1:58" ht="14.25" hidden="1" customHeight="1">
      <c r="A9" s="35"/>
      <c r="B9" s="35"/>
      <c r="C9" s="35"/>
      <c r="D9" s="35"/>
      <c r="E9" s="35"/>
      <c r="F9" s="35"/>
      <c r="G9" s="94"/>
      <c r="H9" s="75" t="str">
        <f>I37</f>
        <v>8 ਝਾਂਗੀ ਰਾਮ ਵੱਸੂ ਰਾਮ</v>
      </c>
      <c r="I9" s="18" t="s">
        <v>812</v>
      </c>
      <c r="J9" s="18">
        <v>1</v>
      </c>
      <c r="K9" s="18">
        <v>1</v>
      </c>
      <c r="L9" s="18">
        <v>1</v>
      </c>
      <c r="M9" s="18">
        <v>1</v>
      </c>
      <c r="N9" s="18">
        <v>1</v>
      </c>
      <c r="O9" s="18">
        <v>1</v>
      </c>
      <c r="P9" s="18">
        <v>8</v>
      </c>
      <c r="Q9" s="18">
        <v>1</v>
      </c>
      <c r="R9" s="18">
        <v>1</v>
      </c>
      <c r="S9" s="18">
        <v>1</v>
      </c>
      <c r="T9" s="18">
        <v>1</v>
      </c>
      <c r="U9" s="18">
        <v>1</v>
      </c>
      <c r="V9" s="18">
        <v>1</v>
      </c>
      <c r="W9" s="18" t="s">
        <v>222</v>
      </c>
      <c r="X9" s="18" t="s">
        <v>813</v>
      </c>
      <c r="Y9" s="18">
        <v>1</v>
      </c>
      <c r="Z9" s="18">
        <v>1</v>
      </c>
      <c r="AA9" s="18">
        <v>1</v>
      </c>
      <c r="AB9" s="18">
        <v>1</v>
      </c>
      <c r="AC9" s="18">
        <v>1</v>
      </c>
      <c r="AD9" s="29"/>
      <c r="AE9" s="35"/>
      <c r="AF9" s="35"/>
      <c r="AG9" s="35"/>
      <c r="AH9" s="35"/>
      <c r="AI9" s="35"/>
      <c r="AJ9" s="35"/>
      <c r="AL9" s="5" t="s">
        <v>814</v>
      </c>
      <c r="AM9" s="5" t="s">
        <v>815</v>
      </c>
      <c r="AN9" s="5">
        <v>1</v>
      </c>
      <c r="AO9" s="5">
        <v>1</v>
      </c>
      <c r="AP9" s="5">
        <v>1</v>
      </c>
      <c r="AQ9" s="5">
        <v>1</v>
      </c>
      <c r="AR9" s="18">
        <v>1</v>
      </c>
      <c r="AS9" s="18">
        <v>8</v>
      </c>
      <c r="AT9" s="18">
        <v>1</v>
      </c>
      <c r="AU9" s="18">
        <v>1</v>
      </c>
      <c r="AV9" s="18">
        <v>1</v>
      </c>
      <c r="AW9" s="18">
        <v>1</v>
      </c>
      <c r="AX9" s="18">
        <v>1</v>
      </c>
      <c r="AY9" s="29">
        <v>2</v>
      </c>
      <c r="AZ9" s="18">
        <v>8</v>
      </c>
      <c r="BA9" s="18">
        <v>1</v>
      </c>
      <c r="BB9" s="18">
        <v>1</v>
      </c>
      <c r="BC9" s="18">
        <v>1</v>
      </c>
      <c r="BD9" s="18">
        <v>1</v>
      </c>
      <c r="BE9" s="18">
        <v>1</v>
      </c>
    </row>
    <row r="10" spans="1:58" ht="14.25" customHeight="1">
      <c r="A10" s="35"/>
      <c r="B10" s="35"/>
      <c r="C10" s="35"/>
      <c r="D10" s="35"/>
      <c r="E10" s="35"/>
      <c r="F10" s="35"/>
      <c r="G10" s="94"/>
      <c r="H10" s="69" t="str">
        <f>I42</f>
        <v>9 ਬਾਗ ਚੰਦ ਬੂਲਾ ਰਾਮ</v>
      </c>
      <c r="I10" s="18" t="s">
        <v>112</v>
      </c>
      <c r="J10" s="18" t="s">
        <v>320</v>
      </c>
      <c r="K10" s="18">
        <v>1</v>
      </c>
      <c r="L10" s="18">
        <v>1</v>
      </c>
      <c r="M10" s="18">
        <v>1</v>
      </c>
      <c r="N10" s="18">
        <v>1</v>
      </c>
      <c r="O10" s="18">
        <v>1</v>
      </c>
      <c r="P10" s="18">
        <v>9</v>
      </c>
      <c r="Q10" s="18">
        <v>1</v>
      </c>
      <c r="R10" s="18">
        <v>1</v>
      </c>
      <c r="S10" s="18">
        <v>1</v>
      </c>
      <c r="T10" s="18">
        <v>1</v>
      </c>
      <c r="U10" s="18">
        <v>1</v>
      </c>
      <c r="V10" s="18">
        <v>1</v>
      </c>
      <c r="W10" s="18" t="s">
        <v>817</v>
      </c>
      <c r="X10" s="18" t="s">
        <v>280</v>
      </c>
      <c r="Y10" s="18">
        <v>1</v>
      </c>
      <c r="Z10" s="18">
        <v>1</v>
      </c>
      <c r="AA10" s="18">
        <v>1</v>
      </c>
      <c r="AB10" s="18">
        <v>1</v>
      </c>
      <c r="AC10" s="18">
        <v>1</v>
      </c>
      <c r="AD10" s="29"/>
      <c r="AE10" s="35"/>
      <c r="AF10" s="35"/>
      <c r="AG10" s="35"/>
      <c r="AH10" s="35"/>
      <c r="AI10" s="35"/>
      <c r="AJ10" s="35"/>
      <c r="AL10" s="5" t="s">
        <v>264</v>
      </c>
      <c r="AM10" s="5">
        <v>1</v>
      </c>
      <c r="AN10" s="5">
        <v>1</v>
      </c>
      <c r="AO10" s="5">
        <v>1</v>
      </c>
      <c r="AP10" s="5">
        <v>1</v>
      </c>
      <c r="AQ10" s="5">
        <v>1</v>
      </c>
      <c r="AR10" s="18">
        <v>1</v>
      </c>
      <c r="AS10" s="18">
        <v>9</v>
      </c>
      <c r="AT10" s="18">
        <v>1</v>
      </c>
      <c r="AU10" s="18">
        <v>1</v>
      </c>
      <c r="AV10" s="18">
        <v>1</v>
      </c>
      <c r="AW10" s="18">
        <v>1</v>
      </c>
      <c r="AX10" s="18">
        <v>1</v>
      </c>
      <c r="AY10" s="29">
        <v>2</v>
      </c>
      <c r="AZ10" s="18">
        <v>9</v>
      </c>
      <c r="BA10" s="18">
        <v>1</v>
      </c>
      <c r="BB10" s="18">
        <v>1</v>
      </c>
      <c r="BC10" s="18">
        <v>1</v>
      </c>
      <c r="BD10" s="18">
        <v>1</v>
      </c>
      <c r="BE10" s="18">
        <v>1</v>
      </c>
    </row>
    <row r="11" spans="1:58" ht="14.25" customHeight="1">
      <c r="A11" s="38" t="s">
        <v>13</v>
      </c>
      <c r="B11" s="38" t="s">
        <v>14</v>
      </c>
      <c r="C11" s="38" t="s">
        <v>15</v>
      </c>
      <c r="D11" s="38" t="s">
        <v>16</v>
      </c>
      <c r="E11" s="38" t="s">
        <v>17</v>
      </c>
      <c r="F11" s="38" t="s">
        <v>18</v>
      </c>
      <c r="G11" s="96"/>
      <c r="H11" s="69" t="str">
        <f>I47</f>
        <v>10 ਚਾਂਦੀ ਰਾਮ ਵੱਸੂ ਰਾਮ</v>
      </c>
      <c r="I11" s="18" t="s">
        <v>194</v>
      </c>
      <c r="J11" s="18" t="s">
        <v>197</v>
      </c>
      <c r="K11" s="18">
        <v>1</v>
      </c>
      <c r="L11" s="18">
        <v>1</v>
      </c>
      <c r="M11" s="18">
        <v>1</v>
      </c>
      <c r="N11" s="18">
        <v>1</v>
      </c>
      <c r="O11" s="18">
        <v>1</v>
      </c>
      <c r="P11" s="18">
        <v>10</v>
      </c>
      <c r="Q11" s="18">
        <v>1</v>
      </c>
      <c r="R11" s="18">
        <v>1</v>
      </c>
      <c r="S11" s="18">
        <v>1</v>
      </c>
      <c r="T11" s="18">
        <v>1</v>
      </c>
      <c r="U11" s="18">
        <v>1</v>
      </c>
      <c r="V11" s="18">
        <v>1</v>
      </c>
      <c r="W11" s="18" t="s">
        <v>380</v>
      </c>
      <c r="X11" s="18" t="s">
        <v>75</v>
      </c>
      <c r="Y11" s="18" t="s">
        <v>93</v>
      </c>
      <c r="Z11" s="18">
        <v>1</v>
      </c>
      <c r="AA11" s="18">
        <v>1</v>
      </c>
      <c r="AB11" s="18">
        <v>1</v>
      </c>
      <c r="AC11" s="18">
        <v>1</v>
      </c>
      <c r="AD11" s="29"/>
      <c r="AE11" s="38" t="s">
        <v>13</v>
      </c>
      <c r="AF11" s="38" t="s">
        <v>14</v>
      </c>
      <c r="AG11" s="38" t="s">
        <v>15</v>
      </c>
      <c r="AH11" s="38" t="s">
        <v>16</v>
      </c>
      <c r="AI11" s="38" t="s">
        <v>17</v>
      </c>
      <c r="AJ11" s="38" t="s">
        <v>18</v>
      </c>
      <c r="AL11" s="5">
        <v>10</v>
      </c>
      <c r="AM11" s="5">
        <v>1</v>
      </c>
      <c r="AN11" s="5">
        <v>1</v>
      </c>
      <c r="AO11" s="5">
        <v>1</v>
      </c>
      <c r="AP11" s="5">
        <v>1</v>
      </c>
      <c r="AQ11" s="5">
        <v>1</v>
      </c>
      <c r="AR11" s="18">
        <v>1</v>
      </c>
      <c r="AS11" s="18">
        <v>10</v>
      </c>
      <c r="AT11" s="18">
        <v>1</v>
      </c>
      <c r="AU11" s="18">
        <v>1</v>
      </c>
      <c r="AV11" s="18">
        <v>1</v>
      </c>
      <c r="AW11" s="18">
        <v>1</v>
      </c>
      <c r="AX11" s="18">
        <v>1</v>
      </c>
      <c r="AY11" s="29">
        <v>2</v>
      </c>
      <c r="AZ11" s="18">
        <v>10</v>
      </c>
      <c r="BA11" s="18">
        <v>1</v>
      </c>
      <c r="BB11" s="18">
        <v>1</v>
      </c>
      <c r="BC11" s="18">
        <v>1</v>
      </c>
      <c r="BD11" s="18">
        <v>1</v>
      </c>
      <c r="BE11" s="18">
        <v>1</v>
      </c>
    </row>
    <row r="12" spans="1:58" ht="14.25" customHeight="1">
      <c r="A12" s="39" t="str">
        <f t="shared" ref="A12:F16" si="3">IF(A2&lt;100,"",A2)</f>
        <v>1 ਕੇਵਲ ਕ੍ਰਿਸ਼ਨ ਰਾਮ ਰੱਖਾ</v>
      </c>
      <c r="B12" s="39" t="str">
        <f t="shared" si="3"/>
        <v>ਜੀਵਾਂ ਬਾਈ</v>
      </c>
      <c r="C12" s="39" t="str">
        <f t="shared" si="3"/>
        <v/>
      </c>
      <c r="D12" s="39" t="str">
        <f t="shared" si="3"/>
        <v>ਭਰਾਵਾਂ ਬਾਈ (ਮਾਂ)</v>
      </c>
      <c r="E12" s="39" t="str">
        <f t="shared" si="3"/>
        <v/>
      </c>
      <c r="F12" s="39" t="str">
        <f t="shared" si="3"/>
        <v/>
      </c>
      <c r="G12" s="96"/>
      <c r="H12" s="69" t="str">
        <f>P2</f>
        <v xml:space="preserve">11 ਮੁਨਸੀ ਰਾਮ </v>
      </c>
      <c r="I12" s="17" t="s">
        <v>794</v>
      </c>
      <c r="J12" s="18" t="s">
        <v>819</v>
      </c>
      <c r="K12" s="18" t="s">
        <v>776</v>
      </c>
      <c r="L12" s="18">
        <v>1</v>
      </c>
      <c r="M12" s="18">
        <v>1</v>
      </c>
      <c r="N12" s="18">
        <v>1</v>
      </c>
      <c r="O12" s="55" t="s">
        <v>1234</v>
      </c>
      <c r="P12" s="17" t="s">
        <v>820</v>
      </c>
      <c r="Q12" s="34" t="s">
        <v>821</v>
      </c>
      <c r="R12" s="18" t="s">
        <v>442</v>
      </c>
      <c r="S12" s="18">
        <v>1</v>
      </c>
      <c r="T12" s="18">
        <v>1</v>
      </c>
      <c r="U12" s="18">
        <v>1</v>
      </c>
      <c r="V12" s="55" t="s">
        <v>1424</v>
      </c>
      <c r="W12" s="17" t="s">
        <v>822</v>
      </c>
      <c r="X12" s="18">
        <v>1</v>
      </c>
      <c r="Y12" s="18">
        <v>1</v>
      </c>
      <c r="Z12" s="18">
        <v>1</v>
      </c>
      <c r="AA12" s="18">
        <v>1</v>
      </c>
      <c r="AB12" s="18">
        <v>1</v>
      </c>
      <c r="AC12" s="55" t="s">
        <v>1247</v>
      </c>
      <c r="AD12" s="29"/>
      <c r="AE12" s="39" t="str">
        <f t="shared" ref="AE12:AJ16" si="4">IF(AE2&lt;100,"",AE2)</f>
        <v>31 ਮੋਤੀ ਰਾਮ</v>
      </c>
      <c r="AF12" s="39" t="str">
        <f t="shared" si="4"/>
        <v/>
      </c>
      <c r="AG12" s="39" t="str">
        <f t="shared" si="4"/>
        <v/>
      </c>
      <c r="AH12" s="39" t="str">
        <f t="shared" si="4"/>
        <v/>
      </c>
      <c r="AI12" s="39" t="str">
        <f t="shared" si="4"/>
        <v/>
      </c>
      <c r="AJ12" s="39" t="str">
        <f t="shared" si="4"/>
        <v/>
      </c>
      <c r="AL12" s="73" t="s">
        <v>823</v>
      </c>
      <c r="AM12" s="5">
        <v>1</v>
      </c>
      <c r="AN12" s="5">
        <v>1</v>
      </c>
      <c r="AO12" s="5">
        <v>1</v>
      </c>
      <c r="AP12" s="5">
        <v>1</v>
      </c>
      <c r="AQ12" s="5">
        <v>1</v>
      </c>
      <c r="AR12" s="80" t="s">
        <v>1256</v>
      </c>
      <c r="AS12" s="17" t="s">
        <v>698</v>
      </c>
      <c r="AT12" s="18">
        <v>1</v>
      </c>
      <c r="AU12" s="18">
        <v>1</v>
      </c>
      <c r="AV12" s="18">
        <v>1</v>
      </c>
      <c r="AW12" s="18">
        <v>1</v>
      </c>
      <c r="AX12" s="18">
        <v>1</v>
      </c>
      <c r="AY12" s="29">
        <v>2</v>
      </c>
      <c r="AZ12" s="17" t="s">
        <v>123</v>
      </c>
      <c r="BA12" s="18">
        <v>1</v>
      </c>
      <c r="BB12" s="18">
        <v>1</v>
      </c>
      <c r="BC12" s="18">
        <v>1</v>
      </c>
      <c r="BD12" s="18">
        <v>1</v>
      </c>
      <c r="BE12" s="18">
        <v>1</v>
      </c>
    </row>
    <row r="13" spans="1:58" ht="14.25" customHeight="1">
      <c r="A13" s="39" t="str">
        <f t="shared" si="3"/>
        <v>ਪਰਮਾ ਨੰਦ (ਸਵ:)</v>
      </c>
      <c r="B13" s="39" t="str">
        <f t="shared" si="3"/>
        <v>ਸੋਮਾ ਰਾਣੀ</v>
      </c>
      <c r="C13" s="39" t="str">
        <f t="shared" si="3"/>
        <v xml:space="preserve">ਹੇਮ ਰਾਜ </v>
      </c>
      <c r="D13" s="39" t="str">
        <f t="shared" si="3"/>
        <v>ਤੇਜਿੰਦਰ ਪਾਲ</v>
      </c>
      <c r="E13" s="39" t="str">
        <f t="shared" si="3"/>
        <v/>
      </c>
      <c r="F13" s="39" t="str">
        <f t="shared" si="3"/>
        <v/>
      </c>
      <c r="G13" s="96"/>
      <c r="H13" s="69" t="str">
        <f>P7</f>
        <v>12 ਕੇਵਲ ਕ੍ਰਿਸ਼ਨ ਪੈੜਾ ਰਾਮ</v>
      </c>
      <c r="I13" s="18" t="s">
        <v>44</v>
      </c>
      <c r="J13" s="18">
        <v>1</v>
      </c>
      <c r="K13" s="18">
        <v>1</v>
      </c>
      <c r="L13" s="18">
        <v>1</v>
      </c>
      <c r="M13" s="18">
        <v>1</v>
      </c>
      <c r="N13" s="18">
        <v>1</v>
      </c>
      <c r="O13" s="18">
        <v>1</v>
      </c>
      <c r="P13" s="18" t="s">
        <v>100</v>
      </c>
      <c r="Q13" s="18" t="s">
        <v>536</v>
      </c>
      <c r="R13" s="18">
        <v>1</v>
      </c>
      <c r="S13" s="18">
        <v>1</v>
      </c>
      <c r="T13" s="18">
        <v>1</v>
      </c>
      <c r="U13" s="18">
        <v>1</v>
      </c>
      <c r="V13" s="18">
        <v>1</v>
      </c>
      <c r="W13" s="18" t="s">
        <v>824</v>
      </c>
      <c r="X13" s="18" t="s">
        <v>79</v>
      </c>
      <c r="Y13" s="18" t="s">
        <v>419</v>
      </c>
      <c r="Z13" s="18" t="s">
        <v>212</v>
      </c>
      <c r="AA13" s="18" t="s">
        <v>825</v>
      </c>
      <c r="AB13" s="18" t="s">
        <v>826</v>
      </c>
      <c r="AC13" s="18">
        <v>1</v>
      </c>
      <c r="AD13" s="29"/>
      <c r="AE13" s="39" t="str">
        <f t="shared" si="4"/>
        <v>ਜੰਮੂ ਰਾਮ</v>
      </c>
      <c r="AF13" s="39" t="str">
        <f t="shared" si="4"/>
        <v>ਕ੍ਰਿਸ਼ਨਾ ਰਾਣੀ</v>
      </c>
      <c r="AG13" s="39" t="str">
        <f t="shared" si="4"/>
        <v>ਊਸ਼ਾ ਰਾਣੀ</v>
      </c>
      <c r="AH13" s="39" t="str">
        <f t="shared" si="4"/>
        <v>ਸ਼ੀਲਾ ਰਾਣੀ</v>
      </c>
      <c r="AI13" s="39" t="str">
        <f t="shared" si="4"/>
        <v>ਸੁਰਿੰਦਰ ਕੁਮਾਰ</v>
      </c>
      <c r="AJ13" s="39" t="str">
        <f t="shared" si="4"/>
        <v/>
      </c>
      <c r="AL13" s="5" t="s">
        <v>450</v>
      </c>
      <c r="AM13" s="5" t="s">
        <v>94</v>
      </c>
      <c r="AN13" s="5" t="s">
        <v>827</v>
      </c>
      <c r="AO13" s="5">
        <v>1</v>
      </c>
      <c r="AP13" s="5">
        <v>1</v>
      </c>
      <c r="AQ13" s="5">
        <v>1</v>
      </c>
      <c r="AR13" s="18">
        <v>1</v>
      </c>
      <c r="AS13" s="18">
        <v>12</v>
      </c>
      <c r="AT13" s="18">
        <v>1</v>
      </c>
      <c r="AU13" s="18">
        <v>1</v>
      </c>
      <c r="AV13" s="18">
        <v>1</v>
      </c>
      <c r="AW13" s="18">
        <v>1</v>
      </c>
      <c r="AX13" s="18">
        <v>1</v>
      </c>
      <c r="AY13" s="29">
        <v>2</v>
      </c>
      <c r="AZ13" s="18">
        <v>12</v>
      </c>
      <c r="BA13" s="18">
        <v>1</v>
      </c>
      <c r="BB13" s="18">
        <v>1</v>
      </c>
      <c r="BC13" s="18">
        <v>1</v>
      </c>
      <c r="BD13" s="18">
        <v>1</v>
      </c>
      <c r="BE13" s="18">
        <v>1</v>
      </c>
    </row>
    <row r="14" spans="1:58" ht="14.25" customHeight="1">
      <c r="A14" s="39" t="str">
        <f t="shared" si="3"/>
        <v>ਮਹਿੰਦਰ ਕੁਮਾਰ</v>
      </c>
      <c r="B14" s="39" t="str">
        <f t="shared" si="3"/>
        <v>ਸਿਮਰਨਜੀਤ ਕੌਰ</v>
      </c>
      <c r="C14" s="39" t="str">
        <f t="shared" si="3"/>
        <v/>
      </c>
      <c r="D14" s="39" t="str">
        <f t="shared" si="3"/>
        <v/>
      </c>
      <c r="E14" s="39" t="str">
        <f t="shared" si="3"/>
        <v/>
      </c>
      <c r="F14" s="39" t="str">
        <f t="shared" si="3"/>
        <v/>
      </c>
      <c r="G14" s="96"/>
      <c r="H14" s="64" t="str">
        <f>P12</f>
        <v>13 ਬਾਗ ਚੰਦ ਪੁੱਤਰ ਲਾਲ ਚੰਦ</v>
      </c>
      <c r="I14" s="18" t="s">
        <v>191</v>
      </c>
      <c r="J14" s="18">
        <v>1</v>
      </c>
      <c r="K14" s="18">
        <v>1</v>
      </c>
      <c r="L14" s="18">
        <v>1</v>
      </c>
      <c r="M14" s="18">
        <v>1</v>
      </c>
      <c r="N14" s="18">
        <v>1</v>
      </c>
      <c r="O14" s="18">
        <v>1</v>
      </c>
      <c r="P14" s="120" t="s">
        <v>335</v>
      </c>
      <c r="Q14" s="120" t="s">
        <v>902</v>
      </c>
      <c r="R14" s="18">
        <v>1</v>
      </c>
      <c r="S14" s="18">
        <v>1</v>
      </c>
      <c r="T14" s="18">
        <v>1</v>
      </c>
      <c r="U14" s="18">
        <v>1</v>
      </c>
      <c r="V14" s="18">
        <v>1</v>
      </c>
      <c r="W14" s="18" t="s">
        <v>264</v>
      </c>
      <c r="X14" s="18" t="s">
        <v>670</v>
      </c>
      <c r="Y14" s="18" t="s">
        <v>290</v>
      </c>
      <c r="Z14" s="18" t="s">
        <v>828</v>
      </c>
      <c r="AA14" s="18">
        <v>1</v>
      </c>
      <c r="AB14" s="18">
        <v>1</v>
      </c>
      <c r="AC14" s="18">
        <v>1</v>
      </c>
      <c r="AD14" s="29"/>
      <c r="AE14" s="39" t="str">
        <f t="shared" si="4"/>
        <v>ਦੇਸ ਰਾਜ</v>
      </c>
      <c r="AF14" s="39" t="str">
        <f t="shared" si="4"/>
        <v>ਸਰੋਜ ਰਾਣੀ</v>
      </c>
      <c r="AG14" s="39" t="str">
        <f t="shared" si="4"/>
        <v xml:space="preserve">ਸੋਨੂੰ ਰਾਮ </v>
      </c>
      <c r="AH14" s="39" t="str">
        <f t="shared" si="4"/>
        <v>ਬਲਵਿੰਦਰ ਕੁਮਾਰ</v>
      </c>
      <c r="AI14" s="39" t="str">
        <f t="shared" si="4"/>
        <v/>
      </c>
      <c r="AJ14" s="39" t="str">
        <f t="shared" si="4"/>
        <v/>
      </c>
      <c r="AL14" s="5" t="s">
        <v>829</v>
      </c>
      <c r="AM14" s="5">
        <v>1</v>
      </c>
      <c r="AN14" s="5" t="s">
        <v>55</v>
      </c>
      <c r="AO14" s="5" t="s">
        <v>830</v>
      </c>
      <c r="AP14" s="5" t="s">
        <v>175</v>
      </c>
      <c r="AQ14" s="5" t="s">
        <v>174</v>
      </c>
      <c r="AR14" s="18">
        <v>1</v>
      </c>
      <c r="AS14" s="18">
        <v>13</v>
      </c>
      <c r="AT14" s="18">
        <v>1</v>
      </c>
      <c r="AU14" s="18">
        <v>1</v>
      </c>
      <c r="AV14" s="18">
        <v>1</v>
      </c>
      <c r="AW14" s="18">
        <v>1</v>
      </c>
      <c r="AX14" s="18">
        <v>1</v>
      </c>
      <c r="AY14" s="29">
        <v>2</v>
      </c>
      <c r="AZ14" s="18">
        <v>13</v>
      </c>
      <c r="BA14" s="18">
        <v>1</v>
      </c>
      <c r="BB14" s="18">
        <v>1</v>
      </c>
      <c r="BC14" s="18">
        <v>1</v>
      </c>
      <c r="BD14" s="18">
        <v>1</v>
      </c>
      <c r="BE14" s="18">
        <v>1</v>
      </c>
      <c r="BF14" s="204">
        <v>2</v>
      </c>
    </row>
    <row r="15" spans="1:58" ht="14.25" customHeight="1">
      <c r="A15" s="39" t="str">
        <f t="shared" si="3"/>
        <v>ਰਾਜਪਾਲ</v>
      </c>
      <c r="B15" s="39" t="str">
        <f t="shared" si="3"/>
        <v>ਪਰਵੀਨਾ ਰਾਣੀ</v>
      </c>
      <c r="C15" s="39" t="str">
        <f t="shared" si="3"/>
        <v/>
      </c>
      <c r="D15" s="39" t="str">
        <f t="shared" si="3"/>
        <v/>
      </c>
      <c r="E15" s="39" t="str">
        <f t="shared" si="3"/>
        <v/>
      </c>
      <c r="F15" s="39" t="str">
        <f t="shared" si="3"/>
        <v/>
      </c>
      <c r="G15" s="96"/>
      <c r="H15" s="64" t="str">
        <f>P17</f>
        <v>14 ਜੈ ਚੰਦ ਅਤੇ ਗਿਆਨ ਚੰਦ</v>
      </c>
      <c r="I15" s="18">
        <v>14</v>
      </c>
      <c r="J15" s="18">
        <v>1</v>
      </c>
      <c r="K15" s="18">
        <v>1</v>
      </c>
      <c r="L15" s="18">
        <v>1</v>
      </c>
      <c r="M15" s="18">
        <v>1</v>
      </c>
      <c r="N15" s="18">
        <v>1</v>
      </c>
      <c r="O15" s="18">
        <v>1</v>
      </c>
      <c r="P15" s="18">
        <v>14</v>
      </c>
      <c r="Q15" s="18">
        <v>1</v>
      </c>
      <c r="R15" s="18">
        <v>1</v>
      </c>
      <c r="S15" s="18">
        <v>1</v>
      </c>
      <c r="T15" s="18">
        <v>1</v>
      </c>
      <c r="U15" s="18">
        <v>1</v>
      </c>
      <c r="V15" s="18">
        <v>1</v>
      </c>
      <c r="W15" s="18" t="s">
        <v>112</v>
      </c>
      <c r="X15" s="18" t="s">
        <v>175</v>
      </c>
      <c r="Y15" s="18" t="s">
        <v>832</v>
      </c>
      <c r="Z15" s="18">
        <v>1</v>
      </c>
      <c r="AA15" s="18">
        <v>1</v>
      </c>
      <c r="AB15" s="18">
        <v>1</v>
      </c>
      <c r="AC15" s="18">
        <v>1</v>
      </c>
      <c r="AD15" s="29"/>
      <c r="AE15" s="39" t="str">
        <f t="shared" si="4"/>
        <v>ਪਰਮਾ ਨੰਦ</v>
      </c>
      <c r="AF15" s="39" t="str">
        <f t="shared" si="4"/>
        <v>ਸਵਰਨਾ</v>
      </c>
      <c r="AG15" s="39" t="str">
        <f t="shared" si="4"/>
        <v>ਅੰਜੂ ਬਾਲਾ</v>
      </c>
      <c r="AH15" s="39" t="str">
        <f t="shared" si="4"/>
        <v>ਅਮਨਦੀਪ</v>
      </c>
      <c r="AI15" s="39" t="str">
        <f t="shared" si="4"/>
        <v/>
      </c>
      <c r="AJ15" s="39" t="str">
        <f t="shared" si="4"/>
        <v/>
      </c>
      <c r="AL15" s="5">
        <v>14</v>
      </c>
      <c r="AM15" s="5">
        <v>1</v>
      </c>
      <c r="AN15" s="5">
        <v>1</v>
      </c>
      <c r="AO15" s="5">
        <v>1</v>
      </c>
      <c r="AP15" s="5">
        <v>1</v>
      </c>
      <c r="AQ15" s="5">
        <v>1</v>
      </c>
      <c r="AR15" s="18">
        <v>1</v>
      </c>
      <c r="AS15" s="18">
        <v>14</v>
      </c>
      <c r="AT15" s="18">
        <v>1</v>
      </c>
      <c r="AU15" s="18">
        <v>1</v>
      </c>
      <c r="AV15" s="18">
        <v>1</v>
      </c>
      <c r="AW15" s="18">
        <v>1</v>
      </c>
      <c r="AX15" s="18">
        <v>1</v>
      </c>
      <c r="AY15" s="29">
        <v>2</v>
      </c>
      <c r="AZ15" s="18">
        <v>14</v>
      </c>
      <c r="BA15" s="18">
        <v>1</v>
      </c>
      <c r="BB15" s="18">
        <v>1</v>
      </c>
      <c r="BC15" s="18">
        <v>1</v>
      </c>
      <c r="BD15" s="18">
        <v>1</v>
      </c>
      <c r="BE15" s="18">
        <v>1</v>
      </c>
      <c r="BF15" s="204">
        <v>2</v>
      </c>
    </row>
    <row r="16" spans="1:58" ht="14.25" customHeight="1">
      <c r="A16" s="39" t="str">
        <f t="shared" si="3"/>
        <v/>
      </c>
      <c r="B16" s="39" t="str">
        <f t="shared" si="3"/>
        <v/>
      </c>
      <c r="C16" s="39" t="str">
        <f t="shared" si="3"/>
        <v/>
      </c>
      <c r="D16" s="39" t="str">
        <f t="shared" si="3"/>
        <v/>
      </c>
      <c r="E16" s="39" t="str">
        <f t="shared" si="3"/>
        <v/>
      </c>
      <c r="F16" s="39" t="str">
        <f t="shared" si="3"/>
        <v/>
      </c>
      <c r="G16" s="96"/>
      <c r="H16" s="64" t="str">
        <f>P22</f>
        <v>15 ਜਗਦੀਸ਼ ਕੁਮਾਰ ਅਤੇ ਰਮੇਸ ਕੁਮਾਰ</v>
      </c>
      <c r="I16" s="18">
        <v>15</v>
      </c>
      <c r="J16" s="18">
        <v>1</v>
      </c>
      <c r="K16" s="18">
        <v>1</v>
      </c>
      <c r="L16" s="18">
        <v>1</v>
      </c>
      <c r="M16" s="18">
        <v>1</v>
      </c>
      <c r="N16" s="18">
        <v>1</v>
      </c>
      <c r="O16" s="18">
        <v>1</v>
      </c>
      <c r="P16" s="18">
        <v>15</v>
      </c>
      <c r="Q16" s="18">
        <v>1</v>
      </c>
      <c r="R16" s="18">
        <v>1</v>
      </c>
      <c r="S16" s="18">
        <v>1</v>
      </c>
      <c r="T16" s="18">
        <v>1</v>
      </c>
      <c r="U16" s="18">
        <v>1</v>
      </c>
      <c r="V16" s="18">
        <v>1</v>
      </c>
      <c r="W16" s="18" t="s">
        <v>161</v>
      </c>
      <c r="X16" s="18" t="s">
        <v>360</v>
      </c>
      <c r="Y16" s="18">
        <v>1</v>
      </c>
      <c r="Z16" s="18">
        <v>1</v>
      </c>
      <c r="AA16" s="18">
        <v>1</v>
      </c>
      <c r="AB16" s="18">
        <v>1</v>
      </c>
      <c r="AC16" s="18">
        <v>1</v>
      </c>
      <c r="AD16" s="29"/>
      <c r="AE16" s="39" t="str">
        <f t="shared" si="4"/>
        <v>ਧਰਮ ਚੰਦ</v>
      </c>
      <c r="AF16" s="39" t="str">
        <f t="shared" si="4"/>
        <v>ਸੋਮਾ ਰਾਣੀ</v>
      </c>
      <c r="AG16" s="39" t="str">
        <f t="shared" si="4"/>
        <v>ਰੇਨੂ ਬਾਲਾ</v>
      </c>
      <c r="AH16" s="39" t="str">
        <f t="shared" si="4"/>
        <v>ਸਾਜਨ ਕੁਮਾਰ</v>
      </c>
      <c r="AI16" s="39" t="str">
        <f t="shared" si="4"/>
        <v/>
      </c>
      <c r="AJ16" s="39" t="str">
        <f t="shared" si="4"/>
        <v/>
      </c>
      <c r="AL16" s="5">
        <v>15</v>
      </c>
      <c r="AM16" s="5">
        <v>1</v>
      </c>
      <c r="AN16" s="5">
        <v>1</v>
      </c>
      <c r="AO16" s="5">
        <v>1</v>
      </c>
      <c r="AP16" s="5">
        <v>1</v>
      </c>
      <c r="AQ16" s="5">
        <v>1</v>
      </c>
      <c r="AR16" s="18">
        <v>1</v>
      </c>
      <c r="AS16" s="18">
        <v>15</v>
      </c>
      <c r="AT16" s="18">
        <v>1</v>
      </c>
      <c r="AU16" s="18">
        <v>1</v>
      </c>
      <c r="AV16" s="18">
        <v>1</v>
      </c>
      <c r="AW16" s="18">
        <v>1</v>
      </c>
      <c r="AX16" s="18">
        <v>1</v>
      </c>
      <c r="AY16" s="29">
        <v>2</v>
      </c>
      <c r="AZ16" s="18">
        <v>15</v>
      </c>
      <c r="BA16" s="18">
        <v>1</v>
      </c>
      <c r="BB16" s="18">
        <v>1</v>
      </c>
      <c r="BC16" s="18">
        <v>1</v>
      </c>
      <c r="BD16" s="18">
        <v>1</v>
      </c>
      <c r="BE16" s="18">
        <v>1</v>
      </c>
      <c r="BF16" s="204">
        <v>2</v>
      </c>
    </row>
    <row r="17" spans="1:58" ht="14.25" customHeight="1">
      <c r="A17" s="35"/>
      <c r="B17" s="35"/>
      <c r="C17" s="35"/>
      <c r="D17" s="35"/>
      <c r="E17" s="35"/>
      <c r="F17" s="35"/>
      <c r="G17" s="94"/>
      <c r="H17" s="219" t="str">
        <f>P27</f>
        <v>16 ਸੰਕਰ ਦਾਸ ਚੰਬਾ ਰਾਮ</v>
      </c>
      <c r="I17" s="17" t="s">
        <v>798</v>
      </c>
      <c r="J17" s="18" t="s">
        <v>82</v>
      </c>
      <c r="K17" s="18">
        <v>1</v>
      </c>
      <c r="L17" s="18">
        <v>1</v>
      </c>
      <c r="M17" s="18">
        <v>1</v>
      </c>
      <c r="N17" s="18" t="s">
        <v>82</v>
      </c>
      <c r="O17" s="55" t="s">
        <v>1235</v>
      </c>
      <c r="P17" s="17" t="s">
        <v>831</v>
      </c>
      <c r="Q17" s="18">
        <v>1</v>
      </c>
      <c r="R17" s="18">
        <v>1</v>
      </c>
      <c r="S17" s="18">
        <v>1</v>
      </c>
      <c r="T17" s="18">
        <v>1</v>
      </c>
      <c r="U17" s="18">
        <v>1</v>
      </c>
      <c r="V17" s="114" t="s">
        <v>1423</v>
      </c>
      <c r="W17" s="17" t="s">
        <v>833</v>
      </c>
      <c r="X17" s="18" t="s">
        <v>572</v>
      </c>
      <c r="Y17" s="18">
        <v>1</v>
      </c>
      <c r="Z17" s="18" t="s">
        <v>834</v>
      </c>
      <c r="AA17" s="18">
        <v>1</v>
      </c>
      <c r="AB17" s="18">
        <v>1</v>
      </c>
      <c r="AC17" s="55" t="s">
        <v>1248</v>
      </c>
      <c r="AD17" s="29"/>
      <c r="AE17" s="35"/>
      <c r="AF17" s="35"/>
      <c r="AG17" s="35"/>
      <c r="AH17" s="35"/>
      <c r="AI17" s="35"/>
      <c r="AJ17" s="35"/>
      <c r="AL17" s="73" t="s">
        <v>835</v>
      </c>
      <c r="AM17" s="5">
        <v>1</v>
      </c>
      <c r="AN17" s="5">
        <v>1</v>
      </c>
      <c r="AO17" s="5">
        <v>1</v>
      </c>
      <c r="AP17" s="5">
        <v>1</v>
      </c>
      <c r="AQ17" s="5">
        <v>1</v>
      </c>
      <c r="AR17" s="18">
        <v>1</v>
      </c>
      <c r="AS17" s="17" t="s">
        <v>707</v>
      </c>
      <c r="AT17" s="18">
        <v>1</v>
      </c>
      <c r="AU17" s="18">
        <v>1</v>
      </c>
      <c r="AV17" s="18">
        <v>1</v>
      </c>
      <c r="AW17" s="18">
        <v>1</v>
      </c>
      <c r="AX17" s="18">
        <v>1</v>
      </c>
      <c r="AY17" s="29">
        <v>2</v>
      </c>
      <c r="AZ17" s="17" t="s">
        <v>151</v>
      </c>
      <c r="BA17" s="18">
        <v>1</v>
      </c>
      <c r="BB17" s="18">
        <v>1</v>
      </c>
      <c r="BC17" s="18">
        <v>1</v>
      </c>
      <c r="BD17" s="18">
        <v>1</v>
      </c>
      <c r="BE17" s="18">
        <v>1</v>
      </c>
      <c r="BF17" s="204">
        <v>2</v>
      </c>
    </row>
    <row r="18" spans="1:58" ht="14.25" customHeight="1">
      <c r="A18" s="35"/>
      <c r="B18" s="35"/>
      <c r="C18" s="35"/>
      <c r="D18" s="35"/>
      <c r="E18" s="35"/>
      <c r="F18" s="35"/>
      <c r="G18" s="94"/>
      <c r="H18" s="69" t="str">
        <f>P32</f>
        <v xml:space="preserve">17 ਆਸਾ ਰਾਮ </v>
      </c>
      <c r="I18" s="18" t="s">
        <v>836</v>
      </c>
      <c r="J18" s="18" t="s">
        <v>610</v>
      </c>
      <c r="K18" s="18" t="s">
        <v>837</v>
      </c>
      <c r="L18" s="18">
        <v>1</v>
      </c>
      <c r="M18" s="18">
        <v>1</v>
      </c>
      <c r="N18" s="18">
        <v>1</v>
      </c>
      <c r="O18" s="18">
        <v>1</v>
      </c>
      <c r="P18" s="18" t="s">
        <v>838</v>
      </c>
      <c r="Q18" s="18" t="s">
        <v>111</v>
      </c>
      <c r="R18" s="18">
        <v>1</v>
      </c>
      <c r="S18" s="18">
        <v>1</v>
      </c>
      <c r="T18" s="18">
        <v>1</v>
      </c>
      <c r="U18" s="18">
        <v>1</v>
      </c>
      <c r="V18" s="18">
        <v>1</v>
      </c>
      <c r="W18" s="18" t="s">
        <v>457</v>
      </c>
      <c r="X18" s="18">
        <v>1</v>
      </c>
      <c r="Y18" s="18">
        <v>1</v>
      </c>
      <c r="Z18" s="18">
        <v>1</v>
      </c>
      <c r="AA18" s="18">
        <v>1</v>
      </c>
      <c r="AB18" s="18">
        <v>1</v>
      </c>
      <c r="AC18" s="18">
        <v>1</v>
      </c>
      <c r="AD18" s="29"/>
      <c r="AE18" s="35"/>
      <c r="AF18" s="35"/>
      <c r="AG18" s="35"/>
      <c r="AH18" s="35"/>
      <c r="AI18" s="35"/>
      <c r="AJ18" s="35"/>
      <c r="AL18" s="5">
        <v>17</v>
      </c>
      <c r="AM18" s="5">
        <v>1</v>
      </c>
      <c r="AN18" s="5">
        <v>1</v>
      </c>
      <c r="AO18" s="5">
        <v>1</v>
      </c>
      <c r="AP18" s="5"/>
      <c r="AQ18" s="5">
        <v>1</v>
      </c>
      <c r="AR18" s="18">
        <v>1</v>
      </c>
      <c r="AS18" s="18">
        <v>17</v>
      </c>
      <c r="AT18" s="18">
        <v>1</v>
      </c>
      <c r="AU18" s="18">
        <v>1</v>
      </c>
      <c r="AV18" s="18">
        <v>1</v>
      </c>
      <c r="AW18" s="18">
        <v>1</v>
      </c>
      <c r="AX18" s="18">
        <v>1</v>
      </c>
      <c r="AY18" s="29">
        <v>2</v>
      </c>
      <c r="AZ18" s="18">
        <v>17</v>
      </c>
      <c r="BA18" s="18">
        <v>1</v>
      </c>
      <c r="BB18" s="18">
        <v>1</v>
      </c>
      <c r="BC18" s="18">
        <v>1</v>
      </c>
      <c r="BD18" s="18">
        <v>1</v>
      </c>
      <c r="BE18" s="18">
        <v>1</v>
      </c>
      <c r="BF18" s="204">
        <v>2</v>
      </c>
    </row>
    <row r="19" spans="1:58" ht="14.25" customHeight="1">
      <c r="A19" s="35"/>
      <c r="B19" s="35"/>
      <c r="C19" s="35"/>
      <c r="D19" s="35"/>
      <c r="E19" s="35"/>
      <c r="F19" s="35"/>
      <c r="G19" s="35"/>
      <c r="H19" s="235" t="str">
        <f>P37</f>
        <v>17 ਦੇਸ ਰਾਜ ਚੰਬਾ ਰਾਮ</v>
      </c>
      <c r="I19" s="18" t="s">
        <v>60</v>
      </c>
      <c r="J19" s="18" t="s">
        <v>1319</v>
      </c>
      <c r="K19" s="18">
        <v>1</v>
      </c>
      <c r="L19" s="18">
        <v>1</v>
      </c>
      <c r="M19" s="18">
        <v>1</v>
      </c>
      <c r="N19" s="18">
        <v>1</v>
      </c>
      <c r="O19" s="18">
        <v>1</v>
      </c>
      <c r="P19" s="18">
        <v>18</v>
      </c>
      <c r="Q19" s="18" t="s">
        <v>840</v>
      </c>
      <c r="R19" s="18" t="s">
        <v>212</v>
      </c>
      <c r="S19" s="18">
        <v>1</v>
      </c>
      <c r="T19" s="18">
        <v>1</v>
      </c>
      <c r="U19" s="18">
        <v>1</v>
      </c>
      <c r="V19" s="18">
        <v>1</v>
      </c>
      <c r="W19" s="18" t="s">
        <v>222</v>
      </c>
      <c r="X19" s="18">
        <v>1</v>
      </c>
      <c r="Y19" s="18">
        <v>1</v>
      </c>
      <c r="Z19" s="18">
        <v>1</v>
      </c>
      <c r="AA19" s="18">
        <v>1</v>
      </c>
      <c r="AB19" s="18">
        <v>1</v>
      </c>
      <c r="AC19" s="18">
        <v>1</v>
      </c>
      <c r="AD19" s="29"/>
      <c r="AE19" s="29"/>
      <c r="AF19" s="29"/>
      <c r="AG19" s="29"/>
      <c r="AH19" s="29"/>
      <c r="AI19" s="29"/>
      <c r="AJ19" s="29"/>
      <c r="AL19" s="5">
        <v>18</v>
      </c>
      <c r="AM19" s="5">
        <v>1</v>
      </c>
      <c r="AN19" s="5">
        <v>1</v>
      </c>
      <c r="AO19" s="5">
        <v>1</v>
      </c>
      <c r="AP19" s="5">
        <v>1</v>
      </c>
      <c r="AQ19" s="5">
        <v>1</v>
      </c>
      <c r="AR19" s="18">
        <v>1</v>
      </c>
      <c r="AS19" s="18">
        <v>18</v>
      </c>
      <c r="AT19" s="18">
        <v>1</v>
      </c>
      <c r="AU19" s="18">
        <v>1</v>
      </c>
      <c r="AV19" s="18">
        <v>1</v>
      </c>
      <c r="AW19" s="18">
        <v>1</v>
      </c>
      <c r="AX19" s="18">
        <v>1</v>
      </c>
      <c r="AY19" s="29">
        <v>2</v>
      </c>
      <c r="AZ19" s="18">
        <v>18</v>
      </c>
      <c r="BA19" s="18">
        <v>1</v>
      </c>
      <c r="BB19" s="18">
        <v>1</v>
      </c>
      <c r="BC19" s="18">
        <v>1</v>
      </c>
      <c r="BD19" s="18">
        <v>1</v>
      </c>
      <c r="BE19" s="18">
        <v>1</v>
      </c>
      <c r="BF19" s="204">
        <v>2</v>
      </c>
    </row>
    <row r="20" spans="1:58" ht="14.25" customHeight="1">
      <c r="A20" s="29"/>
      <c r="B20" s="29"/>
      <c r="C20" s="29"/>
      <c r="D20" s="29"/>
      <c r="E20" s="29"/>
      <c r="F20" s="29"/>
      <c r="G20" s="29"/>
      <c r="H20" s="69" t="str">
        <f>P42</f>
        <v>18 ਬਾਗ ਚੰਦ ਰਾਜੂ ਰਾਮ</v>
      </c>
      <c r="I20" s="18" t="s">
        <v>1318</v>
      </c>
      <c r="J20" s="18" t="s">
        <v>184</v>
      </c>
      <c r="K20" s="18">
        <v>1</v>
      </c>
      <c r="L20" s="18">
        <v>1</v>
      </c>
      <c r="M20" s="18">
        <v>1</v>
      </c>
      <c r="N20" s="18">
        <v>1</v>
      </c>
      <c r="O20" s="18">
        <v>1</v>
      </c>
      <c r="P20" s="18" t="s">
        <v>523</v>
      </c>
      <c r="Q20" s="18" t="s">
        <v>94</v>
      </c>
      <c r="R20" s="18">
        <v>1</v>
      </c>
      <c r="S20" s="18">
        <v>1</v>
      </c>
      <c r="T20" s="18">
        <v>1</v>
      </c>
      <c r="U20" s="18">
        <v>1</v>
      </c>
      <c r="V20" s="18">
        <v>1</v>
      </c>
      <c r="W20" s="18" t="s">
        <v>281</v>
      </c>
      <c r="X20" s="18">
        <v>1</v>
      </c>
      <c r="Y20" s="18">
        <v>1</v>
      </c>
      <c r="Z20" s="18">
        <v>1</v>
      </c>
      <c r="AA20" s="18">
        <v>1</v>
      </c>
      <c r="AB20" s="18">
        <v>1</v>
      </c>
      <c r="AC20" s="18">
        <v>1</v>
      </c>
      <c r="AD20" s="29"/>
      <c r="AE20" s="29"/>
      <c r="AF20" s="29"/>
      <c r="AG20" s="29"/>
      <c r="AH20" s="29"/>
      <c r="AI20" s="29"/>
      <c r="AJ20" s="29"/>
      <c r="AL20" s="5">
        <v>19</v>
      </c>
      <c r="AM20" s="5">
        <v>1</v>
      </c>
      <c r="AN20" s="5">
        <v>1</v>
      </c>
      <c r="AO20" s="5">
        <v>1</v>
      </c>
      <c r="AP20" s="5">
        <v>1</v>
      </c>
      <c r="AQ20" s="5">
        <v>1</v>
      </c>
      <c r="AR20" s="18">
        <v>1</v>
      </c>
      <c r="AS20" s="18">
        <v>19</v>
      </c>
      <c r="AT20" s="18">
        <v>1</v>
      </c>
      <c r="AU20" s="18">
        <v>1</v>
      </c>
      <c r="AV20" s="18">
        <v>1</v>
      </c>
      <c r="AW20" s="18">
        <v>1</v>
      </c>
      <c r="AX20" s="18">
        <v>1</v>
      </c>
      <c r="AY20" s="29">
        <v>2</v>
      </c>
      <c r="AZ20" s="18">
        <v>19</v>
      </c>
      <c r="BA20" s="18">
        <v>1</v>
      </c>
      <c r="BB20" s="18">
        <v>1</v>
      </c>
      <c r="BC20" s="18">
        <v>1</v>
      </c>
      <c r="BD20" s="18">
        <v>1</v>
      </c>
      <c r="BE20" s="18">
        <v>1</v>
      </c>
      <c r="BF20" s="204">
        <v>2</v>
      </c>
    </row>
    <row r="21" spans="1:58" ht="14.25" customHeight="1">
      <c r="A21" s="29"/>
      <c r="B21" s="29"/>
      <c r="C21" s="29"/>
      <c r="D21" s="29"/>
      <c r="E21" s="29"/>
      <c r="F21" s="29"/>
      <c r="G21" s="29"/>
      <c r="H21" s="69" t="str">
        <f>P47</f>
        <v>19 ਹੀਰਾ ਰਾਮ ਜਾਂਜੀ ਰਾਮ</v>
      </c>
      <c r="I21" s="18" t="s">
        <v>843</v>
      </c>
      <c r="J21" s="18" t="s">
        <v>555</v>
      </c>
      <c r="K21" s="18" t="s">
        <v>1321</v>
      </c>
      <c r="L21" s="18">
        <v>1</v>
      </c>
      <c r="M21" s="18">
        <v>1</v>
      </c>
      <c r="N21" s="18">
        <v>1</v>
      </c>
      <c r="O21" s="18">
        <v>1</v>
      </c>
      <c r="P21" s="18">
        <v>20</v>
      </c>
      <c r="Q21" s="18">
        <v>1</v>
      </c>
      <c r="R21" s="18">
        <v>1</v>
      </c>
      <c r="S21" s="18">
        <v>1</v>
      </c>
      <c r="T21" s="18">
        <v>1</v>
      </c>
      <c r="U21" s="18">
        <v>1</v>
      </c>
      <c r="V21" s="18">
        <v>1</v>
      </c>
      <c r="W21" s="18" t="s">
        <v>338</v>
      </c>
      <c r="X21" s="18" t="s">
        <v>159</v>
      </c>
      <c r="Y21" s="18">
        <v>1</v>
      </c>
      <c r="Z21" s="18">
        <v>1</v>
      </c>
      <c r="AA21" s="18">
        <v>1</v>
      </c>
      <c r="AB21" s="18">
        <v>1</v>
      </c>
      <c r="AC21" s="18">
        <v>1</v>
      </c>
      <c r="AD21" s="29"/>
      <c r="AE21" s="29"/>
      <c r="AF21" s="29"/>
      <c r="AG21" s="29"/>
      <c r="AH21" s="29"/>
      <c r="AI21" s="29"/>
      <c r="AJ21" s="29"/>
      <c r="AL21" s="5">
        <v>20</v>
      </c>
      <c r="AM21" s="5">
        <v>1</v>
      </c>
      <c r="AN21" s="5">
        <v>1</v>
      </c>
      <c r="AO21" s="5">
        <v>1</v>
      </c>
      <c r="AP21" s="5">
        <v>1</v>
      </c>
      <c r="AQ21" s="5">
        <v>1</v>
      </c>
      <c r="AR21" s="18">
        <v>1</v>
      </c>
      <c r="AS21" s="18">
        <v>20</v>
      </c>
      <c r="AT21" s="18">
        <v>1</v>
      </c>
      <c r="AU21" s="18">
        <v>1</v>
      </c>
      <c r="AV21" s="18">
        <v>1</v>
      </c>
      <c r="AW21" s="18">
        <v>1</v>
      </c>
      <c r="AX21" s="18">
        <v>1</v>
      </c>
      <c r="AY21" s="29">
        <v>2</v>
      </c>
      <c r="AZ21" s="18">
        <v>20</v>
      </c>
      <c r="BA21" s="18">
        <v>1</v>
      </c>
      <c r="BB21" s="18">
        <v>1</v>
      </c>
      <c r="BC21" s="18">
        <v>1</v>
      </c>
      <c r="BD21" s="18">
        <v>1</v>
      </c>
      <c r="BE21" s="18">
        <v>1</v>
      </c>
      <c r="BF21" s="204">
        <v>2</v>
      </c>
    </row>
    <row r="22" spans="1:58" ht="14.25" customHeight="1">
      <c r="A22" s="29"/>
      <c r="B22" s="29"/>
      <c r="C22" s="29"/>
      <c r="D22" s="29"/>
      <c r="E22" s="29"/>
      <c r="F22" s="29"/>
      <c r="G22" s="29"/>
      <c r="H22" s="69" t="str">
        <f>W2</f>
        <v>21 ਬਾਗ ਚੰਦ ਚੰਬਾ ਰਾਮ</v>
      </c>
      <c r="I22" s="17" t="s">
        <v>800</v>
      </c>
      <c r="J22" s="18" t="s">
        <v>844</v>
      </c>
      <c r="K22" s="18" t="s">
        <v>655</v>
      </c>
      <c r="L22" s="18" t="s">
        <v>845</v>
      </c>
      <c r="M22" s="18">
        <v>1</v>
      </c>
      <c r="N22" s="18">
        <v>1</v>
      </c>
      <c r="O22" s="55" t="s">
        <v>1236</v>
      </c>
      <c r="P22" s="17" t="s">
        <v>1407</v>
      </c>
      <c r="Q22" s="18">
        <v>1</v>
      </c>
      <c r="R22" s="18">
        <v>1</v>
      </c>
      <c r="S22" s="18">
        <v>1</v>
      </c>
      <c r="T22" s="18">
        <v>1</v>
      </c>
      <c r="U22" s="18">
        <v>1</v>
      </c>
      <c r="V22" s="114" t="s">
        <v>1425</v>
      </c>
      <c r="W22" s="17" t="s">
        <v>846</v>
      </c>
      <c r="X22" s="18" t="s">
        <v>670</v>
      </c>
      <c r="Y22" s="18" t="s">
        <v>847</v>
      </c>
      <c r="Z22" s="18" t="s">
        <v>431</v>
      </c>
      <c r="AA22" s="18">
        <v>1</v>
      </c>
      <c r="AB22" s="18">
        <v>1</v>
      </c>
      <c r="AC22" s="55" t="s">
        <v>1249</v>
      </c>
      <c r="AD22" s="29"/>
      <c r="AE22" s="29"/>
      <c r="AF22" s="29"/>
      <c r="AG22" s="29"/>
      <c r="AH22" s="29"/>
      <c r="AI22" s="29"/>
      <c r="AJ22" s="29"/>
      <c r="AL22" s="73" t="s">
        <v>848</v>
      </c>
      <c r="AM22" s="5">
        <v>1</v>
      </c>
      <c r="AN22" s="5">
        <v>1</v>
      </c>
      <c r="AO22" s="5">
        <v>1</v>
      </c>
      <c r="AP22" s="5">
        <v>1</v>
      </c>
      <c r="AQ22" s="5">
        <v>1</v>
      </c>
      <c r="AR22" s="18">
        <v>1</v>
      </c>
      <c r="AS22" s="17" t="s">
        <v>722</v>
      </c>
      <c r="AT22" s="18">
        <v>1</v>
      </c>
      <c r="AU22" s="18">
        <v>1</v>
      </c>
      <c r="AV22" s="18">
        <v>1</v>
      </c>
      <c r="AW22" s="18">
        <v>1</v>
      </c>
      <c r="AX22" s="18">
        <v>1</v>
      </c>
      <c r="AY22" s="29">
        <v>2</v>
      </c>
      <c r="AZ22" s="17" t="s">
        <v>171</v>
      </c>
      <c r="BA22" s="18">
        <v>1</v>
      </c>
      <c r="BB22" s="18">
        <v>1</v>
      </c>
      <c r="BC22" s="18">
        <v>1</v>
      </c>
      <c r="BD22" s="18">
        <v>1</v>
      </c>
      <c r="BE22" s="18">
        <v>1</v>
      </c>
      <c r="BF22" s="204">
        <v>2</v>
      </c>
    </row>
    <row r="23" spans="1:58" ht="14.25" customHeight="1">
      <c r="A23" s="29"/>
      <c r="B23" s="29"/>
      <c r="C23" s="29"/>
      <c r="D23" s="29"/>
      <c r="E23" s="29"/>
      <c r="F23" s="29"/>
      <c r="G23" s="29"/>
      <c r="H23" s="75" t="str">
        <f>W7</f>
        <v>22 ਕਰਮ ਚੰਦ ਲਖਪਤੀ</v>
      </c>
      <c r="I23" s="18" t="s">
        <v>849</v>
      </c>
      <c r="J23" s="18" t="s">
        <v>167</v>
      </c>
      <c r="K23" s="18" t="s">
        <v>850</v>
      </c>
      <c r="L23" s="18">
        <v>1</v>
      </c>
      <c r="M23" s="18">
        <v>1</v>
      </c>
      <c r="N23" s="18">
        <v>1</v>
      </c>
      <c r="O23" s="18">
        <v>1</v>
      </c>
      <c r="P23" s="18" t="s">
        <v>188</v>
      </c>
      <c r="Q23" s="18" t="s">
        <v>851</v>
      </c>
      <c r="R23" s="18">
        <v>1</v>
      </c>
      <c r="S23" s="18">
        <v>1</v>
      </c>
      <c r="T23" s="18">
        <v>1</v>
      </c>
      <c r="U23" s="18">
        <v>1</v>
      </c>
      <c r="V23" s="18">
        <v>1</v>
      </c>
      <c r="W23" s="18" t="s">
        <v>604</v>
      </c>
      <c r="X23" s="18" t="s">
        <v>852</v>
      </c>
      <c r="Y23" s="18">
        <v>1</v>
      </c>
      <c r="Z23" s="18">
        <v>1</v>
      </c>
      <c r="AA23" s="18">
        <v>1</v>
      </c>
      <c r="AB23" s="18">
        <v>1</v>
      </c>
      <c r="AC23" s="18">
        <v>1</v>
      </c>
      <c r="AD23" s="29"/>
      <c r="AE23" s="29"/>
      <c r="AF23" s="29"/>
      <c r="AG23" s="29"/>
      <c r="AH23" s="29"/>
      <c r="AI23" s="29"/>
      <c r="AJ23" s="29"/>
      <c r="AL23" s="5" t="s">
        <v>853</v>
      </c>
      <c r="AM23" s="5">
        <v>1</v>
      </c>
      <c r="AN23" s="5">
        <v>1</v>
      </c>
      <c r="AO23" s="5">
        <v>1</v>
      </c>
      <c r="AP23" s="5">
        <v>1</v>
      </c>
      <c r="AQ23" s="5">
        <v>1</v>
      </c>
      <c r="AR23" s="18">
        <v>1</v>
      </c>
      <c r="AS23" s="18">
        <v>22</v>
      </c>
      <c r="AT23" s="18">
        <v>1</v>
      </c>
      <c r="AU23" s="18">
        <v>1</v>
      </c>
      <c r="AV23" s="18">
        <v>1</v>
      </c>
      <c r="AW23" s="18">
        <v>1</v>
      </c>
      <c r="AX23" s="18">
        <v>1</v>
      </c>
      <c r="AY23" s="29">
        <v>2</v>
      </c>
      <c r="AZ23" s="18">
        <v>22</v>
      </c>
      <c r="BA23" s="18">
        <v>1</v>
      </c>
      <c r="BB23" s="18">
        <v>1</v>
      </c>
      <c r="BC23" s="18">
        <v>1</v>
      </c>
      <c r="BD23" s="18">
        <v>1</v>
      </c>
      <c r="BE23" s="18">
        <v>1</v>
      </c>
      <c r="BF23" s="204">
        <v>2</v>
      </c>
    </row>
    <row r="24" spans="1:58" ht="14.25" customHeight="1">
      <c r="A24" s="29"/>
      <c r="B24" s="29"/>
      <c r="C24" s="29"/>
      <c r="D24" s="29"/>
      <c r="E24" s="29"/>
      <c r="F24" s="29"/>
      <c r="G24" s="29"/>
      <c r="H24" s="69" t="str">
        <f>W12</f>
        <v>23 ਵਸਾਵਾ ਰਾਮ ਲਖਪਤੀ</v>
      </c>
      <c r="I24" s="18" t="s">
        <v>854</v>
      </c>
      <c r="J24" s="18">
        <v>1</v>
      </c>
      <c r="K24" s="18">
        <v>1</v>
      </c>
      <c r="L24" s="18">
        <v>1</v>
      </c>
      <c r="M24" s="18">
        <v>1</v>
      </c>
      <c r="N24" s="18">
        <v>1</v>
      </c>
      <c r="O24" s="18">
        <v>1</v>
      </c>
      <c r="P24" s="18">
        <v>23</v>
      </c>
      <c r="Q24" s="18">
        <v>1</v>
      </c>
      <c r="R24" s="18">
        <v>1</v>
      </c>
      <c r="S24" s="18">
        <v>1</v>
      </c>
      <c r="T24" s="18">
        <v>1</v>
      </c>
      <c r="U24" s="18">
        <v>1</v>
      </c>
      <c r="V24" s="18">
        <v>1</v>
      </c>
      <c r="W24" s="18">
        <v>23</v>
      </c>
      <c r="X24" s="18">
        <v>1</v>
      </c>
      <c r="Y24" s="18">
        <v>1</v>
      </c>
      <c r="Z24" s="18">
        <v>1</v>
      </c>
      <c r="AA24" s="18">
        <v>1</v>
      </c>
      <c r="AB24" s="18">
        <v>1</v>
      </c>
      <c r="AC24" s="18">
        <v>1</v>
      </c>
      <c r="AD24" s="29"/>
      <c r="AE24" s="29"/>
      <c r="AF24" s="29"/>
      <c r="AG24" s="29"/>
      <c r="AH24" s="29"/>
      <c r="AI24" s="29"/>
      <c r="AJ24" s="29"/>
      <c r="AL24" s="5">
        <v>23</v>
      </c>
      <c r="AM24" s="5">
        <v>1</v>
      </c>
      <c r="AN24" s="5">
        <v>1</v>
      </c>
      <c r="AO24" s="5">
        <v>1</v>
      </c>
      <c r="AP24" s="5">
        <v>1</v>
      </c>
      <c r="AQ24" s="5">
        <v>1</v>
      </c>
      <c r="AR24" s="18">
        <v>1</v>
      </c>
      <c r="AS24" s="18">
        <v>23</v>
      </c>
      <c r="AT24" s="18">
        <v>1</v>
      </c>
      <c r="AU24" s="18">
        <v>1</v>
      </c>
      <c r="AV24" s="18">
        <v>1</v>
      </c>
      <c r="AW24" s="18">
        <v>1</v>
      </c>
      <c r="AX24" s="18">
        <v>1</v>
      </c>
      <c r="AY24" s="29">
        <v>2</v>
      </c>
      <c r="AZ24" s="18">
        <v>23</v>
      </c>
      <c r="BA24" s="18">
        <v>1</v>
      </c>
      <c r="BB24" s="18">
        <v>1</v>
      </c>
      <c r="BC24" s="18">
        <v>1</v>
      </c>
      <c r="BD24" s="18">
        <v>1</v>
      </c>
      <c r="BE24" s="18">
        <v>1</v>
      </c>
      <c r="BF24" s="204">
        <v>2</v>
      </c>
    </row>
    <row r="25" spans="1:58" ht="14.25" customHeight="1">
      <c r="A25" s="29"/>
      <c r="B25" s="29"/>
      <c r="C25" s="29"/>
      <c r="D25" s="29"/>
      <c r="E25" s="29"/>
      <c r="F25" s="29"/>
      <c r="G25" s="29"/>
      <c r="H25" s="69" t="str">
        <f>W17</f>
        <v>24 ਹਰਭਗਵਾਨ ਜੈ ਚੰਦ</v>
      </c>
      <c r="I25" s="18" t="s">
        <v>855</v>
      </c>
      <c r="J25" s="18" t="s">
        <v>160</v>
      </c>
      <c r="K25" s="18" t="s">
        <v>175</v>
      </c>
      <c r="L25" s="18" t="s">
        <v>1320</v>
      </c>
      <c r="M25" s="18">
        <v>1</v>
      </c>
      <c r="N25" s="18">
        <v>1</v>
      </c>
      <c r="O25" s="18">
        <v>1</v>
      </c>
      <c r="P25" s="18" t="s">
        <v>192</v>
      </c>
      <c r="Q25" s="18" t="s">
        <v>48</v>
      </c>
      <c r="R25" s="18">
        <v>1</v>
      </c>
      <c r="S25" s="18">
        <v>1</v>
      </c>
      <c r="T25" s="18">
        <v>1</v>
      </c>
      <c r="U25" s="18">
        <v>1</v>
      </c>
      <c r="V25" s="18">
        <v>1</v>
      </c>
      <c r="W25" s="18">
        <v>24</v>
      </c>
      <c r="X25" s="18">
        <v>1</v>
      </c>
      <c r="Y25" s="18">
        <v>1</v>
      </c>
      <c r="Z25" s="18">
        <v>1</v>
      </c>
      <c r="AA25" s="18">
        <v>1</v>
      </c>
      <c r="AB25" s="18">
        <v>1</v>
      </c>
      <c r="AC25" s="18">
        <v>1</v>
      </c>
      <c r="AD25" s="29"/>
      <c r="AE25" s="29"/>
      <c r="AF25" s="29"/>
      <c r="AG25" s="29"/>
      <c r="AH25" s="29"/>
      <c r="AI25" s="29"/>
      <c r="AJ25" s="29"/>
      <c r="AL25" s="5">
        <v>24</v>
      </c>
      <c r="AM25" s="5">
        <v>1</v>
      </c>
      <c r="AN25" s="5">
        <v>1</v>
      </c>
      <c r="AO25" s="5">
        <v>1</v>
      </c>
      <c r="AP25" s="5">
        <v>1</v>
      </c>
      <c r="AQ25" s="5">
        <v>1</v>
      </c>
      <c r="AR25" s="18">
        <v>1</v>
      </c>
      <c r="AS25" s="18">
        <v>24</v>
      </c>
      <c r="AT25" s="18">
        <v>1</v>
      </c>
      <c r="AU25" s="18">
        <v>1</v>
      </c>
      <c r="AV25" s="18">
        <v>1</v>
      </c>
      <c r="AW25" s="18">
        <v>1</v>
      </c>
      <c r="AX25" s="18">
        <v>1</v>
      </c>
      <c r="AY25" s="29">
        <v>2</v>
      </c>
      <c r="AZ25" s="18">
        <v>24</v>
      </c>
      <c r="BA25" s="18">
        <v>1</v>
      </c>
      <c r="BB25" s="18">
        <v>1</v>
      </c>
      <c r="BC25" s="18">
        <v>1</v>
      </c>
      <c r="BD25" s="18">
        <v>1</v>
      </c>
      <c r="BE25" s="18">
        <v>1</v>
      </c>
      <c r="BF25" s="204">
        <v>2</v>
      </c>
    </row>
    <row r="26" spans="1:58" ht="14.25" customHeight="1">
      <c r="A26" s="29"/>
      <c r="B26" s="29"/>
      <c r="C26" s="29"/>
      <c r="D26" s="29"/>
      <c r="E26" s="29"/>
      <c r="F26" s="29"/>
      <c r="G26" s="29"/>
      <c r="H26" s="69" t="str">
        <f>W22</f>
        <v>25 ਪੂਰਨ ਪ੍ਰਕਾਸ਼ ਚਾਂਦੀ ਰਾਮ</v>
      </c>
      <c r="I26" s="18" t="s">
        <v>1323</v>
      </c>
      <c r="J26" s="18" t="s">
        <v>1324</v>
      </c>
      <c r="K26" s="18">
        <v>1</v>
      </c>
      <c r="L26" s="18">
        <v>1</v>
      </c>
      <c r="M26" s="18">
        <v>1</v>
      </c>
      <c r="N26" s="18">
        <v>1</v>
      </c>
      <c r="O26" s="18">
        <v>1</v>
      </c>
      <c r="P26" s="18">
        <v>25</v>
      </c>
      <c r="Q26" s="18">
        <v>1</v>
      </c>
      <c r="R26" s="18">
        <v>1</v>
      </c>
      <c r="S26" s="18">
        <v>1</v>
      </c>
      <c r="T26" s="18">
        <v>1</v>
      </c>
      <c r="U26" s="18">
        <v>1</v>
      </c>
      <c r="V26" s="18">
        <v>1</v>
      </c>
      <c r="W26" s="18">
        <v>25</v>
      </c>
      <c r="X26" s="18">
        <v>1</v>
      </c>
      <c r="Y26" s="18">
        <v>1</v>
      </c>
      <c r="Z26" s="18">
        <v>1</v>
      </c>
      <c r="AA26" s="18">
        <v>1</v>
      </c>
      <c r="AB26" s="18">
        <v>1</v>
      </c>
      <c r="AC26" s="18">
        <v>1</v>
      </c>
      <c r="AD26" s="29"/>
      <c r="AE26" s="29"/>
      <c r="AF26" s="29"/>
      <c r="AG26" s="29"/>
      <c r="AH26" s="29"/>
      <c r="AI26" s="29"/>
      <c r="AJ26" s="29"/>
      <c r="AL26" s="5">
        <v>25</v>
      </c>
      <c r="AM26" s="5">
        <v>1</v>
      </c>
      <c r="AN26" s="5">
        <v>1</v>
      </c>
      <c r="AO26" s="5">
        <v>1</v>
      </c>
      <c r="AP26" s="5">
        <v>1</v>
      </c>
      <c r="AQ26" s="5">
        <v>1</v>
      </c>
      <c r="AR26" s="18">
        <v>1</v>
      </c>
      <c r="AS26" s="18">
        <v>25</v>
      </c>
      <c r="AT26" s="18">
        <v>1</v>
      </c>
      <c r="AU26" s="18">
        <v>1</v>
      </c>
      <c r="AV26" s="18">
        <v>1</v>
      </c>
      <c r="AW26" s="18">
        <v>1</v>
      </c>
      <c r="AX26" s="18">
        <v>1</v>
      </c>
      <c r="AY26" s="29">
        <v>2</v>
      </c>
      <c r="AZ26" s="18">
        <v>25</v>
      </c>
      <c r="BA26" s="18">
        <v>1</v>
      </c>
      <c r="BB26" s="18">
        <v>1</v>
      </c>
      <c r="BC26" s="18">
        <v>1</v>
      </c>
      <c r="BD26" s="18">
        <v>1</v>
      </c>
      <c r="BE26" s="18">
        <v>1</v>
      </c>
      <c r="BF26" s="204">
        <v>2</v>
      </c>
    </row>
    <row r="27" spans="1:58" ht="14.25" customHeight="1">
      <c r="A27" s="29"/>
      <c r="B27" s="29"/>
      <c r="C27" s="29"/>
      <c r="D27" s="29"/>
      <c r="E27" s="29"/>
      <c r="F27" s="29"/>
      <c r="G27" s="29"/>
      <c r="H27" s="69" t="str">
        <f>W27</f>
        <v>26 ਅਰਜਨ ਰਾਮ ਚਾਂਦੀ ਰਾਮ</v>
      </c>
      <c r="I27" s="17" t="s">
        <v>801</v>
      </c>
      <c r="J27" s="18">
        <v>1</v>
      </c>
      <c r="K27" s="18"/>
      <c r="L27" s="18"/>
      <c r="M27" s="18">
        <v>1</v>
      </c>
      <c r="N27" s="18">
        <v>1</v>
      </c>
      <c r="O27" s="244"/>
      <c r="P27" s="17" t="s">
        <v>1408</v>
      </c>
      <c r="Q27" s="18" t="s">
        <v>489</v>
      </c>
      <c r="R27" s="18" t="s">
        <v>75</v>
      </c>
      <c r="S27" s="18" t="s">
        <v>280</v>
      </c>
      <c r="T27" s="18" t="s">
        <v>857</v>
      </c>
      <c r="U27" s="18">
        <v>1</v>
      </c>
      <c r="V27" s="114" t="s">
        <v>1426</v>
      </c>
      <c r="W27" s="17" t="s">
        <v>856</v>
      </c>
      <c r="X27" s="18" t="s">
        <v>858</v>
      </c>
      <c r="Y27" s="18" t="s">
        <v>859</v>
      </c>
      <c r="Z27" s="18">
        <v>1</v>
      </c>
      <c r="AA27" s="18">
        <v>1</v>
      </c>
      <c r="AB27" s="18">
        <v>1</v>
      </c>
      <c r="AC27" s="18">
        <v>1</v>
      </c>
      <c r="AD27" s="29"/>
      <c r="AE27" s="29"/>
      <c r="AF27" s="29"/>
      <c r="AG27" s="29"/>
      <c r="AH27" s="29"/>
      <c r="AI27" s="29"/>
      <c r="AJ27" s="29"/>
      <c r="AL27" s="73" t="s">
        <v>860</v>
      </c>
      <c r="AM27" s="5">
        <v>1</v>
      </c>
      <c r="AN27" s="5">
        <v>1</v>
      </c>
      <c r="AO27" s="5">
        <v>1</v>
      </c>
      <c r="AP27" s="5">
        <v>1</v>
      </c>
      <c r="AQ27" s="5">
        <v>1</v>
      </c>
      <c r="AR27" s="18">
        <v>1</v>
      </c>
      <c r="AS27" s="17" t="s">
        <v>731</v>
      </c>
      <c r="AT27" s="18">
        <v>1</v>
      </c>
      <c r="AU27" s="18">
        <v>1</v>
      </c>
      <c r="AV27" s="18">
        <v>1</v>
      </c>
      <c r="AW27" s="18">
        <v>1</v>
      </c>
      <c r="AX27" s="18">
        <v>1</v>
      </c>
      <c r="AY27" s="29">
        <v>2</v>
      </c>
      <c r="AZ27" s="17" t="s">
        <v>202</v>
      </c>
      <c r="BA27" s="18">
        <v>1</v>
      </c>
      <c r="BB27" s="18">
        <v>1</v>
      </c>
      <c r="BC27" s="18">
        <v>1</v>
      </c>
      <c r="BD27" s="18">
        <v>1</v>
      </c>
      <c r="BE27" s="18">
        <v>1</v>
      </c>
      <c r="BF27" s="204">
        <v>2</v>
      </c>
    </row>
    <row r="28" spans="1:58" ht="14.25" customHeight="1">
      <c r="A28" s="29"/>
      <c r="B28" s="29"/>
      <c r="C28" s="29"/>
      <c r="D28" s="29"/>
      <c r="E28" s="29"/>
      <c r="F28" s="29"/>
      <c r="G28" s="29"/>
      <c r="H28" s="69" t="str">
        <f>W32</f>
        <v>27 ਕੋਟ ਚੰਦ</v>
      </c>
      <c r="I28" s="18">
        <v>28</v>
      </c>
      <c r="J28" s="18">
        <v>1</v>
      </c>
      <c r="K28" s="18">
        <v>1</v>
      </c>
      <c r="L28" s="18">
        <v>1</v>
      </c>
      <c r="M28" s="18">
        <v>1</v>
      </c>
      <c r="N28" s="18">
        <v>1</v>
      </c>
      <c r="O28" s="18">
        <v>1</v>
      </c>
      <c r="P28" s="18" t="s">
        <v>279</v>
      </c>
      <c r="Q28" s="120" t="s">
        <v>174</v>
      </c>
      <c r="R28" s="18">
        <v>1</v>
      </c>
      <c r="S28" s="18">
        <v>1</v>
      </c>
      <c r="T28" s="18">
        <v>1</v>
      </c>
      <c r="U28" s="18">
        <v>1</v>
      </c>
      <c r="V28" s="18">
        <v>1</v>
      </c>
      <c r="W28" s="18" t="s">
        <v>60</v>
      </c>
      <c r="X28" s="18">
        <v>1</v>
      </c>
      <c r="Y28" s="18">
        <v>1</v>
      </c>
      <c r="Z28" s="18">
        <v>1</v>
      </c>
      <c r="AA28" s="18">
        <v>1</v>
      </c>
      <c r="AB28" s="18">
        <v>1</v>
      </c>
      <c r="AC28" s="18">
        <v>1</v>
      </c>
      <c r="AD28" s="29"/>
      <c r="AE28" s="29"/>
      <c r="AF28" s="29"/>
      <c r="AG28" s="29"/>
      <c r="AH28" s="29"/>
      <c r="AI28" s="29"/>
      <c r="AJ28" s="29"/>
      <c r="AL28" s="5">
        <v>27</v>
      </c>
      <c r="AM28" s="5">
        <v>1</v>
      </c>
      <c r="AN28" s="5">
        <v>1</v>
      </c>
      <c r="AO28" s="5">
        <v>1</v>
      </c>
      <c r="AP28" s="5">
        <v>1</v>
      </c>
      <c r="AQ28" s="5">
        <v>1</v>
      </c>
      <c r="AR28" s="18">
        <v>1</v>
      </c>
      <c r="AS28" s="18">
        <v>27</v>
      </c>
      <c r="AT28" s="18">
        <v>1</v>
      </c>
      <c r="AU28" s="18">
        <v>1</v>
      </c>
      <c r="AV28" s="18">
        <v>1</v>
      </c>
      <c r="AW28" s="18">
        <v>1</v>
      </c>
      <c r="AX28" s="18">
        <v>1</v>
      </c>
      <c r="AY28" s="29">
        <v>2</v>
      </c>
      <c r="AZ28" s="18">
        <v>27</v>
      </c>
      <c r="BA28" s="18">
        <v>1</v>
      </c>
      <c r="BB28" s="18">
        <v>1</v>
      </c>
      <c r="BC28" s="18">
        <v>1</v>
      </c>
      <c r="BD28" s="18">
        <v>1</v>
      </c>
      <c r="BE28" s="18">
        <v>1</v>
      </c>
      <c r="BF28" s="204">
        <v>2</v>
      </c>
    </row>
    <row r="29" spans="1:58" ht="14.25" customHeight="1">
      <c r="A29" s="29"/>
      <c r="B29" s="29"/>
      <c r="C29" s="29"/>
      <c r="D29" s="29"/>
      <c r="E29" s="29"/>
      <c r="F29" s="29"/>
      <c r="G29" s="29"/>
      <c r="H29" s="69" t="str">
        <f>W37</f>
        <v>28 ਚੇਤਨ ਸਰੂਪ</v>
      </c>
      <c r="I29" s="18">
        <v>29</v>
      </c>
      <c r="J29" s="18">
        <v>1</v>
      </c>
      <c r="K29" s="18">
        <v>1</v>
      </c>
      <c r="L29" s="18">
        <v>1</v>
      </c>
      <c r="M29" s="18">
        <v>1</v>
      </c>
      <c r="N29" s="18">
        <v>1</v>
      </c>
      <c r="O29" s="18">
        <v>1</v>
      </c>
      <c r="P29" s="120" t="s">
        <v>278</v>
      </c>
      <c r="Q29" s="18">
        <v>1</v>
      </c>
      <c r="R29" s="18">
        <v>1</v>
      </c>
      <c r="S29" s="18">
        <v>1</v>
      </c>
      <c r="T29" s="18">
        <v>1</v>
      </c>
      <c r="U29" s="18">
        <v>1</v>
      </c>
      <c r="V29" s="18">
        <v>1</v>
      </c>
      <c r="W29" s="18">
        <v>28</v>
      </c>
      <c r="X29" s="18">
        <v>1</v>
      </c>
      <c r="Y29" s="18">
        <v>1</v>
      </c>
      <c r="Z29" s="18">
        <v>1</v>
      </c>
      <c r="AA29" s="18">
        <v>1</v>
      </c>
      <c r="AB29" s="18">
        <v>1</v>
      </c>
      <c r="AC29" s="18">
        <v>1</v>
      </c>
      <c r="AD29" s="29"/>
      <c r="AE29" s="29"/>
      <c r="AF29" s="29"/>
      <c r="AG29" s="29"/>
      <c r="AH29" s="29"/>
      <c r="AI29" s="29"/>
      <c r="AJ29" s="29"/>
      <c r="AL29" s="5">
        <v>28</v>
      </c>
      <c r="AM29" s="5">
        <v>1</v>
      </c>
      <c r="AN29" s="5">
        <v>1</v>
      </c>
      <c r="AO29" s="5">
        <v>1</v>
      </c>
      <c r="AP29" s="5">
        <v>1</v>
      </c>
      <c r="AQ29" s="5">
        <v>1</v>
      </c>
      <c r="AR29" s="18">
        <v>1</v>
      </c>
      <c r="AS29" s="18">
        <v>28</v>
      </c>
      <c r="AT29" s="18">
        <v>1</v>
      </c>
      <c r="AU29" s="18">
        <v>1</v>
      </c>
      <c r="AV29" s="18">
        <v>1</v>
      </c>
      <c r="AW29" s="18">
        <v>1</v>
      </c>
      <c r="AX29" s="18">
        <v>1</v>
      </c>
      <c r="AY29" s="29">
        <v>2</v>
      </c>
      <c r="AZ29" s="18">
        <v>28</v>
      </c>
      <c r="BA29" s="18">
        <v>1</v>
      </c>
      <c r="BB29" s="18">
        <v>1</v>
      </c>
      <c r="BC29" s="18">
        <v>1</v>
      </c>
      <c r="BD29" s="18">
        <v>1</v>
      </c>
      <c r="BE29" s="18">
        <v>1</v>
      </c>
      <c r="BF29" s="204">
        <v>2</v>
      </c>
    </row>
    <row r="30" spans="1:58" ht="14.25" customHeight="1">
      <c r="A30" s="29"/>
      <c r="B30" s="29"/>
      <c r="C30" s="29"/>
      <c r="D30" s="29"/>
      <c r="E30" s="29"/>
      <c r="F30" s="29"/>
      <c r="G30" s="29"/>
      <c r="H30" s="69" t="str">
        <f>W42</f>
        <v>29 ਹੰਸ ਰਾਜ ਹੁਕਮ ਚੰਦ</v>
      </c>
      <c r="I30" s="18">
        <v>29</v>
      </c>
      <c r="J30" s="18">
        <v>1</v>
      </c>
      <c r="K30" s="18">
        <v>1</v>
      </c>
      <c r="L30" s="18">
        <v>1</v>
      </c>
      <c r="M30" s="18">
        <v>1</v>
      </c>
      <c r="N30" s="18">
        <v>1</v>
      </c>
      <c r="O30" s="18">
        <v>1</v>
      </c>
      <c r="P30" s="18">
        <v>29</v>
      </c>
      <c r="Q30" s="18">
        <v>1</v>
      </c>
      <c r="R30" s="18">
        <v>1</v>
      </c>
      <c r="S30" s="18">
        <v>1</v>
      </c>
      <c r="T30" s="18">
        <v>1</v>
      </c>
      <c r="U30" s="18">
        <v>1</v>
      </c>
      <c r="V30" s="18">
        <v>1</v>
      </c>
      <c r="W30" s="18">
        <v>29</v>
      </c>
      <c r="X30" s="18">
        <v>1</v>
      </c>
      <c r="Y30" s="18">
        <v>1</v>
      </c>
      <c r="Z30" s="18">
        <v>1</v>
      </c>
      <c r="AA30" s="18">
        <v>1</v>
      </c>
      <c r="AB30" s="18">
        <v>1</v>
      </c>
      <c r="AC30" s="18">
        <v>1</v>
      </c>
      <c r="AD30" s="29"/>
      <c r="AE30" s="29"/>
      <c r="AF30" s="29"/>
      <c r="AG30" s="29"/>
      <c r="AH30" s="29"/>
      <c r="AI30" s="29"/>
      <c r="AJ30" s="29"/>
      <c r="AL30" s="5">
        <v>29</v>
      </c>
      <c r="AM30" s="5">
        <v>1</v>
      </c>
      <c r="AN30" s="5">
        <v>1</v>
      </c>
      <c r="AO30" s="5">
        <v>1</v>
      </c>
      <c r="AP30" s="5">
        <v>1</v>
      </c>
      <c r="AQ30" s="5">
        <v>1</v>
      </c>
      <c r="AR30" s="18">
        <v>1</v>
      </c>
      <c r="AS30" s="18">
        <v>29</v>
      </c>
      <c r="AT30" s="18">
        <v>1</v>
      </c>
      <c r="AU30" s="18">
        <v>1</v>
      </c>
      <c r="AV30" s="18">
        <v>1</v>
      </c>
      <c r="AW30" s="18">
        <v>1</v>
      </c>
      <c r="AX30" s="18">
        <v>1</v>
      </c>
      <c r="AY30" s="29">
        <v>2</v>
      </c>
      <c r="AZ30" s="18">
        <v>29</v>
      </c>
      <c r="BA30" s="18">
        <v>1</v>
      </c>
      <c r="BB30" s="18">
        <v>1</v>
      </c>
      <c r="BC30" s="18">
        <v>1</v>
      </c>
      <c r="BD30" s="18">
        <v>1</v>
      </c>
      <c r="BE30" s="18">
        <v>1</v>
      </c>
      <c r="BF30" s="204">
        <v>2</v>
      </c>
    </row>
    <row r="31" spans="1:58" ht="14.25" customHeight="1">
      <c r="A31" s="29"/>
      <c r="B31" s="29"/>
      <c r="C31" s="29"/>
      <c r="D31" s="29"/>
      <c r="E31" s="29"/>
      <c r="F31" s="29"/>
      <c r="G31" s="29"/>
      <c r="H31" s="71" t="str">
        <f>W47</f>
        <v>30 ਭਗਵਾਨ ਚੰਦ</v>
      </c>
      <c r="I31" s="18">
        <v>30</v>
      </c>
      <c r="J31" s="18">
        <v>1</v>
      </c>
      <c r="K31" s="18">
        <v>1</v>
      </c>
      <c r="L31" s="18">
        <v>1</v>
      </c>
      <c r="M31" s="18">
        <v>1</v>
      </c>
      <c r="N31" s="18">
        <v>1</v>
      </c>
      <c r="O31" s="18">
        <v>1</v>
      </c>
      <c r="P31" s="18">
        <v>30</v>
      </c>
      <c r="Q31" s="18">
        <v>1</v>
      </c>
      <c r="R31" s="18">
        <v>1</v>
      </c>
      <c r="S31" s="18">
        <v>1</v>
      </c>
      <c r="T31" s="18">
        <v>1</v>
      </c>
      <c r="U31" s="18">
        <v>1</v>
      </c>
      <c r="V31" s="18">
        <v>1</v>
      </c>
      <c r="W31" s="18">
        <v>30</v>
      </c>
      <c r="X31" s="18">
        <v>1</v>
      </c>
      <c r="Y31" s="18">
        <v>1</v>
      </c>
      <c r="Z31" s="18">
        <v>1</v>
      </c>
      <c r="AA31" s="18">
        <v>1</v>
      </c>
      <c r="AB31" s="18">
        <v>1</v>
      </c>
      <c r="AC31" s="18">
        <v>1</v>
      </c>
      <c r="AD31" s="29"/>
      <c r="AE31" s="29"/>
      <c r="AF31" s="29"/>
      <c r="AG31" s="29"/>
      <c r="AH31" s="29"/>
      <c r="AI31" s="29"/>
      <c r="AJ31" s="29"/>
      <c r="AL31" s="5">
        <v>30</v>
      </c>
      <c r="AM31" s="5">
        <v>1</v>
      </c>
      <c r="AN31" s="5">
        <v>1</v>
      </c>
      <c r="AO31" s="5">
        <v>1</v>
      </c>
      <c r="AP31" s="5">
        <v>1</v>
      </c>
      <c r="AQ31" s="5">
        <v>1</v>
      </c>
      <c r="AR31" s="18">
        <v>1</v>
      </c>
      <c r="AS31" s="18">
        <v>30</v>
      </c>
      <c r="AT31" s="18">
        <v>1</v>
      </c>
      <c r="AU31" s="18">
        <v>1</v>
      </c>
      <c r="AV31" s="18">
        <v>1</v>
      </c>
      <c r="AW31" s="18">
        <v>1</v>
      </c>
      <c r="AX31" s="18">
        <v>1</v>
      </c>
      <c r="AY31" s="29">
        <v>2</v>
      </c>
      <c r="AZ31" s="18">
        <v>30</v>
      </c>
      <c r="BA31" s="18">
        <v>1</v>
      </c>
      <c r="BB31" s="18">
        <v>1</v>
      </c>
      <c r="BC31" s="18">
        <v>1</v>
      </c>
      <c r="BD31" s="18">
        <v>1</v>
      </c>
      <c r="BE31" s="18">
        <v>1</v>
      </c>
      <c r="BF31" s="204">
        <v>2</v>
      </c>
    </row>
    <row r="32" spans="1:58" ht="14.25" customHeight="1">
      <c r="A32" s="29"/>
      <c r="B32" s="29"/>
      <c r="C32" s="29"/>
      <c r="D32" s="29"/>
      <c r="E32" s="29"/>
      <c r="F32" s="29"/>
      <c r="G32" s="29"/>
      <c r="H32" s="64" t="str">
        <f>AL2</f>
        <v>31 ਮੋਤੀ ਰਾਮ</v>
      </c>
      <c r="I32" s="47" t="s">
        <v>1322</v>
      </c>
      <c r="J32" s="18">
        <v>1</v>
      </c>
      <c r="K32" s="18">
        <v>1</v>
      </c>
      <c r="L32" s="18">
        <v>1</v>
      </c>
      <c r="M32" s="18">
        <v>1</v>
      </c>
      <c r="N32" s="18">
        <v>1</v>
      </c>
      <c r="O32" s="244">
        <v>1</v>
      </c>
      <c r="P32" s="17" t="s">
        <v>1409</v>
      </c>
      <c r="Q32" s="18">
        <v>1</v>
      </c>
      <c r="R32" s="18">
        <v>1</v>
      </c>
      <c r="S32" s="18">
        <v>1</v>
      </c>
      <c r="T32" s="18">
        <v>1</v>
      </c>
      <c r="U32" s="18">
        <v>1</v>
      </c>
      <c r="V32" s="55" t="s">
        <v>1243</v>
      </c>
      <c r="W32" s="17" t="s">
        <v>861</v>
      </c>
      <c r="X32" s="18" t="s">
        <v>84</v>
      </c>
      <c r="Y32" s="18">
        <v>1</v>
      </c>
      <c r="Z32" s="18">
        <v>1</v>
      </c>
      <c r="AA32" s="18">
        <v>1</v>
      </c>
      <c r="AB32" s="18">
        <v>1</v>
      </c>
      <c r="AC32" s="55" t="s">
        <v>1250</v>
      </c>
      <c r="AD32" s="29"/>
      <c r="AE32" s="29"/>
      <c r="AF32" s="29"/>
      <c r="AG32" s="29"/>
      <c r="AH32" s="29"/>
      <c r="AI32" s="29"/>
      <c r="AJ32" s="29"/>
      <c r="AK32" s="29"/>
      <c r="AL32" s="73" t="s">
        <v>865</v>
      </c>
      <c r="AM32" s="5">
        <v>1</v>
      </c>
      <c r="AN32" s="5">
        <v>1</v>
      </c>
      <c r="AO32" s="5">
        <v>1</v>
      </c>
      <c r="AP32" s="5">
        <v>1</v>
      </c>
      <c r="AQ32" s="5">
        <v>1</v>
      </c>
      <c r="AR32" s="18">
        <v>1</v>
      </c>
      <c r="AS32" s="17" t="s">
        <v>745</v>
      </c>
      <c r="AT32" s="18">
        <v>1</v>
      </c>
      <c r="AU32" s="18">
        <v>1</v>
      </c>
      <c r="AV32" s="18">
        <v>1</v>
      </c>
      <c r="AW32" s="18">
        <v>1</v>
      </c>
      <c r="AX32" s="18">
        <v>1</v>
      </c>
      <c r="AY32" s="29">
        <v>2</v>
      </c>
      <c r="AZ32" s="17" t="s">
        <v>227</v>
      </c>
      <c r="BA32" s="18">
        <v>1</v>
      </c>
      <c r="BB32" s="18">
        <v>1</v>
      </c>
      <c r="BC32" s="18">
        <v>1</v>
      </c>
      <c r="BD32" s="18">
        <v>1</v>
      </c>
      <c r="BE32" s="18">
        <v>1</v>
      </c>
      <c r="BF32" s="204">
        <v>2</v>
      </c>
    </row>
    <row r="33" spans="1:58" ht="14.25" customHeight="1">
      <c r="A33" s="29"/>
      <c r="B33" s="29"/>
      <c r="C33" s="29"/>
      <c r="D33" s="29"/>
      <c r="E33" s="29"/>
      <c r="F33" s="29"/>
      <c r="G33" s="29"/>
      <c r="H33" s="64" t="str">
        <f>AL7</f>
        <v>32 ਚੰਬਾ ਰਾਮ</v>
      </c>
      <c r="I33" s="48">
        <v>32</v>
      </c>
      <c r="J33" s="18">
        <v>1</v>
      </c>
      <c r="K33" s="18">
        <v>1</v>
      </c>
      <c r="L33" s="18">
        <v>1</v>
      </c>
      <c r="M33" s="18">
        <v>1</v>
      </c>
      <c r="N33" s="18">
        <v>1</v>
      </c>
      <c r="O33" s="18">
        <v>1</v>
      </c>
      <c r="P33" s="18" t="s">
        <v>866</v>
      </c>
      <c r="Q33" s="18" t="s">
        <v>867</v>
      </c>
      <c r="R33" s="18" t="s">
        <v>868</v>
      </c>
      <c r="S33" s="18" t="s">
        <v>869</v>
      </c>
      <c r="T33" s="18">
        <v>1</v>
      </c>
      <c r="U33" s="18">
        <v>1</v>
      </c>
      <c r="V33" s="18">
        <v>1</v>
      </c>
      <c r="W33" s="18" t="s">
        <v>89</v>
      </c>
      <c r="X33" s="18" t="s">
        <v>870</v>
      </c>
      <c r="Y33" s="18">
        <v>1</v>
      </c>
      <c r="Z33" s="18">
        <v>1</v>
      </c>
      <c r="AA33" s="18">
        <v>1</v>
      </c>
      <c r="AB33" s="18">
        <v>1</v>
      </c>
      <c r="AC33" s="18">
        <v>1</v>
      </c>
      <c r="AD33" s="29"/>
      <c r="AE33" s="29"/>
      <c r="AF33" s="29"/>
      <c r="AG33" s="29"/>
      <c r="AH33" s="29"/>
      <c r="AI33" s="29"/>
      <c r="AJ33" s="29"/>
      <c r="AK33" s="29"/>
      <c r="AL33" s="5">
        <v>32</v>
      </c>
      <c r="AM33" s="5">
        <v>1</v>
      </c>
      <c r="AN33" s="5">
        <v>1</v>
      </c>
      <c r="AO33" s="5">
        <v>1</v>
      </c>
      <c r="AP33" s="5">
        <v>1</v>
      </c>
      <c r="AQ33" s="5">
        <v>1</v>
      </c>
      <c r="AR33" s="18">
        <v>1</v>
      </c>
      <c r="AS33" s="18">
        <v>32</v>
      </c>
      <c r="AT33" s="18">
        <v>1</v>
      </c>
      <c r="AU33" s="18">
        <v>1</v>
      </c>
      <c r="AV33" s="18">
        <v>1</v>
      </c>
      <c r="AW33" s="18">
        <v>1</v>
      </c>
      <c r="AX33" s="18">
        <v>1</v>
      </c>
      <c r="AY33" s="29">
        <v>2</v>
      </c>
      <c r="AZ33" s="18">
        <v>32</v>
      </c>
      <c r="BA33" s="18">
        <v>1</v>
      </c>
      <c r="BB33" s="18">
        <v>1</v>
      </c>
      <c r="BC33" s="18">
        <v>1</v>
      </c>
      <c r="BD33" s="18">
        <v>1</v>
      </c>
      <c r="BE33" s="18">
        <v>1</v>
      </c>
      <c r="BF33" s="204">
        <v>2</v>
      </c>
    </row>
    <row r="34" spans="1:58" ht="14.25" customHeight="1">
      <c r="A34" s="29"/>
      <c r="B34" s="29"/>
      <c r="C34" s="29"/>
      <c r="D34" s="29"/>
      <c r="E34" s="29"/>
      <c r="F34" s="29"/>
      <c r="G34" s="29"/>
      <c r="H34" s="64" t="str">
        <f>AL12</f>
        <v>33 ਮੋਹਰੀ ਅਤੇ ਗੁਲਾਬ ਰਾਮ</v>
      </c>
      <c r="I34" s="48">
        <v>33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 t="s">
        <v>119</v>
      </c>
      <c r="Q34" s="18" t="s">
        <v>284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 t="s">
        <v>667</v>
      </c>
      <c r="X34" s="18" t="s">
        <v>212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29"/>
      <c r="AE34" s="29"/>
      <c r="AF34" s="29"/>
      <c r="AG34" s="29"/>
      <c r="AH34" s="29"/>
      <c r="AI34" s="29"/>
      <c r="AJ34" s="29"/>
      <c r="AK34" s="29"/>
      <c r="AL34" s="5">
        <v>33</v>
      </c>
      <c r="AM34" s="5">
        <v>1</v>
      </c>
      <c r="AN34" s="5">
        <v>1</v>
      </c>
      <c r="AO34" s="5">
        <v>1</v>
      </c>
      <c r="AP34" s="5">
        <v>1</v>
      </c>
      <c r="AQ34" s="5">
        <v>1</v>
      </c>
      <c r="AR34" s="18">
        <v>1</v>
      </c>
      <c r="AS34" s="18">
        <v>33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29">
        <v>2</v>
      </c>
      <c r="AZ34" s="18">
        <v>33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204">
        <v>2</v>
      </c>
    </row>
    <row r="35" spans="1:58" ht="14.25" customHeight="1">
      <c r="A35" s="29"/>
      <c r="B35" s="29"/>
      <c r="C35" s="29"/>
      <c r="D35" s="29"/>
      <c r="E35" s="29"/>
      <c r="F35" s="29"/>
      <c r="G35" s="29"/>
      <c r="H35" s="64" t="str">
        <f>AL17</f>
        <v>34 thirty four</v>
      </c>
      <c r="I35" s="48">
        <v>34</v>
      </c>
      <c r="J35" s="18">
        <v>1</v>
      </c>
      <c r="K35" s="18">
        <v>1</v>
      </c>
      <c r="L35" s="18">
        <v>1</v>
      </c>
      <c r="M35" s="18">
        <v>1</v>
      </c>
      <c r="N35" s="18">
        <v>1</v>
      </c>
      <c r="O35" s="18">
        <v>1</v>
      </c>
      <c r="P35" s="18">
        <v>34</v>
      </c>
      <c r="Q35" s="18">
        <v>1</v>
      </c>
      <c r="R35" s="18">
        <v>1</v>
      </c>
      <c r="S35" s="18">
        <v>1</v>
      </c>
      <c r="T35" s="18">
        <v>1</v>
      </c>
      <c r="U35" s="18">
        <v>1</v>
      </c>
      <c r="V35" s="18">
        <v>1</v>
      </c>
      <c r="W35" s="18">
        <v>33</v>
      </c>
      <c r="X35" s="18">
        <v>1</v>
      </c>
      <c r="Y35" s="18">
        <v>1</v>
      </c>
      <c r="Z35" s="18">
        <v>1</v>
      </c>
      <c r="AA35" s="18">
        <v>1</v>
      </c>
      <c r="AB35" s="18">
        <v>1</v>
      </c>
      <c r="AC35" s="18">
        <v>1</v>
      </c>
      <c r="AD35" s="29"/>
      <c r="AE35" s="29"/>
      <c r="AF35" s="29"/>
      <c r="AG35" s="29"/>
      <c r="AH35" s="29"/>
      <c r="AI35" s="29"/>
      <c r="AJ35" s="29"/>
      <c r="AK35" s="29"/>
      <c r="AL35" s="5">
        <v>34</v>
      </c>
      <c r="AM35" s="5">
        <v>1</v>
      </c>
      <c r="AN35" s="5">
        <v>1</v>
      </c>
      <c r="AO35" s="5">
        <v>1</v>
      </c>
      <c r="AP35" s="5">
        <v>1</v>
      </c>
      <c r="AQ35" s="5">
        <v>1</v>
      </c>
      <c r="AR35" s="18">
        <v>1</v>
      </c>
      <c r="AS35" s="18">
        <v>34</v>
      </c>
      <c r="AT35" s="18">
        <v>1</v>
      </c>
      <c r="AU35" s="18">
        <v>1</v>
      </c>
      <c r="AV35" s="18">
        <v>1</v>
      </c>
      <c r="AW35" s="18">
        <v>1</v>
      </c>
      <c r="AX35" s="18">
        <v>1</v>
      </c>
      <c r="AY35" s="29">
        <v>2</v>
      </c>
      <c r="AZ35" s="18">
        <v>34</v>
      </c>
      <c r="BA35" s="18">
        <v>1</v>
      </c>
      <c r="BB35" s="18">
        <v>1</v>
      </c>
      <c r="BC35" s="18">
        <v>1</v>
      </c>
      <c r="BD35" s="18">
        <v>1</v>
      </c>
      <c r="BE35" s="18">
        <v>1</v>
      </c>
      <c r="BF35" s="204">
        <v>2</v>
      </c>
    </row>
    <row r="36" spans="1:58" ht="14.25" customHeight="1">
      <c r="A36" s="29"/>
      <c r="B36" s="29"/>
      <c r="C36" s="29"/>
      <c r="D36" s="29"/>
      <c r="E36" s="29"/>
      <c r="F36" s="29"/>
      <c r="G36" s="29"/>
      <c r="H36" s="64" t="str">
        <f>AL22</f>
        <v>35 five</v>
      </c>
      <c r="I36" s="48">
        <v>35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35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35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29"/>
      <c r="AE36" s="29"/>
      <c r="AF36" s="29"/>
      <c r="AG36" s="29"/>
      <c r="AH36" s="29"/>
      <c r="AI36" s="29"/>
      <c r="AJ36" s="29"/>
      <c r="AK36" s="29"/>
      <c r="AL36" s="5">
        <v>35</v>
      </c>
      <c r="AM36" s="5">
        <v>1</v>
      </c>
      <c r="AN36" s="5">
        <v>1</v>
      </c>
      <c r="AO36" s="5">
        <v>1</v>
      </c>
      <c r="AP36" s="5">
        <v>1</v>
      </c>
      <c r="AQ36" s="5">
        <v>1</v>
      </c>
      <c r="AR36" s="18">
        <v>1</v>
      </c>
      <c r="AS36" s="18">
        <v>35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29">
        <v>2</v>
      </c>
      <c r="AZ36" s="18">
        <v>35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204">
        <v>2</v>
      </c>
    </row>
    <row r="37" spans="1:58" ht="14.25" customHeight="1">
      <c r="A37" s="29"/>
      <c r="B37" s="29"/>
      <c r="C37" s="29"/>
      <c r="D37" s="29"/>
      <c r="E37" s="29"/>
      <c r="F37" s="29"/>
      <c r="G37" s="29"/>
      <c r="H37" s="64" t="str">
        <f>AL27</f>
        <v>36 six</v>
      </c>
      <c r="I37" s="47" t="s">
        <v>811</v>
      </c>
      <c r="J37" s="18" t="s">
        <v>125</v>
      </c>
      <c r="K37" s="18">
        <v>1</v>
      </c>
      <c r="L37" s="18">
        <v>1</v>
      </c>
      <c r="M37" s="18">
        <v>1</v>
      </c>
      <c r="N37" s="18">
        <v>1</v>
      </c>
      <c r="O37" s="55" t="s">
        <v>1237</v>
      </c>
      <c r="P37" s="17" t="s">
        <v>839</v>
      </c>
      <c r="Q37" s="18">
        <v>1</v>
      </c>
      <c r="R37" s="18">
        <v>1</v>
      </c>
      <c r="S37" s="18">
        <v>1</v>
      </c>
      <c r="T37" s="18">
        <v>1</v>
      </c>
      <c r="U37" s="18">
        <v>1</v>
      </c>
      <c r="V37" s="55" t="s">
        <v>1244</v>
      </c>
      <c r="W37" s="17" t="s">
        <v>862</v>
      </c>
      <c r="X37" s="18">
        <v>1</v>
      </c>
      <c r="Y37" s="18">
        <v>1</v>
      </c>
      <c r="Z37" s="18">
        <v>1</v>
      </c>
      <c r="AA37" s="18">
        <v>1</v>
      </c>
      <c r="AB37" s="18">
        <v>1</v>
      </c>
      <c r="AC37" s="55" t="s">
        <v>1251</v>
      </c>
      <c r="AD37" s="29"/>
      <c r="AE37" s="29"/>
      <c r="AF37" s="29"/>
      <c r="AG37" s="29"/>
      <c r="AH37" s="29"/>
      <c r="AI37" s="29"/>
      <c r="AJ37" s="29"/>
      <c r="AK37" s="29"/>
      <c r="AL37" s="73" t="s">
        <v>871</v>
      </c>
      <c r="AM37" s="5">
        <v>1</v>
      </c>
      <c r="AN37" s="5">
        <v>1</v>
      </c>
      <c r="AO37" s="5">
        <v>1</v>
      </c>
      <c r="AP37" s="5">
        <v>1</v>
      </c>
      <c r="AQ37" s="5">
        <v>1</v>
      </c>
      <c r="AR37" s="18">
        <v>1</v>
      </c>
      <c r="AS37" s="17" t="s">
        <v>758</v>
      </c>
      <c r="AT37" s="18">
        <v>1</v>
      </c>
      <c r="AU37" s="18">
        <v>1</v>
      </c>
      <c r="AV37" s="18">
        <v>1</v>
      </c>
      <c r="AW37" s="18">
        <v>1</v>
      </c>
      <c r="AX37" s="18">
        <v>1</v>
      </c>
      <c r="AY37" s="29">
        <v>2</v>
      </c>
      <c r="AZ37" s="17" t="s">
        <v>247</v>
      </c>
      <c r="BA37" s="18">
        <v>1</v>
      </c>
      <c r="BB37" s="18">
        <v>1</v>
      </c>
      <c r="BC37" s="18">
        <v>1</v>
      </c>
      <c r="BD37" s="18">
        <v>1</v>
      </c>
      <c r="BE37" s="18">
        <v>1</v>
      </c>
      <c r="BF37" s="204">
        <v>2</v>
      </c>
    </row>
    <row r="38" spans="1:58" ht="14.25" customHeight="1">
      <c r="A38" s="29"/>
      <c r="B38" s="29"/>
      <c r="C38" s="29"/>
      <c r="D38" s="29"/>
      <c r="E38" s="29"/>
      <c r="F38" s="29"/>
      <c r="G38" s="29"/>
      <c r="H38" s="64" t="str">
        <f>AL32</f>
        <v>37 seven</v>
      </c>
      <c r="I38" s="4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 t="s">
        <v>872</v>
      </c>
      <c r="Q38" s="18" t="s">
        <v>873</v>
      </c>
      <c r="R38" s="18" t="s">
        <v>106</v>
      </c>
      <c r="S38" s="18">
        <v>1</v>
      </c>
      <c r="T38" s="18">
        <v>1</v>
      </c>
      <c r="U38" s="18">
        <v>1</v>
      </c>
      <c r="V38" s="18">
        <v>1</v>
      </c>
      <c r="W38" s="18" t="s">
        <v>874</v>
      </c>
      <c r="X38" s="18" t="s">
        <v>103</v>
      </c>
      <c r="Y38" s="18" t="s">
        <v>338</v>
      </c>
      <c r="Z38" s="18" t="s">
        <v>875</v>
      </c>
      <c r="AA38" s="18" t="s">
        <v>876</v>
      </c>
      <c r="AB38" s="18" t="s">
        <v>877</v>
      </c>
      <c r="AC38" s="18">
        <v>1</v>
      </c>
      <c r="AD38" s="29"/>
      <c r="AE38" s="29"/>
      <c r="AF38" s="29"/>
      <c r="AG38" s="29"/>
      <c r="AH38" s="29"/>
      <c r="AI38" s="29"/>
      <c r="AJ38" s="29"/>
      <c r="AK38" s="29"/>
      <c r="AL38" s="5">
        <v>37</v>
      </c>
      <c r="AM38" s="5">
        <v>1</v>
      </c>
      <c r="AN38" s="5">
        <v>1</v>
      </c>
      <c r="AO38" s="5">
        <v>1</v>
      </c>
      <c r="AP38" s="5">
        <v>1</v>
      </c>
      <c r="AQ38" s="5">
        <v>1</v>
      </c>
      <c r="AR38" s="18">
        <v>1</v>
      </c>
      <c r="AS38" s="18">
        <v>37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29">
        <v>2</v>
      </c>
      <c r="AZ38" s="18">
        <v>37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204">
        <v>2</v>
      </c>
    </row>
    <row r="39" spans="1:58" ht="14.25" customHeight="1">
      <c r="A39" s="29"/>
      <c r="B39" s="29"/>
      <c r="C39" s="29"/>
      <c r="D39" s="29"/>
      <c r="E39" s="29"/>
      <c r="F39" s="29"/>
      <c r="G39" s="29"/>
      <c r="H39" s="64" t="str">
        <f>AL37</f>
        <v>38 eight</v>
      </c>
      <c r="I39" s="48" t="s">
        <v>348</v>
      </c>
      <c r="J39" s="18" t="s">
        <v>304</v>
      </c>
      <c r="K39" s="18" t="s">
        <v>566</v>
      </c>
      <c r="L39" s="18" t="s">
        <v>878</v>
      </c>
      <c r="M39" s="18">
        <v>1</v>
      </c>
      <c r="N39" s="18">
        <v>1</v>
      </c>
      <c r="O39" s="18">
        <v>1</v>
      </c>
      <c r="P39" s="18">
        <v>38</v>
      </c>
      <c r="Q39" s="18" t="s">
        <v>106</v>
      </c>
      <c r="R39" s="18" t="s">
        <v>879</v>
      </c>
      <c r="S39" s="18">
        <v>1</v>
      </c>
      <c r="T39" s="18">
        <v>1</v>
      </c>
      <c r="U39" s="18">
        <v>1</v>
      </c>
      <c r="V39" s="18">
        <v>1</v>
      </c>
      <c r="W39" s="18" t="s">
        <v>450</v>
      </c>
      <c r="X39" s="18" t="s">
        <v>125</v>
      </c>
      <c r="Y39" s="18" t="s">
        <v>580</v>
      </c>
      <c r="Z39" s="18" t="s">
        <v>852</v>
      </c>
      <c r="AA39" s="18" t="s">
        <v>880</v>
      </c>
      <c r="AB39" s="18">
        <v>1</v>
      </c>
      <c r="AC39" s="18">
        <v>1</v>
      </c>
      <c r="AD39" s="29"/>
      <c r="AE39" s="29"/>
      <c r="AF39" s="29"/>
      <c r="AG39" s="29"/>
      <c r="AH39" s="29"/>
      <c r="AI39" s="29"/>
      <c r="AJ39" s="29"/>
      <c r="AK39" s="29"/>
      <c r="AL39" s="5">
        <v>38</v>
      </c>
      <c r="AM39" s="5">
        <v>1</v>
      </c>
      <c r="AN39" s="5">
        <v>1</v>
      </c>
      <c r="AO39" s="5">
        <v>1</v>
      </c>
      <c r="AP39" s="5">
        <v>1</v>
      </c>
      <c r="AQ39" s="5">
        <v>1</v>
      </c>
      <c r="AR39" s="18">
        <v>1</v>
      </c>
      <c r="AS39" s="18">
        <v>38</v>
      </c>
      <c r="AT39" s="18">
        <v>1</v>
      </c>
      <c r="AU39" s="18">
        <v>1</v>
      </c>
      <c r="AV39" s="18">
        <v>1</v>
      </c>
      <c r="AW39" s="18">
        <v>1</v>
      </c>
      <c r="AX39" s="18">
        <v>1</v>
      </c>
      <c r="AY39" s="29">
        <v>2</v>
      </c>
      <c r="AZ39" s="18">
        <v>38</v>
      </c>
      <c r="BA39" s="18">
        <v>1</v>
      </c>
      <c r="BB39" s="18">
        <v>1</v>
      </c>
      <c r="BC39" s="18">
        <v>1</v>
      </c>
      <c r="BD39" s="18">
        <v>1</v>
      </c>
      <c r="BE39" s="18">
        <v>1</v>
      </c>
      <c r="BF39" s="204">
        <v>2</v>
      </c>
    </row>
    <row r="40" spans="1:58" ht="14.25" customHeight="1">
      <c r="A40" s="29"/>
      <c r="B40" s="29"/>
      <c r="C40" s="29"/>
      <c r="D40" s="29"/>
      <c r="E40" s="29"/>
      <c r="F40" s="29"/>
      <c r="G40" s="29"/>
      <c r="H40" s="64" t="str">
        <f>AL42</f>
        <v>39 nine</v>
      </c>
      <c r="I40" s="48" t="s">
        <v>882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/>
      <c r="Q40" s="18" t="s">
        <v>192</v>
      </c>
      <c r="R40" s="18" t="s">
        <v>883</v>
      </c>
      <c r="S40" s="18">
        <v>1</v>
      </c>
      <c r="T40" s="18">
        <v>1</v>
      </c>
      <c r="U40" s="18">
        <v>1</v>
      </c>
      <c r="V40" s="18">
        <v>1</v>
      </c>
      <c r="W40" s="18" t="s">
        <v>884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29"/>
      <c r="AE40" s="29"/>
      <c r="AF40" s="29"/>
      <c r="AG40" s="29"/>
      <c r="AH40" s="29"/>
      <c r="AI40" s="29"/>
      <c r="AJ40" s="29"/>
      <c r="AK40" s="29"/>
      <c r="AL40" s="5">
        <v>39</v>
      </c>
      <c r="AM40" s="5">
        <v>1</v>
      </c>
      <c r="AN40" s="5">
        <v>1</v>
      </c>
      <c r="AO40" s="5">
        <v>1</v>
      </c>
      <c r="AP40" s="5">
        <v>1</v>
      </c>
      <c r="AQ40" s="5">
        <v>1</v>
      </c>
      <c r="AR40" s="18">
        <v>1</v>
      </c>
      <c r="AS40" s="18">
        <v>39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29">
        <v>2</v>
      </c>
      <c r="AZ40" s="18">
        <v>39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204">
        <v>2</v>
      </c>
    </row>
    <row r="41" spans="1:58" ht="14.25" customHeight="1">
      <c r="A41" s="29"/>
      <c r="B41" s="29"/>
      <c r="C41" s="29"/>
      <c r="D41" s="29"/>
      <c r="E41" s="29"/>
      <c r="F41" s="29"/>
      <c r="G41" s="29"/>
      <c r="H41" s="64" t="str">
        <f>AL47</f>
        <v>40 ten</v>
      </c>
      <c r="I41" s="48">
        <v>40</v>
      </c>
      <c r="J41" s="18">
        <v>1</v>
      </c>
      <c r="K41" s="18">
        <v>1</v>
      </c>
      <c r="L41" s="18">
        <v>1</v>
      </c>
      <c r="M41" s="18">
        <v>1</v>
      </c>
      <c r="N41" s="18">
        <v>1</v>
      </c>
      <c r="O41" s="18">
        <v>1</v>
      </c>
      <c r="P41" s="18" t="s">
        <v>582</v>
      </c>
      <c r="Q41" s="18" t="s">
        <v>101</v>
      </c>
      <c r="R41" s="18" t="s">
        <v>222</v>
      </c>
      <c r="S41" s="120" t="s">
        <v>161</v>
      </c>
      <c r="T41" s="120" t="s">
        <v>347</v>
      </c>
      <c r="U41" s="18">
        <v>1</v>
      </c>
      <c r="V41" s="18">
        <v>1</v>
      </c>
      <c r="W41" s="18">
        <v>40</v>
      </c>
      <c r="X41" s="18">
        <v>1</v>
      </c>
      <c r="Y41" s="18">
        <v>1</v>
      </c>
      <c r="Z41" s="18">
        <v>1</v>
      </c>
      <c r="AA41" s="18">
        <v>1</v>
      </c>
      <c r="AB41" s="18">
        <v>1</v>
      </c>
      <c r="AC41" s="18">
        <v>1</v>
      </c>
      <c r="AD41" s="29"/>
      <c r="AE41" s="29"/>
      <c r="AF41" s="29"/>
      <c r="AG41" s="29"/>
      <c r="AH41" s="29"/>
      <c r="AI41" s="29"/>
      <c r="AJ41" s="29"/>
      <c r="AK41" s="29"/>
      <c r="AL41" s="5">
        <v>40</v>
      </c>
      <c r="AM41" s="5">
        <v>1</v>
      </c>
      <c r="AN41" s="5">
        <v>1</v>
      </c>
      <c r="AO41" s="5">
        <v>1</v>
      </c>
      <c r="AP41" s="5">
        <v>1</v>
      </c>
      <c r="AQ41" s="5">
        <v>1</v>
      </c>
      <c r="AR41" s="18">
        <v>1</v>
      </c>
      <c r="AS41" s="18">
        <v>40</v>
      </c>
      <c r="AT41" s="18">
        <v>1</v>
      </c>
      <c r="AU41" s="18">
        <v>1</v>
      </c>
      <c r="AV41" s="18">
        <v>1</v>
      </c>
      <c r="AW41" s="18">
        <v>1</v>
      </c>
      <c r="AX41" s="18">
        <v>1</v>
      </c>
      <c r="AY41" s="29">
        <v>2</v>
      </c>
      <c r="AZ41" s="18">
        <v>40</v>
      </c>
      <c r="BA41" s="18">
        <v>1</v>
      </c>
      <c r="BB41" s="18">
        <v>1</v>
      </c>
      <c r="BC41" s="18">
        <v>1</v>
      </c>
      <c r="BD41" s="18">
        <v>1</v>
      </c>
      <c r="BE41" s="18">
        <v>1</v>
      </c>
      <c r="BF41" s="204">
        <v>2</v>
      </c>
    </row>
    <row r="42" spans="1:58" ht="14.25" customHeight="1">
      <c r="A42" s="29"/>
      <c r="B42" s="29"/>
      <c r="C42" s="29"/>
      <c r="D42" s="29"/>
      <c r="E42" s="29"/>
      <c r="F42" s="29"/>
      <c r="G42" s="29"/>
      <c r="H42" s="64" t="str">
        <f>AS2</f>
        <v>41 eleven</v>
      </c>
      <c r="I42" s="47" t="s">
        <v>816</v>
      </c>
      <c r="J42" s="18" t="s">
        <v>38</v>
      </c>
      <c r="K42" s="18" t="s">
        <v>850</v>
      </c>
      <c r="L42" s="18">
        <v>1</v>
      </c>
      <c r="M42" s="18">
        <v>1</v>
      </c>
      <c r="N42" s="18">
        <v>1</v>
      </c>
      <c r="O42" s="55" t="s">
        <v>1238</v>
      </c>
      <c r="P42" s="17" t="s">
        <v>841</v>
      </c>
      <c r="Q42" s="18" t="s">
        <v>886</v>
      </c>
      <c r="R42" s="18">
        <v>1</v>
      </c>
      <c r="S42" s="18">
        <v>1</v>
      </c>
      <c r="T42" s="18">
        <v>1</v>
      </c>
      <c r="U42" s="18">
        <v>1</v>
      </c>
      <c r="V42" s="114" t="s">
        <v>1236</v>
      </c>
      <c r="W42" s="17" t="s">
        <v>863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55" t="s">
        <v>1252</v>
      </c>
      <c r="AD42" s="29"/>
      <c r="AE42" s="29"/>
      <c r="AF42" s="29"/>
      <c r="AG42" s="29"/>
      <c r="AH42" s="29"/>
      <c r="AI42" s="29"/>
      <c r="AJ42" s="29"/>
      <c r="AK42" s="29"/>
      <c r="AL42" s="73" t="s">
        <v>881</v>
      </c>
      <c r="AM42" s="5">
        <v>1</v>
      </c>
      <c r="AN42" s="5">
        <v>1</v>
      </c>
      <c r="AO42" s="5">
        <v>1</v>
      </c>
      <c r="AP42" s="5">
        <v>1</v>
      </c>
      <c r="AQ42" s="5">
        <v>1</v>
      </c>
      <c r="AR42" s="18">
        <v>1</v>
      </c>
      <c r="AS42" s="17" t="s">
        <v>765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29">
        <v>2</v>
      </c>
      <c r="AZ42" s="17" t="s">
        <v>270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204">
        <v>2</v>
      </c>
    </row>
    <row r="43" spans="1:58" ht="14.25" customHeight="1">
      <c r="A43" s="29"/>
      <c r="B43" s="29"/>
      <c r="C43" s="29"/>
      <c r="D43" s="29"/>
      <c r="E43" s="29"/>
      <c r="F43" s="29"/>
      <c r="G43" s="29"/>
      <c r="H43" s="64" t="str">
        <f>AS7</f>
        <v>42 twelve</v>
      </c>
      <c r="I43" s="48" t="s">
        <v>112</v>
      </c>
      <c r="J43" s="18" t="s">
        <v>90</v>
      </c>
      <c r="K43" s="18">
        <v>1</v>
      </c>
      <c r="L43" s="18">
        <v>1</v>
      </c>
      <c r="M43" s="18">
        <v>1</v>
      </c>
      <c r="N43" s="18">
        <v>1</v>
      </c>
      <c r="O43" s="18">
        <v>1</v>
      </c>
      <c r="P43" s="18" t="s">
        <v>887</v>
      </c>
      <c r="Q43" s="18" t="s">
        <v>888</v>
      </c>
      <c r="R43" s="120" t="s">
        <v>1390</v>
      </c>
      <c r="S43" s="18">
        <v>1</v>
      </c>
      <c r="T43" s="18">
        <v>1</v>
      </c>
      <c r="U43" s="18">
        <v>1</v>
      </c>
      <c r="V43" s="18">
        <v>1</v>
      </c>
      <c r="W43" s="18" t="s">
        <v>192</v>
      </c>
      <c r="X43" s="18" t="s">
        <v>75</v>
      </c>
      <c r="Y43" s="18" t="s">
        <v>776</v>
      </c>
      <c r="Z43" s="18" t="s">
        <v>212</v>
      </c>
      <c r="AA43" s="18" t="s">
        <v>251</v>
      </c>
      <c r="AB43" s="18">
        <v>1</v>
      </c>
      <c r="AC43" s="18">
        <v>1</v>
      </c>
      <c r="AD43" s="29"/>
      <c r="AE43" s="29"/>
      <c r="AF43" s="29"/>
      <c r="AG43" s="29"/>
      <c r="AH43" s="29"/>
      <c r="AI43" s="29"/>
      <c r="AJ43" s="29"/>
      <c r="AK43" s="29"/>
      <c r="AL43" s="5">
        <v>42</v>
      </c>
      <c r="AM43" s="5">
        <v>1</v>
      </c>
      <c r="AN43" s="5">
        <v>1</v>
      </c>
      <c r="AO43" s="5">
        <v>1</v>
      </c>
      <c r="AP43" s="5">
        <v>1</v>
      </c>
      <c r="AQ43" s="5">
        <v>1</v>
      </c>
      <c r="AR43" s="18">
        <v>1</v>
      </c>
      <c r="AS43" s="18">
        <v>42</v>
      </c>
      <c r="AT43" s="18">
        <v>1</v>
      </c>
      <c r="AU43" s="18">
        <v>1</v>
      </c>
      <c r="AV43" s="18">
        <v>1</v>
      </c>
      <c r="AW43" s="18">
        <v>1</v>
      </c>
      <c r="AX43" s="18">
        <v>1</v>
      </c>
      <c r="AY43" s="29">
        <v>2</v>
      </c>
      <c r="AZ43" s="18">
        <v>42</v>
      </c>
      <c r="BA43" s="18">
        <v>1</v>
      </c>
      <c r="BB43" s="18">
        <v>1</v>
      </c>
      <c r="BC43" s="18">
        <v>1</v>
      </c>
      <c r="BD43" s="18">
        <v>1</v>
      </c>
      <c r="BE43" s="18">
        <v>1</v>
      </c>
      <c r="BF43" s="204">
        <v>2</v>
      </c>
    </row>
    <row r="44" spans="1:58" ht="14.25" customHeight="1">
      <c r="A44" s="29"/>
      <c r="B44" s="29"/>
      <c r="C44" s="29"/>
      <c r="D44" s="29"/>
      <c r="E44" s="29"/>
      <c r="F44" s="29"/>
      <c r="G44" s="29"/>
      <c r="H44" s="64" t="str">
        <f>AS12</f>
        <v>43 thirteen</v>
      </c>
      <c r="I44" s="48" t="s">
        <v>158</v>
      </c>
      <c r="J44" s="18" t="s">
        <v>174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 t="s">
        <v>627</v>
      </c>
      <c r="Q44" s="18" t="s">
        <v>889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 t="s">
        <v>338</v>
      </c>
      <c r="X44" s="18" t="s">
        <v>536</v>
      </c>
      <c r="Y44" s="18" t="s">
        <v>890</v>
      </c>
      <c r="Z44" s="18" t="s">
        <v>566</v>
      </c>
      <c r="AA44" s="18">
        <v>1</v>
      </c>
      <c r="AB44" s="18">
        <v>1</v>
      </c>
      <c r="AC44" s="18">
        <v>1</v>
      </c>
      <c r="AD44" s="29"/>
      <c r="AE44" s="29"/>
      <c r="AF44" s="29"/>
      <c r="AG44" s="29"/>
      <c r="AH44" s="29"/>
      <c r="AI44" s="29"/>
      <c r="AJ44" s="29"/>
      <c r="AK44" s="29"/>
      <c r="AL44" s="5">
        <v>43</v>
      </c>
      <c r="AM44" s="5">
        <v>1</v>
      </c>
      <c r="AN44" s="5">
        <v>1</v>
      </c>
      <c r="AO44" s="5">
        <v>1</v>
      </c>
      <c r="AP44" s="5">
        <v>1</v>
      </c>
      <c r="AQ44" s="5">
        <v>1</v>
      </c>
      <c r="AR44" s="18">
        <v>1</v>
      </c>
      <c r="AS44" s="18">
        <v>43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29">
        <v>2</v>
      </c>
      <c r="AZ44" s="18">
        <v>43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204">
        <v>2</v>
      </c>
    </row>
    <row r="45" spans="1:58" ht="14.25" customHeight="1">
      <c r="A45" s="29"/>
      <c r="B45" s="29"/>
      <c r="C45" s="29"/>
      <c r="D45" s="29"/>
      <c r="E45" s="29"/>
      <c r="F45" s="29"/>
      <c r="G45" s="29"/>
      <c r="H45" s="64" t="str">
        <f>AS17</f>
        <v>44 fourteen</v>
      </c>
      <c r="I45" s="48" t="s">
        <v>627</v>
      </c>
      <c r="J45" s="18" t="s">
        <v>891</v>
      </c>
      <c r="K45" s="18">
        <v>1</v>
      </c>
      <c r="L45" s="18">
        <v>1</v>
      </c>
      <c r="M45" s="18">
        <v>1</v>
      </c>
      <c r="N45" s="18">
        <v>1</v>
      </c>
      <c r="O45" s="18">
        <v>1</v>
      </c>
      <c r="P45" s="18">
        <v>44</v>
      </c>
      <c r="Q45" s="18">
        <v>1</v>
      </c>
      <c r="R45" s="18">
        <v>1</v>
      </c>
      <c r="S45" s="18">
        <v>1</v>
      </c>
      <c r="T45" s="18">
        <v>1</v>
      </c>
      <c r="U45" s="18">
        <v>1</v>
      </c>
      <c r="V45" s="18">
        <v>1</v>
      </c>
      <c r="W45" s="18" t="s">
        <v>89</v>
      </c>
      <c r="X45" s="18" t="s">
        <v>163</v>
      </c>
      <c r="Y45" s="18" t="s">
        <v>892</v>
      </c>
      <c r="Z45" s="18">
        <v>1</v>
      </c>
      <c r="AA45" s="18">
        <v>1</v>
      </c>
      <c r="AB45" s="18">
        <v>1</v>
      </c>
      <c r="AC45" s="18">
        <v>1</v>
      </c>
      <c r="AD45" s="29"/>
      <c r="AE45" s="29"/>
      <c r="AF45" s="29"/>
      <c r="AG45" s="29"/>
      <c r="AH45" s="29"/>
      <c r="AI45" s="29"/>
      <c r="AJ45" s="29"/>
      <c r="AK45" s="29"/>
      <c r="AL45" s="5">
        <v>44</v>
      </c>
      <c r="AM45" s="5">
        <v>1</v>
      </c>
      <c r="AN45" s="5">
        <v>1</v>
      </c>
      <c r="AO45" s="5">
        <v>1</v>
      </c>
      <c r="AP45" s="5">
        <v>1</v>
      </c>
      <c r="AQ45" s="5">
        <v>1</v>
      </c>
      <c r="AR45" s="18">
        <v>1</v>
      </c>
      <c r="AS45" s="18">
        <v>44</v>
      </c>
      <c r="AT45" s="18">
        <v>1</v>
      </c>
      <c r="AU45" s="18">
        <v>1</v>
      </c>
      <c r="AV45" s="18">
        <v>1</v>
      </c>
      <c r="AW45" s="18">
        <v>1</v>
      </c>
      <c r="AX45" s="18">
        <v>1</v>
      </c>
      <c r="AY45" s="29">
        <v>2</v>
      </c>
      <c r="AZ45" s="18">
        <v>44</v>
      </c>
      <c r="BA45" s="18">
        <v>1</v>
      </c>
      <c r="BB45" s="18">
        <v>1</v>
      </c>
      <c r="BC45" s="18">
        <v>1</v>
      </c>
      <c r="BD45" s="18">
        <v>1</v>
      </c>
      <c r="BE45" s="18">
        <v>1</v>
      </c>
      <c r="BF45" s="204">
        <v>2</v>
      </c>
    </row>
    <row r="46" spans="1:58" ht="14.25" customHeight="1">
      <c r="A46" s="29"/>
      <c r="B46" s="29"/>
      <c r="C46" s="29"/>
      <c r="D46" s="29"/>
      <c r="E46" s="29"/>
      <c r="F46" s="29"/>
      <c r="G46" s="29"/>
      <c r="H46" s="64" t="str">
        <f>AS22</f>
        <v>45 fifteen</v>
      </c>
      <c r="I46" s="48">
        <v>45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45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 t="s">
        <v>893</v>
      </c>
      <c r="X46" s="18" t="s">
        <v>360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29"/>
      <c r="AE46" s="29"/>
      <c r="AF46" s="29"/>
      <c r="AG46" s="29"/>
      <c r="AH46" s="29"/>
      <c r="AI46" s="29"/>
      <c r="AJ46" s="29"/>
      <c r="AK46" s="29"/>
      <c r="AL46" s="5">
        <v>45</v>
      </c>
      <c r="AM46" s="5">
        <v>1</v>
      </c>
      <c r="AN46" s="5">
        <v>1</v>
      </c>
      <c r="AO46" s="5">
        <v>1</v>
      </c>
      <c r="AP46" s="5">
        <v>1</v>
      </c>
      <c r="AQ46" s="5">
        <v>1</v>
      </c>
      <c r="AR46" s="18">
        <v>1</v>
      </c>
      <c r="AS46" s="18">
        <v>45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29">
        <v>2</v>
      </c>
      <c r="AZ46" s="18">
        <v>45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204">
        <v>2</v>
      </c>
    </row>
    <row r="47" spans="1:58" ht="14.25" customHeight="1">
      <c r="A47" s="29"/>
      <c r="B47" s="29"/>
      <c r="C47" s="29"/>
      <c r="D47" s="29"/>
      <c r="E47" s="29"/>
      <c r="F47" s="29"/>
      <c r="G47" s="29"/>
      <c r="H47" s="64" t="str">
        <f>AS27</f>
        <v>46 sixteen</v>
      </c>
      <c r="I47" s="47" t="s">
        <v>818</v>
      </c>
      <c r="J47" s="18" t="s">
        <v>358</v>
      </c>
      <c r="K47" s="18" t="s">
        <v>89</v>
      </c>
      <c r="L47" s="18" t="s">
        <v>177</v>
      </c>
      <c r="M47" s="18" t="s">
        <v>134</v>
      </c>
      <c r="N47" s="18">
        <v>1</v>
      </c>
      <c r="O47" s="55" t="s">
        <v>1239</v>
      </c>
      <c r="P47" s="17" t="s">
        <v>842</v>
      </c>
      <c r="Q47" s="18" t="s">
        <v>38</v>
      </c>
      <c r="R47" s="120" t="s">
        <v>1396</v>
      </c>
      <c r="S47" s="18">
        <v>1</v>
      </c>
      <c r="T47" s="18">
        <v>1</v>
      </c>
      <c r="U47" s="18">
        <v>1</v>
      </c>
      <c r="V47" s="55" t="s">
        <v>1245</v>
      </c>
      <c r="W47" s="17" t="s">
        <v>864</v>
      </c>
      <c r="X47" s="18" t="s">
        <v>82</v>
      </c>
      <c r="Y47" s="18">
        <v>1</v>
      </c>
      <c r="Z47" s="18">
        <v>1</v>
      </c>
      <c r="AA47" s="18">
        <v>1</v>
      </c>
      <c r="AB47" s="18">
        <v>1</v>
      </c>
      <c r="AC47" s="55" t="s">
        <v>1253</v>
      </c>
      <c r="AD47" s="29"/>
      <c r="AE47" s="29"/>
      <c r="AF47" s="29"/>
      <c r="AG47" s="29"/>
      <c r="AH47" s="29"/>
      <c r="AI47" s="29"/>
      <c r="AJ47" s="29"/>
      <c r="AK47" s="29"/>
      <c r="AL47" s="73" t="s">
        <v>885</v>
      </c>
      <c r="AM47" s="5">
        <v>1</v>
      </c>
      <c r="AN47" s="5">
        <v>1</v>
      </c>
      <c r="AO47" s="5">
        <v>1</v>
      </c>
      <c r="AP47" s="5">
        <v>1</v>
      </c>
      <c r="AQ47" s="5">
        <v>1</v>
      </c>
      <c r="AR47" s="18">
        <v>1</v>
      </c>
      <c r="AS47" s="17" t="s">
        <v>772</v>
      </c>
      <c r="AT47" s="18">
        <v>1</v>
      </c>
      <c r="AU47" s="18">
        <v>1</v>
      </c>
      <c r="AV47" s="18">
        <v>1</v>
      </c>
      <c r="AW47" s="18">
        <v>1</v>
      </c>
      <c r="AX47" s="18">
        <v>1</v>
      </c>
      <c r="AY47" s="29">
        <v>2</v>
      </c>
      <c r="AZ47" s="17" t="s">
        <v>298</v>
      </c>
      <c r="BA47" s="18">
        <v>1</v>
      </c>
      <c r="BB47" s="18">
        <v>1</v>
      </c>
      <c r="BC47" s="18">
        <v>1</v>
      </c>
      <c r="BD47" s="18">
        <v>1</v>
      </c>
      <c r="BE47" s="18">
        <v>1</v>
      </c>
      <c r="BF47" s="204">
        <v>2</v>
      </c>
    </row>
    <row r="48" spans="1:58" ht="14.25" customHeight="1">
      <c r="A48" s="29"/>
      <c r="B48" s="29"/>
      <c r="C48" s="29"/>
      <c r="D48" s="29"/>
      <c r="E48" s="29"/>
      <c r="F48" s="29"/>
      <c r="G48" s="29"/>
      <c r="H48" s="64" t="str">
        <f>AS32</f>
        <v>47 seventeen</v>
      </c>
      <c r="I48" s="48" t="s">
        <v>338</v>
      </c>
      <c r="J48" s="18" t="s">
        <v>242</v>
      </c>
      <c r="K48" s="120" t="s">
        <v>280</v>
      </c>
      <c r="L48" s="120" t="s">
        <v>415</v>
      </c>
      <c r="M48" s="18">
        <v>1</v>
      </c>
      <c r="N48" s="18">
        <v>1</v>
      </c>
      <c r="O48" s="18">
        <v>1</v>
      </c>
      <c r="P48" s="18" t="s">
        <v>333</v>
      </c>
      <c r="Q48" s="18">
        <v>1</v>
      </c>
      <c r="R48" s="18">
        <v>1</v>
      </c>
      <c r="S48" s="18">
        <v>1</v>
      </c>
      <c r="T48" s="18">
        <v>1</v>
      </c>
      <c r="U48" s="18">
        <v>1</v>
      </c>
      <c r="V48" s="18">
        <v>1</v>
      </c>
      <c r="W48" s="18" t="s">
        <v>161</v>
      </c>
      <c r="X48" s="18" t="s">
        <v>394</v>
      </c>
      <c r="Y48" s="18" t="s">
        <v>809</v>
      </c>
      <c r="Z48" s="18">
        <v>1</v>
      </c>
      <c r="AA48" s="18">
        <v>1</v>
      </c>
      <c r="AB48" s="18">
        <v>1</v>
      </c>
      <c r="AC48" s="18">
        <v>1</v>
      </c>
      <c r="AD48" s="29"/>
      <c r="AE48" s="29"/>
      <c r="AF48" s="29"/>
      <c r="AG48" s="29"/>
      <c r="AH48" s="29"/>
      <c r="AI48" s="29"/>
      <c r="AJ48" s="29"/>
      <c r="AK48" s="29"/>
      <c r="AL48" s="5">
        <v>47</v>
      </c>
      <c r="AM48" s="5">
        <v>1</v>
      </c>
      <c r="AN48" s="5">
        <v>1</v>
      </c>
      <c r="AO48" s="5">
        <v>1</v>
      </c>
      <c r="AP48" s="5">
        <v>1</v>
      </c>
      <c r="AQ48" s="5">
        <v>1</v>
      </c>
      <c r="AR48" s="18">
        <v>1</v>
      </c>
      <c r="AS48" s="18">
        <v>47</v>
      </c>
      <c r="AT48" s="18">
        <v>1</v>
      </c>
      <c r="AU48" s="18">
        <v>1</v>
      </c>
      <c r="AV48" s="18">
        <v>1</v>
      </c>
      <c r="AW48" s="18">
        <v>1</v>
      </c>
      <c r="AX48" s="18">
        <v>1</v>
      </c>
      <c r="AY48" s="29">
        <v>2</v>
      </c>
      <c r="AZ48" s="18">
        <v>47</v>
      </c>
      <c r="BA48" s="18">
        <v>1</v>
      </c>
      <c r="BB48" s="18">
        <v>1</v>
      </c>
      <c r="BC48" s="18">
        <v>1</v>
      </c>
      <c r="BD48" s="18">
        <v>1</v>
      </c>
      <c r="BE48" s="18">
        <v>1</v>
      </c>
      <c r="BF48" s="204">
        <v>2</v>
      </c>
    </row>
    <row r="49" spans="1:58" ht="14.25" customHeight="1">
      <c r="A49" s="29"/>
      <c r="B49" s="29"/>
      <c r="C49" s="29"/>
      <c r="D49" s="29"/>
      <c r="E49" s="29"/>
      <c r="F49" s="29"/>
      <c r="G49" s="29"/>
      <c r="H49" s="64" t="str">
        <f>AS37</f>
        <v>48 eighteen</v>
      </c>
      <c r="I49" s="48">
        <v>48</v>
      </c>
      <c r="J49" s="18" t="s">
        <v>894</v>
      </c>
      <c r="K49" s="18" t="s">
        <v>895</v>
      </c>
      <c r="L49" s="18" t="s">
        <v>896</v>
      </c>
      <c r="M49" s="18">
        <v>1</v>
      </c>
      <c r="N49" s="18">
        <v>1</v>
      </c>
      <c r="O49" s="18">
        <v>1</v>
      </c>
      <c r="P49" s="120" t="s">
        <v>1395</v>
      </c>
      <c r="Q49" s="18">
        <v>1</v>
      </c>
      <c r="R49" s="18">
        <v>1</v>
      </c>
      <c r="S49" s="18">
        <v>1</v>
      </c>
      <c r="T49" s="18">
        <v>1</v>
      </c>
      <c r="U49" s="18">
        <v>1</v>
      </c>
      <c r="V49" s="18">
        <v>1</v>
      </c>
      <c r="W49" s="18" t="s">
        <v>55</v>
      </c>
      <c r="X49" s="18" t="s">
        <v>897</v>
      </c>
      <c r="Y49" s="18">
        <v>1</v>
      </c>
      <c r="Z49" s="18">
        <v>1</v>
      </c>
      <c r="AA49" s="18">
        <v>1</v>
      </c>
      <c r="AB49" s="18">
        <v>1</v>
      </c>
      <c r="AC49" s="18">
        <v>1</v>
      </c>
      <c r="AD49" s="29"/>
      <c r="AE49" s="29"/>
      <c r="AF49" s="29"/>
      <c r="AG49" s="29"/>
      <c r="AH49" s="29"/>
      <c r="AI49" s="29"/>
      <c r="AJ49" s="29"/>
      <c r="AK49" s="29"/>
      <c r="AL49" s="5">
        <v>48</v>
      </c>
      <c r="AM49" s="5">
        <v>1</v>
      </c>
      <c r="AN49" s="5">
        <v>1</v>
      </c>
      <c r="AO49" s="5">
        <v>1</v>
      </c>
      <c r="AP49" s="5">
        <v>1</v>
      </c>
      <c r="AQ49" s="5">
        <v>1</v>
      </c>
      <c r="AR49" s="18">
        <v>1</v>
      </c>
      <c r="AS49" s="18">
        <v>48</v>
      </c>
      <c r="AT49" s="18">
        <v>1</v>
      </c>
      <c r="AU49" s="18">
        <v>1</v>
      </c>
      <c r="AV49" s="18">
        <v>1</v>
      </c>
      <c r="AW49" s="18">
        <v>1</v>
      </c>
      <c r="AX49" s="18">
        <v>1</v>
      </c>
      <c r="AY49" s="29">
        <v>2</v>
      </c>
      <c r="AZ49" s="18">
        <v>48</v>
      </c>
      <c r="BA49" s="18">
        <v>1</v>
      </c>
      <c r="BB49" s="18">
        <v>1</v>
      </c>
      <c r="BC49" s="18">
        <v>1</v>
      </c>
      <c r="BD49" s="18">
        <v>1</v>
      </c>
      <c r="BE49" s="18">
        <v>1</v>
      </c>
      <c r="BF49" s="204">
        <v>2</v>
      </c>
    </row>
    <row r="50" spans="1:58" ht="14.25" customHeight="1">
      <c r="A50" s="29"/>
      <c r="B50" s="29"/>
      <c r="C50" s="29"/>
      <c r="D50" s="29"/>
      <c r="E50" s="29"/>
      <c r="F50" s="29"/>
      <c r="G50" s="29"/>
      <c r="H50" s="64" t="str">
        <f>AS42</f>
        <v>49 niunteen</v>
      </c>
      <c r="I50" s="48" t="s">
        <v>450</v>
      </c>
      <c r="J50" s="18" t="s">
        <v>107</v>
      </c>
      <c r="K50" s="18">
        <v>1</v>
      </c>
      <c r="L50" s="18">
        <v>1</v>
      </c>
      <c r="M50" s="18">
        <v>1</v>
      </c>
      <c r="N50" s="18">
        <v>1</v>
      </c>
      <c r="O50" s="18">
        <v>1</v>
      </c>
      <c r="P50" s="18" t="s">
        <v>898</v>
      </c>
      <c r="Q50" s="18">
        <v>1</v>
      </c>
      <c r="R50" s="18">
        <v>1</v>
      </c>
      <c r="S50" s="18">
        <v>1</v>
      </c>
      <c r="T50" s="18">
        <v>1</v>
      </c>
      <c r="U50" s="18">
        <v>1</v>
      </c>
      <c r="V50" s="18">
        <v>1</v>
      </c>
      <c r="W50" s="18">
        <v>49</v>
      </c>
      <c r="X50" s="18">
        <v>1</v>
      </c>
      <c r="Y50" s="18">
        <v>1</v>
      </c>
      <c r="Z50" s="18">
        <v>1</v>
      </c>
      <c r="AA50" s="18">
        <v>1</v>
      </c>
      <c r="AB50" s="18">
        <v>1</v>
      </c>
      <c r="AC50" s="18">
        <v>1</v>
      </c>
      <c r="AD50" s="29"/>
      <c r="AE50" s="29"/>
      <c r="AF50" s="29"/>
      <c r="AG50" s="29"/>
      <c r="AH50" s="29"/>
      <c r="AI50" s="29"/>
      <c r="AJ50" s="29"/>
      <c r="AK50" s="29"/>
      <c r="AL50" s="5">
        <v>49</v>
      </c>
      <c r="AM50" s="5">
        <v>1</v>
      </c>
      <c r="AN50" s="5">
        <v>1</v>
      </c>
      <c r="AO50" s="5">
        <v>1</v>
      </c>
      <c r="AP50" s="5">
        <v>1</v>
      </c>
      <c r="AQ50" s="5">
        <v>1</v>
      </c>
      <c r="AR50" s="18">
        <v>1</v>
      </c>
      <c r="AS50" s="18">
        <v>49</v>
      </c>
      <c r="AT50" s="18">
        <v>1</v>
      </c>
      <c r="AU50" s="18">
        <v>1</v>
      </c>
      <c r="AV50" s="18">
        <v>1</v>
      </c>
      <c r="AW50" s="18">
        <v>1</v>
      </c>
      <c r="AX50" s="18">
        <v>1</v>
      </c>
      <c r="AY50" s="29">
        <v>2</v>
      </c>
      <c r="AZ50" s="18">
        <v>49</v>
      </c>
      <c r="BA50" s="18">
        <v>1</v>
      </c>
      <c r="BB50" s="18">
        <v>1</v>
      </c>
      <c r="BC50" s="18">
        <v>1</v>
      </c>
      <c r="BD50" s="18">
        <v>1</v>
      </c>
      <c r="BE50" s="18">
        <v>1</v>
      </c>
      <c r="BF50" s="204">
        <v>2</v>
      </c>
    </row>
    <row r="51" spans="1:58" ht="14.25" customHeight="1">
      <c r="A51" s="29"/>
      <c r="B51" s="29"/>
      <c r="C51" s="29"/>
      <c r="D51" s="29"/>
      <c r="E51" s="29"/>
      <c r="F51" s="29"/>
      <c r="G51" s="29"/>
      <c r="H51" s="64" t="str">
        <f>AS47</f>
        <v>50 twenty</v>
      </c>
      <c r="I51" s="48">
        <v>50</v>
      </c>
      <c r="J51" s="120" t="s">
        <v>633</v>
      </c>
      <c r="K51" s="120" t="s">
        <v>635</v>
      </c>
      <c r="L51" s="18">
        <v>1</v>
      </c>
      <c r="M51" s="18">
        <v>1</v>
      </c>
      <c r="N51" s="18">
        <v>1</v>
      </c>
      <c r="O51" s="18">
        <v>1</v>
      </c>
      <c r="P51" s="18">
        <v>50</v>
      </c>
      <c r="Q51" s="18">
        <v>1</v>
      </c>
      <c r="R51" s="18">
        <v>1</v>
      </c>
      <c r="S51" s="18">
        <v>1</v>
      </c>
      <c r="T51" s="18">
        <v>1</v>
      </c>
      <c r="U51" s="18">
        <v>1</v>
      </c>
      <c r="V51" s="18">
        <v>1</v>
      </c>
      <c r="W51" s="18">
        <v>50</v>
      </c>
      <c r="X51" s="18">
        <v>1</v>
      </c>
      <c r="Y51" s="18">
        <v>1</v>
      </c>
      <c r="Z51" s="18">
        <v>1</v>
      </c>
      <c r="AA51" s="18">
        <v>1</v>
      </c>
      <c r="AB51" s="18">
        <v>1</v>
      </c>
      <c r="AC51" s="18">
        <v>1</v>
      </c>
      <c r="AD51" s="29"/>
      <c r="AE51" s="29"/>
      <c r="AF51" s="29"/>
      <c r="AG51" s="29"/>
      <c r="AH51" s="29"/>
      <c r="AI51" s="29"/>
      <c r="AJ51" s="29"/>
      <c r="AK51" s="29"/>
      <c r="AL51" s="5">
        <v>50</v>
      </c>
      <c r="AM51" s="5">
        <v>1</v>
      </c>
      <c r="AN51" s="5">
        <v>1</v>
      </c>
      <c r="AO51" s="5">
        <v>1</v>
      </c>
      <c r="AP51" s="5">
        <v>1</v>
      </c>
      <c r="AQ51" s="5">
        <v>1</v>
      </c>
      <c r="AR51" s="18">
        <v>1</v>
      </c>
      <c r="AS51" s="18">
        <v>50</v>
      </c>
      <c r="AT51" s="18">
        <v>1</v>
      </c>
      <c r="AU51" s="18">
        <v>1</v>
      </c>
      <c r="AV51" s="18">
        <v>1</v>
      </c>
      <c r="AW51" s="18">
        <v>1</v>
      </c>
      <c r="AX51" s="18">
        <v>1</v>
      </c>
      <c r="AY51" s="29">
        <v>2</v>
      </c>
      <c r="AZ51" s="18">
        <v>50</v>
      </c>
      <c r="BA51" s="18">
        <v>1</v>
      </c>
      <c r="BB51" s="18">
        <v>1</v>
      </c>
      <c r="BC51" s="18">
        <v>1</v>
      </c>
      <c r="BD51" s="18">
        <v>1</v>
      </c>
      <c r="BE51" s="18">
        <v>1</v>
      </c>
      <c r="BF51" s="204">
        <v>2</v>
      </c>
    </row>
    <row r="52" spans="1:58" ht="14.25" customHeight="1">
      <c r="A52" s="29"/>
      <c r="B52" s="29"/>
      <c r="C52" s="29"/>
      <c r="D52" s="29"/>
      <c r="E52" s="29"/>
      <c r="F52" s="29"/>
      <c r="G52" s="29"/>
      <c r="H52" s="64" t="str">
        <f>AZ2</f>
        <v>51 sona</v>
      </c>
      <c r="I52" s="29"/>
      <c r="J52" s="29"/>
      <c r="K52" s="29"/>
      <c r="L52" s="29"/>
      <c r="M52" s="29"/>
      <c r="N52" s="29"/>
      <c r="O52" s="55"/>
      <c r="P52" s="29"/>
      <c r="Q52" s="29"/>
      <c r="R52" s="29"/>
      <c r="S52" s="29"/>
      <c r="T52" s="29"/>
      <c r="U52" s="29"/>
      <c r="V52" s="55"/>
      <c r="W52" s="29"/>
      <c r="X52" s="29"/>
      <c r="Y52" s="29"/>
      <c r="Z52" s="29"/>
      <c r="AA52" s="29"/>
      <c r="AB52" s="29"/>
      <c r="AC52" s="55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55"/>
      <c r="AS52" s="29"/>
      <c r="AT52" s="29"/>
      <c r="AU52" s="29"/>
      <c r="AV52" s="29"/>
      <c r="AW52" s="29"/>
      <c r="AX52" s="29"/>
      <c r="AY52" s="29"/>
      <c r="AZ52" s="29"/>
      <c r="BA52" s="29"/>
      <c r="BB52" s="29"/>
      <c r="BC52" s="29"/>
      <c r="BD52" s="29"/>
      <c r="BE52" s="29"/>
    </row>
    <row r="53" spans="1:58" ht="14.25" customHeight="1">
      <c r="A53" s="29"/>
      <c r="B53" s="29"/>
      <c r="C53" s="29"/>
      <c r="D53" s="29"/>
      <c r="E53" s="29"/>
      <c r="F53" s="29"/>
      <c r="G53" s="29"/>
      <c r="H53" s="64" t="str">
        <f>AZ7</f>
        <v>52 twenty 2</v>
      </c>
      <c r="I53" s="29"/>
      <c r="J53" s="29"/>
      <c r="K53" s="29"/>
      <c r="L53" s="29"/>
      <c r="M53" s="29"/>
      <c r="N53" s="29"/>
      <c r="O53" s="55"/>
      <c r="P53" s="29"/>
      <c r="Q53" s="29"/>
      <c r="R53" s="29"/>
      <c r="S53" s="29"/>
      <c r="T53" s="29"/>
      <c r="U53" s="29"/>
      <c r="V53" s="55"/>
      <c r="W53" s="29"/>
      <c r="X53" s="29"/>
      <c r="Y53" s="29"/>
      <c r="Z53" s="29"/>
      <c r="AA53" s="29"/>
      <c r="AB53" s="29"/>
      <c r="AC53" s="55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55"/>
      <c r="AS53" s="29"/>
      <c r="AT53" s="29"/>
      <c r="AU53" s="29"/>
      <c r="AV53" s="29"/>
      <c r="AW53" s="29"/>
      <c r="AX53" s="29"/>
      <c r="AY53" s="29"/>
      <c r="AZ53" s="29"/>
      <c r="BA53" s="29"/>
      <c r="BB53" s="29"/>
      <c r="BC53" s="29"/>
      <c r="BD53" s="29"/>
      <c r="BE53" s="29"/>
    </row>
    <row r="54" spans="1:58" ht="14.25" customHeight="1">
      <c r="A54" s="29"/>
      <c r="B54" s="29"/>
      <c r="C54" s="29"/>
      <c r="D54" s="29"/>
      <c r="E54" s="29"/>
      <c r="F54" s="29"/>
      <c r="G54" s="29"/>
      <c r="H54" s="64" t="str">
        <f>AZ12</f>
        <v>53 twenty 3</v>
      </c>
      <c r="I54" s="29"/>
      <c r="J54" s="29"/>
      <c r="K54" s="29"/>
      <c r="L54" s="29"/>
      <c r="M54" s="29"/>
      <c r="N54" s="29"/>
      <c r="O54" s="55"/>
      <c r="P54" s="29"/>
      <c r="Q54" s="29"/>
      <c r="R54" s="29"/>
      <c r="S54" s="29"/>
      <c r="T54" s="29"/>
      <c r="U54" s="29"/>
      <c r="V54" s="55"/>
      <c r="W54" s="29"/>
      <c r="X54" s="29"/>
      <c r="Y54" s="29"/>
      <c r="Z54" s="29"/>
      <c r="AA54" s="29"/>
      <c r="AB54" s="29"/>
      <c r="AC54" s="55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55"/>
      <c r="AS54" s="29"/>
      <c r="AT54" s="29"/>
      <c r="AU54" s="29"/>
      <c r="AV54" s="29"/>
      <c r="AW54" s="29"/>
      <c r="AX54" s="29"/>
      <c r="AY54" s="29"/>
      <c r="AZ54" s="29"/>
      <c r="BA54" s="29"/>
      <c r="BB54" s="29"/>
      <c r="BC54" s="29"/>
      <c r="BD54" s="29"/>
      <c r="BE54" s="29"/>
    </row>
    <row r="55" spans="1:58" ht="14.25" customHeight="1">
      <c r="A55" s="29"/>
      <c r="B55" s="29"/>
      <c r="C55" s="29"/>
      <c r="D55" s="29"/>
      <c r="E55" s="29"/>
      <c r="F55" s="29"/>
      <c r="G55" s="29"/>
      <c r="H55" s="64" t="str">
        <f>AZ17</f>
        <v>54 twenty 4</v>
      </c>
      <c r="I55" s="29"/>
      <c r="J55" s="29"/>
      <c r="K55" s="29"/>
      <c r="L55" s="29"/>
      <c r="M55" s="29"/>
      <c r="N55" s="29"/>
      <c r="O55" s="55"/>
      <c r="P55" s="29"/>
      <c r="Q55" s="29"/>
      <c r="R55" s="29"/>
      <c r="S55" s="29"/>
      <c r="T55" s="29"/>
      <c r="U55" s="29"/>
      <c r="V55" s="55"/>
      <c r="W55" s="29"/>
      <c r="X55" s="29"/>
      <c r="Y55" s="29"/>
      <c r="Z55" s="29"/>
      <c r="AA55" s="29"/>
      <c r="AB55" s="29"/>
      <c r="AC55" s="55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55"/>
      <c r="AS55" s="29"/>
      <c r="AT55" s="29"/>
      <c r="AU55" s="29"/>
      <c r="AV55" s="29"/>
      <c r="AW55" s="29"/>
      <c r="AX55" s="29"/>
      <c r="AY55" s="29"/>
      <c r="AZ55" s="29"/>
      <c r="BA55" s="29"/>
      <c r="BB55" s="29"/>
      <c r="BC55" s="29"/>
      <c r="BD55" s="29"/>
      <c r="BE55" s="29"/>
    </row>
    <row r="56" spans="1:58" ht="14.25" customHeight="1">
      <c r="A56" s="29"/>
      <c r="B56" s="29"/>
      <c r="C56" s="29"/>
      <c r="D56" s="29"/>
      <c r="E56" s="29"/>
      <c r="F56" s="29"/>
      <c r="G56" s="29"/>
      <c r="H56" s="64" t="str">
        <f>AZ22</f>
        <v>55 twenty 5</v>
      </c>
      <c r="I56" s="29"/>
      <c r="J56" s="29"/>
      <c r="K56" s="29"/>
      <c r="L56" s="29"/>
      <c r="M56" s="29"/>
      <c r="N56" s="29"/>
      <c r="O56" s="55"/>
      <c r="P56" s="29"/>
      <c r="Q56" s="29"/>
      <c r="R56" s="29"/>
      <c r="S56" s="29"/>
      <c r="T56" s="29"/>
      <c r="U56" s="29"/>
      <c r="V56" s="55"/>
      <c r="W56" s="29"/>
      <c r="X56" s="29"/>
      <c r="Y56" s="29"/>
      <c r="Z56" s="29"/>
      <c r="AA56" s="29"/>
      <c r="AB56" s="29"/>
      <c r="AC56" s="55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55"/>
      <c r="AS56" s="29"/>
      <c r="AT56" s="29"/>
      <c r="AU56" s="29"/>
      <c r="AV56" s="29"/>
      <c r="AW56" s="29"/>
      <c r="AX56" s="29"/>
      <c r="AY56" s="29"/>
      <c r="AZ56" s="29"/>
      <c r="BA56" s="29"/>
      <c r="BB56" s="29"/>
      <c r="BC56" s="29"/>
      <c r="BD56" s="29"/>
      <c r="BE56" s="29"/>
    </row>
    <row r="57" spans="1:58" ht="14.25" customHeight="1">
      <c r="A57" s="29"/>
      <c r="B57" s="29"/>
      <c r="C57" s="29"/>
      <c r="D57" s="29"/>
      <c r="E57" s="29"/>
      <c r="F57" s="29"/>
      <c r="G57" s="29"/>
      <c r="H57" s="64" t="str">
        <f>AZ27</f>
        <v>56 twenty 6</v>
      </c>
      <c r="I57" s="29"/>
      <c r="J57" s="29"/>
      <c r="K57" s="29"/>
      <c r="L57" s="29"/>
      <c r="M57" s="29"/>
      <c r="N57" s="29"/>
      <c r="O57" s="55"/>
      <c r="P57" s="29"/>
      <c r="Q57" s="29"/>
      <c r="R57" s="29"/>
      <c r="S57" s="29"/>
      <c r="T57" s="29"/>
      <c r="U57" s="29"/>
      <c r="V57" s="55"/>
      <c r="W57" s="29"/>
      <c r="X57" s="29"/>
      <c r="Y57" s="29"/>
      <c r="Z57" s="29"/>
      <c r="AA57" s="29"/>
      <c r="AB57" s="29"/>
      <c r="AC57" s="55"/>
      <c r="AD57" s="29"/>
      <c r="AE57" s="29" t="str">
        <f>IF($AE$1=$H$32,AL2,IF($AE$1=$H$33,AL7,IF($AE$1=$H$34,AL12,IF($AE$1=$H$35,AL17,IF($AE$1=$H$36,AL22,IF($AE$1=$H$37,AL27,IF($AE$1=$H$38,AL32,IF($AE$1=$H$39,AL37,IF($AE$1=$H$40,AL42,IF($AE$1=$H$41,AL47,IF($AE$1=$H$42,AS2,IF($AE$1=$H$43,AS7,IF($AE$1=$H$44,AS12,IF($AE$1=$H$45,AS17,IF($AE$1=$H$46,AS22,IF($AE$1=$H$47,AS27,IF($AE$1=$H$48,AS32,IF($AE$1=$H$49,AS37,IF($AE$1=$H$50,AS42,IF($AE$1=$H$51,AS47,IF($AE$1=$H$52,AS52,IF($AE$1=$H$52,AZ2,IF($AE$1=$H$53,AZ7,IF($AE$1=$H$54,AZ12,IF($AE$1=$H$55,AZ17,IF($AE$1=$H$56,AZ22,IF($AE$1=$H$57,AZ27,IF($AE$1=$H$58,AZ32,IF($AE$1=$H$59,AZ37,IF($AE$1=$H$60,AZ42,IF($AE$1=$H$61,AZ47)))))))))))))))))))))))))))))))</f>
        <v>31 ਮੋਤੀ ਰਾਮ</v>
      </c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55"/>
      <c r="AS57" s="29"/>
      <c r="AT57" s="29"/>
      <c r="AU57" s="29"/>
      <c r="AV57" s="29"/>
      <c r="AW57" s="29"/>
      <c r="AX57" s="29"/>
      <c r="AY57" s="29"/>
      <c r="AZ57" s="29"/>
      <c r="BA57" s="29"/>
      <c r="BB57" s="29"/>
      <c r="BC57" s="29"/>
      <c r="BD57" s="29"/>
      <c r="BE57" s="29"/>
    </row>
    <row r="58" spans="1:58" ht="14.25" customHeight="1">
      <c r="A58" s="29"/>
      <c r="B58" s="29"/>
      <c r="C58" s="29"/>
      <c r="D58" s="29"/>
      <c r="E58" s="29"/>
      <c r="F58" s="29"/>
      <c r="G58" s="29"/>
      <c r="H58" s="64" t="str">
        <f>AZ32</f>
        <v>57 twenty 7</v>
      </c>
      <c r="I58" s="29"/>
      <c r="J58" s="29"/>
      <c r="K58" s="29"/>
      <c r="L58" s="29"/>
      <c r="M58" s="29"/>
      <c r="N58" s="29"/>
      <c r="O58" s="55"/>
      <c r="P58" s="29"/>
      <c r="Q58" s="29"/>
      <c r="R58" s="29"/>
      <c r="S58" s="29"/>
      <c r="T58" s="29"/>
      <c r="U58" s="29"/>
      <c r="V58" s="55"/>
      <c r="W58" s="29"/>
      <c r="X58" s="29"/>
      <c r="Y58" s="29"/>
      <c r="Z58" s="29"/>
      <c r="AA58" s="29"/>
      <c r="AB58" s="29"/>
      <c r="AC58" s="55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55"/>
      <c r="AS58" s="29"/>
      <c r="AT58" s="29"/>
      <c r="AU58" s="29"/>
      <c r="AV58" s="29"/>
      <c r="AW58" s="29"/>
      <c r="AX58" s="29"/>
      <c r="AY58" s="29"/>
      <c r="AZ58" s="29"/>
      <c r="BA58" s="29"/>
      <c r="BB58" s="29"/>
      <c r="BC58" s="29"/>
      <c r="BD58" s="29"/>
      <c r="BE58" s="29"/>
    </row>
    <row r="59" spans="1:58" ht="14.25" customHeight="1">
      <c r="A59" s="29"/>
      <c r="B59" s="29"/>
      <c r="C59" s="29"/>
      <c r="D59" s="29"/>
      <c r="E59" s="29"/>
      <c r="F59" s="29"/>
      <c r="G59" s="29"/>
      <c r="H59" s="64" t="str">
        <f>AZ37</f>
        <v>58 twenty 8</v>
      </c>
      <c r="I59" s="29"/>
      <c r="J59" s="29"/>
      <c r="K59" s="29"/>
      <c r="L59" s="29"/>
      <c r="M59" s="29"/>
      <c r="N59" s="29"/>
      <c r="O59" s="55"/>
      <c r="P59" s="29"/>
      <c r="Q59" s="29"/>
      <c r="R59" s="29"/>
      <c r="S59" s="29"/>
      <c r="T59" s="29"/>
      <c r="U59" s="29"/>
      <c r="V59" s="55"/>
      <c r="W59" s="29"/>
      <c r="X59" s="29"/>
      <c r="Y59" s="29"/>
      <c r="Z59" s="29"/>
      <c r="AA59" s="29"/>
      <c r="AB59" s="29"/>
      <c r="AC59" s="55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55"/>
      <c r="AS59" s="29"/>
      <c r="AT59" s="29"/>
      <c r="AU59" s="29"/>
      <c r="AV59" s="29"/>
      <c r="AW59" s="29"/>
      <c r="AX59" s="29"/>
      <c r="AY59" s="29"/>
      <c r="AZ59" s="29"/>
      <c r="BA59" s="29"/>
      <c r="BB59" s="29"/>
      <c r="BC59" s="29"/>
      <c r="BD59" s="29"/>
      <c r="BE59" s="29"/>
    </row>
    <row r="60" spans="1:58" ht="14.25" customHeight="1">
      <c r="A60" s="29"/>
      <c r="B60" s="29"/>
      <c r="C60" s="29"/>
      <c r="D60" s="29"/>
      <c r="E60" s="29"/>
      <c r="F60" s="29"/>
      <c r="G60" s="29"/>
      <c r="H60" s="64" t="str">
        <f>AZ42</f>
        <v>59 twnety 9</v>
      </c>
      <c r="I60" s="29"/>
      <c r="J60" s="29"/>
      <c r="K60" s="29"/>
      <c r="L60" s="29"/>
      <c r="M60" s="29"/>
      <c r="N60" s="29"/>
      <c r="O60" s="55"/>
      <c r="P60" s="29"/>
      <c r="Q60" s="29"/>
      <c r="R60" s="29"/>
      <c r="S60" s="29"/>
      <c r="T60" s="29"/>
      <c r="U60" s="29"/>
      <c r="V60" s="55"/>
      <c r="W60" s="29"/>
      <c r="X60" s="29"/>
      <c r="Y60" s="29"/>
      <c r="Z60" s="29"/>
      <c r="AA60" s="29"/>
      <c r="AB60" s="29"/>
      <c r="AC60" s="55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55"/>
      <c r="AS60" s="29"/>
      <c r="AT60" s="29"/>
      <c r="AU60" s="29"/>
      <c r="AV60" s="29"/>
      <c r="AW60" s="29"/>
      <c r="AX60" s="29"/>
      <c r="AY60" s="29"/>
      <c r="AZ60" s="29"/>
      <c r="BA60" s="29"/>
      <c r="BB60" s="29"/>
      <c r="BC60" s="29"/>
      <c r="BD60" s="29"/>
      <c r="BE60" s="29"/>
    </row>
    <row r="61" spans="1:58" ht="14.25" customHeight="1">
      <c r="A61" s="29"/>
      <c r="B61" s="29"/>
      <c r="C61" s="29"/>
      <c r="D61" s="29"/>
      <c r="E61" s="29"/>
      <c r="F61" s="29"/>
      <c r="G61" s="29"/>
      <c r="H61" s="64" t="str">
        <f>AZ47</f>
        <v>60 thirty</v>
      </c>
      <c r="I61" s="29"/>
      <c r="J61" s="29"/>
      <c r="K61" s="29"/>
      <c r="L61" s="29"/>
      <c r="M61" s="29"/>
      <c r="N61" s="29"/>
      <c r="O61" s="55"/>
      <c r="P61" s="29"/>
      <c r="Q61" s="29"/>
      <c r="R61" s="29"/>
      <c r="S61" s="29"/>
      <c r="T61" s="29"/>
      <c r="U61" s="29"/>
      <c r="V61" s="55"/>
      <c r="W61" s="29"/>
      <c r="X61" s="29"/>
      <c r="Y61" s="29"/>
      <c r="Z61" s="29"/>
      <c r="AA61" s="29"/>
      <c r="AB61" s="29"/>
      <c r="AC61" s="55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55"/>
      <c r="AS61" s="29"/>
      <c r="AT61" s="29"/>
      <c r="AU61" s="29"/>
      <c r="AV61" s="29"/>
      <c r="AW61" s="29"/>
      <c r="AX61" s="29"/>
      <c r="AY61" s="29"/>
      <c r="AZ61" s="29"/>
      <c r="BA61" s="29"/>
      <c r="BB61" s="29"/>
      <c r="BC61" s="29"/>
      <c r="BD61" s="29"/>
      <c r="BE61" s="29"/>
    </row>
    <row r="62" spans="1:58" ht="14.25" customHeight="1">
      <c r="A62" s="29"/>
      <c r="B62" s="29"/>
      <c r="C62" s="29"/>
      <c r="D62" s="29"/>
      <c r="E62" s="29"/>
      <c r="F62" s="29"/>
      <c r="G62" s="29"/>
      <c r="H62" s="61"/>
      <c r="I62" s="29"/>
      <c r="J62" s="29"/>
      <c r="K62" s="29"/>
      <c r="L62" s="29"/>
      <c r="M62" s="29"/>
      <c r="N62" s="29"/>
      <c r="O62" s="55"/>
      <c r="P62" s="29"/>
      <c r="Q62" s="29"/>
      <c r="R62" s="29"/>
      <c r="S62" s="29"/>
      <c r="T62" s="29"/>
      <c r="U62" s="29"/>
      <c r="V62" s="55"/>
      <c r="W62" s="29"/>
      <c r="X62" s="29"/>
      <c r="Y62" s="29"/>
      <c r="Z62" s="29"/>
      <c r="AA62" s="29"/>
      <c r="AB62" s="29"/>
      <c r="AC62" s="55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55"/>
      <c r="AS62" s="29"/>
      <c r="AT62" s="29"/>
      <c r="AU62" s="29"/>
      <c r="AV62" s="29"/>
      <c r="AW62" s="29"/>
      <c r="AX62" s="29"/>
      <c r="AY62" s="29"/>
      <c r="AZ62" s="29"/>
      <c r="BA62" s="29"/>
      <c r="BB62" s="29"/>
      <c r="BC62" s="29"/>
      <c r="BD62" s="29"/>
      <c r="BE62" s="29"/>
    </row>
    <row r="63" spans="1:58" ht="14.25" customHeight="1">
      <c r="A63" s="29"/>
      <c r="B63" s="29"/>
      <c r="C63" s="29"/>
      <c r="D63" s="29"/>
      <c r="E63" s="29"/>
      <c r="F63" s="29"/>
      <c r="G63" s="29"/>
      <c r="H63" s="61"/>
      <c r="I63" s="29"/>
      <c r="J63" s="29"/>
      <c r="K63" s="29"/>
      <c r="L63" s="29"/>
      <c r="M63" s="29"/>
      <c r="N63" s="29"/>
      <c r="O63" s="55"/>
      <c r="P63" s="29"/>
      <c r="Q63" s="29"/>
      <c r="R63" s="29"/>
      <c r="S63" s="29"/>
      <c r="T63" s="29"/>
      <c r="U63" s="29"/>
      <c r="V63" s="55"/>
      <c r="W63" s="29"/>
      <c r="X63" s="29"/>
      <c r="Y63" s="29"/>
      <c r="Z63" s="29"/>
      <c r="AA63" s="29"/>
      <c r="AB63" s="29"/>
      <c r="AC63" s="55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55"/>
      <c r="AS63" s="29"/>
      <c r="AT63" s="29"/>
      <c r="AU63" s="29"/>
      <c r="AV63" s="29"/>
      <c r="AW63" s="29"/>
      <c r="AX63" s="29"/>
      <c r="AY63" s="29"/>
      <c r="AZ63" s="29"/>
      <c r="BA63" s="29"/>
      <c r="BB63" s="29"/>
      <c r="BC63" s="29"/>
      <c r="BD63" s="29"/>
      <c r="BE63" s="29"/>
    </row>
    <row r="64" spans="1:58" ht="14.25" customHeight="1">
      <c r="A64" s="29"/>
      <c r="B64" s="29"/>
      <c r="C64" s="29"/>
      <c r="D64" s="29"/>
      <c r="E64" s="29"/>
      <c r="F64" s="29"/>
      <c r="G64" s="29"/>
      <c r="H64" s="61"/>
      <c r="I64" s="29"/>
      <c r="J64" s="29"/>
      <c r="K64" s="29"/>
      <c r="L64" s="29"/>
      <c r="M64" s="29"/>
      <c r="N64" s="29"/>
      <c r="O64" s="55"/>
      <c r="P64" s="29"/>
      <c r="Q64" s="29"/>
      <c r="R64" s="29"/>
      <c r="S64" s="29"/>
      <c r="T64" s="29"/>
      <c r="U64" s="29"/>
      <c r="V64" s="55"/>
      <c r="W64" s="29"/>
      <c r="X64" s="29"/>
      <c r="Y64" s="29"/>
      <c r="Z64" s="29"/>
      <c r="AA64" s="29"/>
      <c r="AB64" s="29"/>
      <c r="AC64" s="55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55"/>
      <c r="AS64" s="29"/>
      <c r="AT64" s="29"/>
      <c r="AU64" s="29"/>
      <c r="AV64" s="29"/>
      <c r="AW64" s="29"/>
      <c r="AX64" s="29"/>
      <c r="AY64" s="29"/>
      <c r="AZ64" s="29"/>
      <c r="BA64" s="29"/>
      <c r="BB64" s="29"/>
      <c r="BC64" s="29"/>
      <c r="BD64" s="29"/>
      <c r="BE64" s="29"/>
    </row>
    <row r="65" spans="1:57" ht="14.25" customHeight="1">
      <c r="A65" s="29"/>
      <c r="B65" s="29"/>
      <c r="C65" s="29"/>
      <c r="D65" s="29"/>
      <c r="E65" s="29"/>
      <c r="F65" s="29"/>
      <c r="G65" s="29"/>
      <c r="H65" s="61"/>
      <c r="I65" s="29"/>
      <c r="J65" s="29"/>
      <c r="K65" s="29"/>
      <c r="L65" s="29"/>
      <c r="M65" s="29"/>
      <c r="N65" s="29"/>
      <c r="O65" s="55"/>
      <c r="P65" s="29"/>
      <c r="Q65" s="29"/>
      <c r="R65" s="29"/>
      <c r="S65" s="29"/>
      <c r="T65" s="29"/>
      <c r="U65" s="29"/>
      <c r="V65" s="55"/>
      <c r="W65" s="29"/>
      <c r="X65" s="29"/>
      <c r="Y65" s="29"/>
      <c r="Z65" s="29"/>
      <c r="AA65" s="29"/>
      <c r="AB65" s="29"/>
      <c r="AC65" s="55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55"/>
      <c r="AS65" s="29"/>
      <c r="AT65" s="29"/>
      <c r="AU65" s="29"/>
      <c r="AV65" s="29"/>
      <c r="AW65" s="29"/>
      <c r="AX65" s="29"/>
      <c r="AY65" s="29"/>
      <c r="AZ65" s="29"/>
      <c r="BA65" s="29"/>
      <c r="BB65" s="29"/>
      <c r="BC65" s="29"/>
      <c r="BD65" s="29"/>
      <c r="BE65" s="29"/>
    </row>
    <row r="66" spans="1:57" ht="14.25" customHeight="1">
      <c r="A66" s="29"/>
      <c r="B66" s="29"/>
      <c r="C66" s="29"/>
      <c r="D66" s="29"/>
      <c r="E66" s="29"/>
      <c r="F66" s="29"/>
      <c r="G66" s="29"/>
      <c r="H66" s="61"/>
      <c r="I66" s="29"/>
      <c r="J66" s="29"/>
      <c r="K66" s="29"/>
      <c r="L66" s="29"/>
      <c r="M66" s="29"/>
      <c r="N66" s="29"/>
      <c r="O66" s="55"/>
      <c r="P66" s="29"/>
      <c r="Q66" s="29"/>
      <c r="R66" s="29"/>
      <c r="S66" s="29"/>
      <c r="T66" s="29"/>
      <c r="U66" s="29"/>
      <c r="V66" s="55"/>
      <c r="W66" s="29"/>
      <c r="X66" s="29"/>
      <c r="Y66" s="29"/>
      <c r="Z66" s="29"/>
      <c r="AA66" s="29"/>
      <c r="AB66" s="29"/>
      <c r="AC66" s="55"/>
      <c r="AD66" s="29"/>
      <c r="AE66" s="35"/>
      <c r="AF66" s="35"/>
      <c r="AG66" s="35"/>
      <c r="AH66" s="35"/>
      <c r="AI66" s="35"/>
      <c r="AJ66" s="35"/>
      <c r="AK66" s="29"/>
      <c r="AL66" s="29"/>
      <c r="AM66" s="29"/>
      <c r="AN66" s="29"/>
      <c r="AO66" s="29"/>
      <c r="AP66" s="29"/>
      <c r="AQ66" s="29"/>
      <c r="AR66" s="55"/>
      <c r="AS66" s="29"/>
      <c r="AT66" s="29"/>
      <c r="AU66" s="29"/>
      <c r="AV66" s="29"/>
      <c r="AW66" s="29"/>
      <c r="AX66" s="29"/>
      <c r="AY66" s="29"/>
      <c r="AZ66" s="29"/>
      <c r="BA66" s="29"/>
      <c r="BB66" s="29"/>
      <c r="BC66" s="29"/>
      <c r="BD66" s="29"/>
      <c r="BE66" s="29"/>
    </row>
    <row r="67" spans="1:57" ht="14.25" customHeight="1">
      <c r="A67" s="29"/>
      <c r="B67" s="29"/>
      <c r="C67" s="29"/>
      <c r="D67" s="29"/>
      <c r="E67" s="29"/>
      <c r="F67" s="29"/>
      <c r="G67" s="29"/>
      <c r="H67" s="61"/>
      <c r="I67" s="29"/>
      <c r="J67" s="29"/>
      <c r="K67" s="29"/>
      <c r="L67" s="29"/>
      <c r="M67" s="29"/>
      <c r="N67" s="29"/>
      <c r="O67" s="55"/>
      <c r="P67" s="29"/>
      <c r="Q67" s="29"/>
      <c r="R67" s="29"/>
      <c r="S67" s="29"/>
      <c r="T67" s="29"/>
      <c r="U67" s="29"/>
      <c r="V67" s="55"/>
      <c r="W67" s="29"/>
      <c r="X67" s="29"/>
      <c r="Y67" s="29"/>
      <c r="Z67" s="29"/>
      <c r="AA67" s="29"/>
      <c r="AB67" s="29"/>
      <c r="AC67" s="55"/>
      <c r="AD67" s="29"/>
      <c r="AE67" s="35"/>
      <c r="AF67" s="35"/>
      <c r="AG67" s="35"/>
      <c r="AH67" s="35"/>
      <c r="AI67" s="35"/>
      <c r="AJ67" s="35"/>
      <c r="AK67" s="29"/>
      <c r="AL67" s="29"/>
      <c r="AM67" s="29"/>
      <c r="AN67" s="29"/>
      <c r="AO67" s="29"/>
      <c r="AP67" s="29"/>
      <c r="AQ67" s="29"/>
      <c r="AR67" s="55"/>
      <c r="AS67" s="29"/>
      <c r="AT67" s="29"/>
      <c r="AU67" s="29"/>
      <c r="AV67" s="29"/>
      <c r="AW67" s="29"/>
      <c r="AX67" s="29"/>
      <c r="AY67" s="29"/>
      <c r="AZ67" s="29"/>
      <c r="BA67" s="29"/>
      <c r="BB67" s="29"/>
      <c r="BC67" s="29"/>
      <c r="BD67" s="29"/>
      <c r="BE67" s="29"/>
    </row>
    <row r="68" spans="1:57" ht="14.25" customHeight="1">
      <c r="A68" s="35"/>
      <c r="B68" s="35"/>
      <c r="C68" s="35"/>
      <c r="D68" s="35"/>
      <c r="E68" s="35"/>
      <c r="F68" s="35"/>
      <c r="G68" s="35"/>
      <c r="H68" s="61"/>
      <c r="I68" s="29"/>
      <c r="J68" s="29"/>
      <c r="K68" s="29"/>
      <c r="L68" s="29"/>
      <c r="M68" s="29"/>
      <c r="N68" s="29"/>
      <c r="O68" s="55"/>
      <c r="P68" s="29"/>
      <c r="Q68" s="29"/>
      <c r="R68" s="29"/>
      <c r="S68" s="29"/>
      <c r="T68" s="29"/>
      <c r="U68" s="29"/>
      <c r="V68" s="55"/>
      <c r="W68" s="29"/>
      <c r="X68" s="29"/>
      <c r="Y68" s="29"/>
      <c r="Z68" s="29"/>
      <c r="AA68" s="29"/>
      <c r="AB68" s="29"/>
      <c r="AC68" s="55"/>
      <c r="AD68" s="29"/>
      <c r="AE68" s="35"/>
      <c r="AF68" s="35"/>
      <c r="AG68" s="35"/>
      <c r="AH68" s="35"/>
      <c r="AI68" s="35"/>
      <c r="AJ68" s="35"/>
      <c r="AK68" s="29"/>
      <c r="AL68" s="29"/>
      <c r="AM68" s="29"/>
      <c r="AN68" s="29"/>
      <c r="AO68" s="29"/>
      <c r="AP68" s="29"/>
      <c r="AQ68" s="29"/>
      <c r="AR68" s="55"/>
      <c r="AS68" s="29"/>
      <c r="AT68" s="29"/>
      <c r="AU68" s="29"/>
      <c r="AV68" s="29"/>
      <c r="AW68" s="29"/>
      <c r="AX68" s="29"/>
      <c r="AY68" s="29"/>
      <c r="AZ68" s="29"/>
      <c r="BA68" s="29"/>
      <c r="BB68" s="29"/>
      <c r="BC68" s="29"/>
      <c r="BD68" s="29"/>
      <c r="BE68" s="29"/>
    </row>
    <row r="69" spans="1:57" ht="14.25" customHeight="1">
      <c r="A69" s="35"/>
      <c r="B69" s="35"/>
      <c r="C69" s="35"/>
      <c r="D69" s="35"/>
      <c r="E69" s="35"/>
      <c r="F69" s="35"/>
      <c r="G69" s="35"/>
      <c r="H69" s="61"/>
      <c r="I69" s="29"/>
      <c r="J69" s="29"/>
      <c r="K69" s="29"/>
      <c r="L69" s="29"/>
      <c r="M69" s="29"/>
      <c r="N69" s="29"/>
      <c r="O69" s="55"/>
      <c r="P69" s="29"/>
      <c r="Q69" s="29"/>
      <c r="R69" s="29"/>
      <c r="S69" s="29"/>
      <c r="T69" s="29"/>
      <c r="U69" s="29"/>
      <c r="V69" s="55"/>
      <c r="W69" s="29"/>
      <c r="X69" s="29"/>
      <c r="Y69" s="29"/>
      <c r="Z69" s="29"/>
      <c r="AA69" s="29"/>
      <c r="AB69" s="29"/>
      <c r="AC69" s="55"/>
      <c r="AD69" s="29"/>
      <c r="AE69" s="35"/>
      <c r="AF69" s="35"/>
      <c r="AG69" s="35"/>
      <c r="AH69" s="35"/>
      <c r="AI69" s="35"/>
      <c r="AJ69" s="35"/>
      <c r="AK69" s="29"/>
      <c r="AL69" s="29"/>
      <c r="AM69" s="29"/>
      <c r="AN69" s="29"/>
      <c r="AO69" s="29"/>
      <c r="AP69" s="29"/>
      <c r="AQ69" s="29"/>
      <c r="AR69" s="55"/>
      <c r="AS69" s="29"/>
      <c r="AT69" s="29"/>
      <c r="AU69" s="29"/>
      <c r="AV69" s="29"/>
      <c r="AW69" s="29"/>
      <c r="AX69" s="29"/>
      <c r="AY69" s="29"/>
      <c r="AZ69" s="29"/>
      <c r="BA69" s="29"/>
      <c r="BB69" s="29"/>
      <c r="BC69" s="29"/>
      <c r="BD69" s="29"/>
      <c r="BE69" s="29"/>
    </row>
    <row r="70" spans="1:57" ht="14.25" customHeight="1">
      <c r="A70" s="35"/>
      <c r="B70" s="35"/>
      <c r="C70" s="35"/>
      <c r="D70" s="35"/>
      <c r="E70" s="35"/>
      <c r="F70" s="35"/>
      <c r="G70" s="35"/>
      <c r="H70" s="61"/>
      <c r="I70" s="29"/>
      <c r="J70" s="29"/>
      <c r="K70" s="29"/>
      <c r="L70" s="29"/>
      <c r="M70" s="29"/>
      <c r="N70" s="29"/>
      <c r="O70" s="55"/>
      <c r="P70" s="29"/>
      <c r="Q70" s="29"/>
      <c r="R70" s="29"/>
      <c r="S70" s="29"/>
      <c r="T70" s="29"/>
      <c r="U70" s="29"/>
      <c r="V70" s="55"/>
      <c r="W70" s="29"/>
      <c r="X70" s="29"/>
      <c r="Y70" s="29"/>
      <c r="Z70" s="29"/>
      <c r="AA70" s="29"/>
      <c r="AB70" s="29"/>
      <c r="AC70" s="55"/>
      <c r="AD70" s="29"/>
      <c r="AE70" s="35"/>
      <c r="AF70" s="35"/>
      <c r="AG70" s="35"/>
      <c r="AH70" s="35"/>
      <c r="AI70" s="35"/>
      <c r="AJ70" s="35"/>
      <c r="AK70" s="29"/>
      <c r="AL70" s="29"/>
      <c r="AM70" s="29"/>
      <c r="AN70" s="29"/>
      <c r="AO70" s="29"/>
      <c r="AP70" s="29"/>
      <c r="AQ70" s="29"/>
      <c r="AR70" s="55"/>
      <c r="AS70" s="29"/>
      <c r="AT70" s="29"/>
      <c r="AU70" s="29"/>
      <c r="AV70" s="29"/>
      <c r="AW70" s="29"/>
      <c r="AX70" s="29"/>
      <c r="AY70" s="29"/>
      <c r="AZ70" s="29"/>
      <c r="BA70" s="29"/>
      <c r="BB70" s="29"/>
      <c r="BC70" s="29"/>
      <c r="BD70" s="29"/>
      <c r="BE70" s="29"/>
    </row>
    <row r="71" spans="1:57" ht="14.25" customHeight="1">
      <c r="A71" s="35"/>
      <c r="B71" s="35"/>
      <c r="C71" s="35"/>
      <c r="D71" s="35"/>
      <c r="E71" s="35"/>
      <c r="F71" s="35"/>
      <c r="G71" s="35"/>
      <c r="H71" s="61"/>
      <c r="I71" s="29"/>
      <c r="J71" s="29"/>
      <c r="K71" s="29"/>
      <c r="L71" s="29"/>
      <c r="M71" s="29"/>
      <c r="N71" s="29"/>
      <c r="O71" s="55"/>
      <c r="P71" s="29"/>
      <c r="Q71" s="29"/>
      <c r="R71" s="29"/>
      <c r="S71" s="29"/>
      <c r="T71" s="29"/>
      <c r="U71" s="29"/>
      <c r="V71" s="55"/>
      <c r="W71" s="29"/>
      <c r="X71" s="29"/>
      <c r="Y71" s="29"/>
      <c r="Z71" s="29"/>
      <c r="AA71" s="29"/>
      <c r="AB71" s="29"/>
      <c r="AC71" s="55"/>
      <c r="AD71" s="29"/>
      <c r="AE71" s="35"/>
      <c r="AF71" s="35"/>
      <c r="AG71" s="35"/>
      <c r="AH71" s="35"/>
      <c r="AI71" s="35"/>
      <c r="AJ71" s="35"/>
      <c r="AK71" s="29"/>
      <c r="AL71" s="29"/>
      <c r="AM71" s="29"/>
      <c r="AN71" s="29"/>
      <c r="AO71" s="29"/>
      <c r="AP71" s="29"/>
      <c r="AQ71" s="29"/>
      <c r="AR71" s="55"/>
      <c r="AS71" s="29"/>
      <c r="AT71" s="29"/>
      <c r="AU71" s="29"/>
      <c r="AV71" s="29"/>
      <c r="AW71" s="29"/>
      <c r="AX71" s="29"/>
      <c r="AY71" s="29"/>
      <c r="AZ71" s="29"/>
      <c r="BA71" s="29"/>
      <c r="BB71" s="29"/>
      <c r="BC71" s="29"/>
      <c r="BD71" s="29"/>
      <c r="BE71" s="29"/>
    </row>
    <row r="72" spans="1:57" ht="14.25" customHeight="1">
      <c r="A72" s="35"/>
      <c r="B72" s="35"/>
      <c r="C72" s="35"/>
      <c r="D72" s="35"/>
      <c r="E72" s="35"/>
      <c r="F72" s="35"/>
      <c r="G72" s="35"/>
      <c r="H72" s="61"/>
      <c r="I72" s="29"/>
      <c r="J72" s="29"/>
      <c r="K72" s="29"/>
      <c r="L72" s="29"/>
      <c r="M72" s="29"/>
      <c r="N72" s="29"/>
      <c r="O72" s="55"/>
      <c r="P72" s="29"/>
      <c r="Q72" s="29"/>
      <c r="R72" s="29"/>
      <c r="S72" s="29"/>
      <c r="T72" s="29"/>
      <c r="U72" s="29"/>
      <c r="V72" s="55"/>
      <c r="W72" s="29"/>
      <c r="X72" s="29"/>
      <c r="Y72" s="29"/>
      <c r="Z72" s="29"/>
      <c r="AA72" s="29"/>
      <c r="AB72" s="29"/>
      <c r="AC72" s="55"/>
      <c r="AD72" s="29"/>
      <c r="AE72" s="35"/>
      <c r="AF72" s="35"/>
      <c r="AG72" s="35"/>
      <c r="AH72" s="35"/>
      <c r="AI72" s="35"/>
      <c r="AJ72" s="35"/>
      <c r="AK72" s="29"/>
      <c r="AL72" s="29"/>
      <c r="AM72" s="29"/>
      <c r="AN72" s="29"/>
      <c r="AO72" s="29"/>
      <c r="AP72" s="29"/>
      <c r="AQ72" s="29"/>
      <c r="AR72" s="55"/>
      <c r="AS72" s="29"/>
      <c r="AT72" s="29"/>
      <c r="AU72" s="29"/>
      <c r="AV72" s="29"/>
      <c r="AW72" s="29"/>
      <c r="AX72" s="29"/>
      <c r="AY72" s="29"/>
      <c r="AZ72" s="29"/>
      <c r="BA72" s="29"/>
      <c r="BB72" s="29"/>
      <c r="BC72" s="29"/>
      <c r="BD72" s="29"/>
      <c r="BE72" s="29"/>
    </row>
    <row r="73" spans="1:57" ht="14.25" customHeight="1">
      <c r="A73" s="35"/>
      <c r="B73" s="35"/>
      <c r="C73" s="35"/>
      <c r="D73" s="35"/>
      <c r="E73" s="35"/>
      <c r="F73" s="35"/>
      <c r="G73" s="35"/>
      <c r="H73" s="61"/>
      <c r="I73" s="29"/>
      <c r="J73" s="29"/>
      <c r="K73" s="29"/>
      <c r="L73" s="29"/>
      <c r="M73" s="29"/>
      <c r="N73" s="29"/>
      <c r="O73" s="55"/>
      <c r="P73" s="29"/>
      <c r="Q73" s="29"/>
      <c r="R73" s="29"/>
      <c r="S73" s="29"/>
      <c r="T73" s="29"/>
      <c r="U73" s="29"/>
      <c r="V73" s="55"/>
      <c r="W73" s="29"/>
      <c r="X73" s="29"/>
      <c r="Y73" s="29"/>
      <c r="Z73" s="29"/>
      <c r="AA73" s="29"/>
      <c r="AB73" s="29"/>
      <c r="AC73" s="55"/>
      <c r="AD73" s="29"/>
      <c r="AE73" s="35"/>
      <c r="AF73" s="35"/>
      <c r="AG73" s="35"/>
      <c r="AH73" s="35"/>
      <c r="AI73" s="35"/>
      <c r="AJ73" s="35"/>
      <c r="AK73" s="29"/>
      <c r="AL73" s="29"/>
      <c r="AM73" s="29"/>
      <c r="AN73" s="29"/>
      <c r="AO73" s="29"/>
      <c r="AP73" s="29"/>
      <c r="AQ73" s="29"/>
      <c r="AR73" s="55"/>
      <c r="AS73" s="29"/>
      <c r="AT73" s="29"/>
      <c r="AU73" s="29"/>
      <c r="AV73" s="29"/>
      <c r="AW73" s="29"/>
      <c r="AX73" s="29"/>
      <c r="AY73" s="29"/>
      <c r="AZ73" s="29"/>
      <c r="BA73" s="29"/>
      <c r="BB73" s="29"/>
      <c r="BC73" s="29"/>
      <c r="BD73" s="29"/>
      <c r="BE73" s="29"/>
    </row>
    <row r="74" spans="1:57" ht="14.25" customHeight="1">
      <c r="A74" s="35"/>
      <c r="B74" s="35"/>
      <c r="C74" s="35"/>
      <c r="D74" s="35"/>
      <c r="E74" s="35"/>
      <c r="F74" s="35"/>
      <c r="G74" s="35"/>
      <c r="H74" s="61"/>
      <c r="I74" s="29"/>
      <c r="J74" s="29"/>
      <c r="K74" s="29"/>
      <c r="L74" s="29"/>
      <c r="M74" s="29"/>
      <c r="N74" s="29"/>
      <c r="O74" s="55"/>
      <c r="P74" s="29"/>
      <c r="Q74" s="29"/>
      <c r="R74" s="29"/>
      <c r="S74" s="29"/>
      <c r="T74" s="29"/>
      <c r="U74" s="29"/>
      <c r="V74" s="55"/>
      <c r="W74" s="29"/>
      <c r="X74" s="29"/>
      <c r="Y74" s="29"/>
      <c r="Z74" s="29"/>
      <c r="AA74" s="29"/>
      <c r="AB74" s="29"/>
      <c r="AC74" s="55"/>
      <c r="AD74" s="29"/>
      <c r="AE74" s="35"/>
      <c r="AF74" s="35"/>
      <c r="AG74" s="35"/>
      <c r="AH74" s="35"/>
      <c r="AI74" s="35"/>
      <c r="AJ74" s="35"/>
      <c r="AK74" s="29"/>
      <c r="AL74" s="29"/>
      <c r="AM74" s="29"/>
      <c r="AN74" s="29"/>
      <c r="AO74" s="29"/>
      <c r="AP74" s="29"/>
      <c r="AQ74" s="29"/>
      <c r="AR74" s="55"/>
      <c r="AS74" s="29"/>
      <c r="AT74" s="29"/>
      <c r="AU74" s="29"/>
      <c r="AV74" s="29"/>
      <c r="AW74" s="29"/>
      <c r="AX74" s="29"/>
      <c r="AY74" s="29"/>
      <c r="AZ74" s="29"/>
      <c r="BA74" s="29"/>
      <c r="BB74" s="29"/>
      <c r="BC74" s="29"/>
      <c r="BD74" s="29"/>
      <c r="BE74" s="29"/>
    </row>
    <row r="75" spans="1:57" ht="14.25" customHeight="1">
      <c r="A75" s="35"/>
      <c r="B75" s="35"/>
      <c r="C75" s="35"/>
      <c r="D75" s="35"/>
      <c r="E75" s="35"/>
      <c r="F75" s="35"/>
      <c r="G75" s="35"/>
      <c r="H75" s="61"/>
      <c r="I75" s="29"/>
      <c r="J75" s="29"/>
      <c r="K75" s="29"/>
      <c r="L75" s="29"/>
      <c r="M75" s="29"/>
      <c r="N75" s="29"/>
      <c r="O75" s="55"/>
      <c r="P75" s="29"/>
      <c r="Q75" s="29"/>
      <c r="R75" s="29"/>
      <c r="S75" s="29"/>
      <c r="T75" s="29"/>
      <c r="U75" s="29"/>
      <c r="V75" s="55"/>
      <c r="W75" s="29"/>
      <c r="X75" s="29"/>
      <c r="Y75" s="29"/>
      <c r="Z75" s="29"/>
      <c r="AA75" s="29"/>
      <c r="AB75" s="29"/>
      <c r="AC75" s="55"/>
      <c r="AD75" s="29"/>
      <c r="AE75" s="35"/>
      <c r="AF75" s="35"/>
      <c r="AG75" s="35"/>
      <c r="AH75" s="35"/>
      <c r="AI75" s="35"/>
      <c r="AJ75" s="35"/>
      <c r="AK75" s="29"/>
      <c r="AL75" s="29"/>
      <c r="AM75" s="29"/>
      <c r="AN75" s="29"/>
      <c r="AO75" s="29"/>
      <c r="AP75" s="29"/>
      <c r="AQ75" s="29"/>
      <c r="AR75" s="55"/>
      <c r="AS75" s="29"/>
      <c r="AT75" s="29"/>
      <c r="AU75" s="29"/>
      <c r="AV75" s="29"/>
      <c r="AW75" s="29"/>
      <c r="AX75" s="29"/>
      <c r="AY75" s="29"/>
      <c r="AZ75" s="29"/>
      <c r="BA75" s="29"/>
      <c r="BB75" s="29"/>
      <c r="BC75" s="29"/>
      <c r="BD75" s="29"/>
      <c r="BE75" s="29"/>
    </row>
    <row r="76" spans="1:57" ht="14.25" customHeight="1">
      <c r="A76" s="35"/>
      <c r="B76" s="35"/>
      <c r="C76" s="35"/>
      <c r="D76" s="35"/>
      <c r="E76" s="35"/>
      <c r="F76" s="35"/>
      <c r="G76" s="35"/>
      <c r="H76" s="61"/>
      <c r="I76" s="29"/>
      <c r="J76" s="29"/>
      <c r="K76" s="29"/>
      <c r="L76" s="29"/>
      <c r="M76" s="29"/>
      <c r="N76" s="29"/>
      <c r="O76" s="55"/>
      <c r="P76" s="29"/>
      <c r="Q76" s="29"/>
      <c r="R76" s="29"/>
      <c r="S76" s="29"/>
      <c r="T76" s="29"/>
      <c r="U76" s="29"/>
      <c r="V76" s="55"/>
      <c r="W76" s="29"/>
      <c r="X76" s="29"/>
      <c r="Y76" s="29"/>
      <c r="Z76" s="29"/>
      <c r="AA76" s="29"/>
      <c r="AB76" s="29"/>
      <c r="AC76" s="55"/>
      <c r="AD76" s="29"/>
      <c r="AE76" s="35"/>
      <c r="AF76" s="35"/>
      <c r="AG76" s="35"/>
      <c r="AH76" s="35"/>
      <c r="AI76" s="35"/>
      <c r="AJ76" s="35"/>
      <c r="AK76" s="29"/>
      <c r="AL76" s="29"/>
      <c r="AM76" s="29"/>
      <c r="AN76" s="29"/>
      <c r="AO76" s="29"/>
      <c r="AP76" s="29"/>
      <c r="AQ76" s="29"/>
      <c r="AR76" s="55"/>
      <c r="AS76" s="29"/>
      <c r="AT76" s="29"/>
      <c r="AU76" s="29"/>
      <c r="AV76" s="29"/>
      <c r="AW76" s="29"/>
      <c r="AX76" s="29"/>
      <c r="AY76" s="29"/>
      <c r="AZ76" s="29"/>
      <c r="BA76" s="29"/>
      <c r="BB76" s="29"/>
      <c r="BC76" s="29"/>
      <c r="BD76" s="29"/>
      <c r="BE76" s="29"/>
    </row>
    <row r="77" spans="1:57" ht="14.25" customHeight="1">
      <c r="A77" s="35"/>
      <c r="B77" s="35"/>
      <c r="C77" s="35"/>
      <c r="D77" s="35"/>
      <c r="E77" s="35"/>
      <c r="F77" s="35"/>
      <c r="G77" s="35"/>
      <c r="H77" s="61"/>
      <c r="I77" s="29"/>
      <c r="J77" s="29"/>
      <c r="K77" s="29"/>
      <c r="L77" s="29"/>
      <c r="M77" s="29"/>
      <c r="N77" s="29"/>
      <c r="O77" s="55"/>
      <c r="P77" s="29"/>
      <c r="Q77" s="29"/>
      <c r="R77" s="29"/>
      <c r="S77" s="29"/>
      <c r="T77" s="29"/>
      <c r="U77" s="29"/>
      <c r="V77" s="55"/>
      <c r="W77" s="29"/>
      <c r="X77" s="29"/>
      <c r="Y77" s="29"/>
      <c r="Z77" s="29"/>
      <c r="AA77" s="29"/>
      <c r="AB77" s="29"/>
      <c r="AC77" s="55"/>
      <c r="AD77" s="29"/>
      <c r="AE77" s="35"/>
      <c r="AF77" s="35"/>
      <c r="AG77" s="35"/>
      <c r="AH77" s="35"/>
      <c r="AI77" s="35"/>
      <c r="AJ77" s="35"/>
      <c r="AK77" s="29"/>
      <c r="AL77" s="29"/>
      <c r="AM77" s="29"/>
      <c r="AN77" s="29"/>
      <c r="AO77" s="29"/>
      <c r="AP77" s="29"/>
      <c r="AQ77" s="29"/>
      <c r="AR77" s="55"/>
      <c r="AS77" s="29"/>
      <c r="AT77" s="29"/>
      <c r="AU77" s="29"/>
      <c r="AV77" s="29"/>
      <c r="AW77" s="29"/>
      <c r="AX77" s="29"/>
      <c r="AY77" s="29"/>
      <c r="AZ77" s="29"/>
      <c r="BA77" s="29"/>
      <c r="BB77" s="29"/>
      <c r="BC77" s="29"/>
      <c r="BD77" s="29"/>
      <c r="BE77" s="29"/>
    </row>
    <row r="78" spans="1:57" ht="14.25" customHeight="1">
      <c r="A78" s="35" t="b">
        <f>IF(A1=H12,P2,IF(A1=H13,P7,IF(A1=H14,P12,IF(A1=H15,P17,IF(A1=H16,P22,IF(A1=H17,P27,IF(A1=H18,P32,IF(A1=H19,P37,IF(A1=H20,P42,IF(A1=H21,P47,IF(A1=H22,P52)))))))))))</f>
        <v>0</v>
      </c>
      <c r="B78" s="35"/>
      <c r="C78" s="35"/>
      <c r="D78" s="35"/>
      <c r="E78" s="35"/>
      <c r="F78" s="35"/>
      <c r="G78" s="35"/>
      <c r="H78" s="61"/>
      <c r="I78" s="29"/>
      <c r="J78" s="29"/>
      <c r="K78" s="29"/>
      <c r="L78" s="29"/>
      <c r="M78" s="29"/>
      <c r="N78" s="29"/>
      <c r="O78" s="55"/>
      <c r="P78" s="29"/>
      <c r="Q78" s="29"/>
      <c r="R78" s="29"/>
      <c r="S78" s="29"/>
      <c r="T78" s="29"/>
      <c r="U78" s="29"/>
      <c r="V78" s="55"/>
      <c r="W78" s="29"/>
      <c r="X78" s="29"/>
      <c r="Y78" s="29"/>
      <c r="Z78" s="29"/>
      <c r="AA78" s="29"/>
      <c r="AB78" s="29"/>
      <c r="AC78" s="55"/>
      <c r="AD78" s="29"/>
      <c r="AE78" s="35"/>
      <c r="AF78" s="35"/>
      <c r="AG78" s="35"/>
      <c r="AH78" s="35"/>
      <c r="AI78" s="35"/>
      <c r="AJ78" s="35"/>
      <c r="AK78" s="29"/>
      <c r="AL78" s="29"/>
      <c r="AM78" s="29"/>
      <c r="AN78" s="29"/>
      <c r="AO78" s="29"/>
      <c r="AP78" s="29"/>
      <c r="AQ78" s="29"/>
      <c r="AR78" s="55"/>
      <c r="AS78" s="29"/>
      <c r="AT78" s="29"/>
      <c r="AU78" s="29"/>
      <c r="AV78" s="29"/>
      <c r="AW78" s="29"/>
      <c r="AX78" s="29"/>
      <c r="AY78" s="29"/>
      <c r="AZ78" s="29"/>
      <c r="BA78" s="29"/>
      <c r="BB78" s="29"/>
      <c r="BC78" s="29"/>
      <c r="BD78" s="29"/>
      <c r="BE78" s="29"/>
    </row>
    <row r="79" spans="1:57" ht="14.25" customHeight="1">
      <c r="A79" s="35" t="b">
        <f>IF(A1=H22,W2,IF(A1=H23,W7,IF(A1=H24,W12,IF(A1=H25,W17,IF(A1=H26,W22,IF(A1=H27,W27,IF(A1=H28,W32,IF(A1=H29,W37,IF(A1=H30,W42,IF(A1=H31,W47))))))))))</f>
        <v>0</v>
      </c>
      <c r="B79" s="35"/>
      <c r="C79" s="35"/>
      <c r="D79" s="35"/>
      <c r="E79" s="35"/>
      <c r="F79" s="35"/>
      <c r="G79" s="35"/>
      <c r="H79" s="61"/>
      <c r="I79" s="29"/>
      <c r="J79" s="29"/>
      <c r="K79" s="29"/>
      <c r="L79" s="29"/>
      <c r="M79" s="29"/>
      <c r="N79" s="29"/>
      <c r="O79" s="55"/>
      <c r="P79" s="29"/>
      <c r="Q79" s="29"/>
      <c r="R79" s="29"/>
      <c r="S79" s="29"/>
      <c r="T79" s="29"/>
      <c r="U79" s="29"/>
      <c r="V79" s="55"/>
      <c r="W79" s="29"/>
      <c r="X79" s="29"/>
      <c r="Y79" s="29"/>
      <c r="Z79" s="29"/>
      <c r="AA79" s="29"/>
      <c r="AB79" s="29"/>
      <c r="AC79" s="55"/>
      <c r="AD79" s="29"/>
      <c r="AE79" s="35"/>
      <c r="AF79" s="35"/>
      <c r="AG79" s="35"/>
      <c r="AH79" s="35"/>
      <c r="AI79" s="35"/>
      <c r="AJ79" s="35"/>
      <c r="AK79" s="29"/>
      <c r="AL79" s="29"/>
      <c r="AM79" s="29"/>
      <c r="AN79" s="29"/>
      <c r="AO79" s="29"/>
      <c r="AP79" s="29"/>
      <c r="AQ79" s="29"/>
      <c r="AR79" s="55"/>
      <c r="AS79" s="29"/>
      <c r="AT79" s="29"/>
      <c r="AU79" s="29"/>
      <c r="AV79" s="29"/>
      <c r="AW79" s="29"/>
      <c r="AX79" s="29"/>
      <c r="AY79" s="29"/>
      <c r="AZ79" s="29"/>
      <c r="BA79" s="29"/>
      <c r="BB79" s="29"/>
      <c r="BC79" s="29"/>
      <c r="BD79" s="29"/>
      <c r="BE79" s="29"/>
    </row>
    <row r="80" spans="1:57" ht="14.25" customHeight="1">
      <c r="A80" s="35"/>
      <c r="B80" s="35"/>
      <c r="C80" s="35"/>
      <c r="D80" s="35"/>
      <c r="E80" s="35"/>
      <c r="F80" s="35"/>
      <c r="G80" s="35"/>
      <c r="H80" s="61"/>
      <c r="I80" s="29"/>
      <c r="J80" s="29"/>
      <c r="K80" s="29"/>
      <c r="L80" s="29"/>
      <c r="M80" s="29"/>
      <c r="N80" s="29"/>
      <c r="O80" s="55"/>
      <c r="P80" s="29"/>
      <c r="Q80" s="29"/>
      <c r="R80" s="29"/>
      <c r="S80" s="29"/>
      <c r="T80" s="29"/>
      <c r="U80" s="29"/>
      <c r="V80" s="55"/>
      <c r="W80" s="29"/>
      <c r="X80" s="29"/>
      <c r="Y80" s="29"/>
      <c r="Z80" s="29"/>
      <c r="AA80" s="29"/>
      <c r="AB80" s="29"/>
      <c r="AC80" s="55"/>
      <c r="AD80" s="29"/>
      <c r="AE80" s="35"/>
      <c r="AF80" s="35"/>
      <c r="AG80" s="35"/>
      <c r="AH80" s="35"/>
      <c r="AI80" s="35"/>
      <c r="AJ80" s="35"/>
      <c r="AK80" s="29"/>
      <c r="AL80" s="29"/>
      <c r="AM80" s="29"/>
      <c r="AN80" s="29"/>
      <c r="AO80" s="29"/>
      <c r="AP80" s="29"/>
      <c r="AQ80" s="29"/>
      <c r="AR80" s="55"/>
      <c r="AS80" s="29"/>
      <c r="AT80" s="29"/>
      <c r="AU80" s="29"/>
      <c r="AV80" s="29"/>
      <c r="AW80" s="29"/>
      <c r="AX80" s="29"/>
      <c r="AY80" s="29"/>
      <c r="AZ80" s="29"/>
      <c r="BA80" s="29"/>
      <c r="BB80" s="29"/>
      <c r="BC80" s="29"/>
      <c r="BD80" s="29"/>
      <c r="BE80" s="29"/>
    </row>
    <row r="81" spans="1:57" ht="14.25" customHeight="1">
      <c r="A81" s="35"/>
      <c r="B81" s="35"/>
      <c r="C81" s="35"/>
      <c r="D81" s="35"/>
      <c r="E81" s="35"/>
      <c r="F81" s="35"/>
      <c r="G81" s="35"/>
      <c r="H81" s="61"/>
      <c r="I81" s="29"/>
      <c r="J81" s="29"/>
      <c r="K81" s="29"/>
      <c r="L81" s="29"/>
      <c r="M81" s="29"/>
      <c r="N81" s="29"/>
      <c r="O81" s="55"/>
      <c r="P81" s="29"/>
      <c r="Q81" s="29"/>
      <c r="R81" s="29"/>
      <c r="S81" s="29"/>
      <c r="T81" s="29"/>
      <c r="U81" s="29"/>
      <c r="V81" s="55"/>
      <c r="W81" s="29"/>
      <c r="X81" s="29"/>
      <c r="Y81" s="29"/>
      <c r="Z81" s="29"/>
      <c r="AA81" s="29"/>
      <c r="AB81" s="29"/>
      <c r="AC81" s="55"/>
      <c r="AD81" s="29"/>
      <c r="AE81" s="35"/>
      <c r="AF81" s="35"/>
      <c r="AG81" s="35"/>
      <c r="AH81" s="35"/>
      <c r="AI81" s="35"/>
      <c r="AJ81" s="35"/>
      <c r="AK81" s="29"/>
      <c r="AL81" s="29"/>
      <c r="AM81" s="29"/>
      <c r="AN81" s="29"/>
      <c r="AO81" s="29"/>
      <c r="AP81" s="29"/>
      <c r="AQ81" s="29"/>
      <c r="AR81" s="55"/>
      <c r="AS81" s="29"/>
      <c r="AT81" s="29"/>
      <c r="AU81" s="29"/>
      <c r="AV81" s="29"/>
      <c r="AW81" s="29"/>
      <c r="AX81" s="29"/>
      <c r="AY81" s="29"/>
      <c r="AZ81" s="29"/>
      <c r="BA81" s="29"/>
      <c r="BB81" s="29"/>
      <c r="BC81" s="29"/>
      <c r="BD81" s="29"/>
      <c r="BE81" s="29"/>
    </row>
    <row r="82" spans="1:57" ht="14.25" customHeight="1">
      <c r="A82" s="35"/>
      <c r="B82" s="35"/>
      <c r="C82" s="35"/>
      <c r="D82" s="35"/>
      <c r="E82" s="35"/>
      <c r="F82" s="35"/>
      <c r="G82" s="35"/>
      <c r="H82" s="61"/>
      <c r="I82" s="29"/>
      <c r="J82" s="29"/>
      <c r="K82" s="29"/>
      <c r="L82" s="29"/>
      <c r="M82" s="29"/>
      <c r="N82" s="29"/>
      <c r="O82" s="55"/>
      <c r="P82" s="29"/>
      <c r="Q82" s="29"/>
      <c r="R82" s="29"/>
      <c r="S82" s="29"/>
      <c r="T82" s="29"/>
      <c r="U82" s="29"/>
      <c r="V82" s="55"/>
      <c r="W82" s="29"/>
      <c r="X82" s="29"/>
      <c r="Y82" s="29"/>
      <c r="Z82" s="29"/>
      <c r="AA82" s="29"/>
      <c r="AB82" s="29"/>
      <c r="AC82" s="55"/>
      <c r="AD82" s="29"/>
      <c r="AE82" s="35"/>
      <c r="AF82" s="35"/>
      <c r="AG82" s="35"/>
      <c r="AH82" s="35"/>
      <c r="AI82" s="35"/>
      <c r="AJ82" s="35"/>
      <c r="AK82" s="29"/>
      <c r="AL82" s="29"/>
      <c r="AM82" s="29"/>
      <c r="AN82" s="29"/>
      <c r="AO82" s="29"/>
      <c r="AP82" s="29"/>
      <c r="AQ82" s="29"/>
      <c r="AR82" s="55"/>
      <c r="AS82" s="29"/>
      <c r="AT82" s="29"/>
      <c r="AU82" s="29"/>
      <c r="AV82" s="29"/>
      <c r="AW82" s="29"/>
      <c r="AX82" s="29"/>
      <c r="AY82" s="29"/>
      <c r="AZ82" s="29"/>
      <c r="BA82" s="29"/>
      <c r="BB82" s="29"/>
      <c r="BC82" s="29"/>
      <c r="BD82" s="29"/>
      <c r="BE82" s="29"/>
    </row>
    <row r="83" spans="1:57" ht="14.25" customHeight="1">
      <c r="A83" s="35"/>
      <c r="B83" s="35"/>
      <c r="C83" s="35"/>
      <c r="D83" s="35"/>
      <c r="E83" s="35"/>
      <c r="F83" s="35"/>
      <c r="G83" s="35"/>
      <c r="H83" s="61"/>
      <c r="I83" s="29"/>
      <c r="J83" s="29"/>
      <c r="K83" s="29"/>
      <c r="L83" s="29"/>
      <c r="M83" s="29"/>
      <c r="N83" s="29"/>
      <c r="O83" s="55"/>
      <c r="P83" s="29"/>
      <c r="Q83" s="29"/>
      <c r="R83" s="29"/>
      <c r="S83" s="29"/>
      <c r="T83" s="29"/>
      <c r="U83" s="29"/>
      <c r="V83" s="55"/>
      <c r="W83" s="29"/>
      <c r="X83" s="29"/>
      <c r="Y83" s="29"/>
      <c r="Z83" s="29"/>
      <c r="AA83" s="29"/>
      <c r="AB83" s="29"/>
      <c r="AC83" s="55"/>
      <c r="AD83" s="29"/>
      <c r="AE83" s="35"/>
      <c r="AF83" s="35"/>
      <c r="AG83" s="35"/>
      <c r="AH83" s="35"/>
      <c r="AI83" s="35"/>
      <c r="AJ83" s="35"/>
      <c r="AK83" s="29"/>
      <c r="AL83" s="29"/>
      <c r="AM83" s="29"/>
      <c r="AN83" s="29"/>
      <c r="AO83" s="29"/>
      <c r="AP83" s="29"/>
      <c r="AQ83" s="29"/>
      <c r="AR83" s="55"/>
      <c r="AS83" s="29"/>
      <c r="AT83" s="29"/>
      <c r="AU83" s="29"/>
      <c r="AV83" s="29"/>
      <c r="AW83" s="29"/>
      <c r="AX83" s="29"/>
      <c r="AY83" s="29"/>
      <c r="AZ83" s="29"/>
      <c r="BA83" s="29"/>
      <c r="BB83" s="29"/>
      <c r="BC83" s="29"/>
      <c r="BD83" s="29"/>
      <c r="BE83" s="29"/>
    </row>
    <row r="84" spans="1:57" ht="14.25" customHeight="1">
      <c r="A84" s="35"/>
      <c r="B84" s="35"/>
      <c r="C84" s="35"/>
      <c r="D84" s="35"/>
      <c r="E84" s="35"/>
      <c r="F84" s="35"/>
      <c r="G84" s="35"/>
      <c r="H84" s="61"/>
      <c r="I84" s="29"/>
      <c r="J84" s="29"/>
      <c r="K84" s="29"/>
      <c r="L84" s="29"/>
      <c r="M84" s="29"/>
      <c r="N84" s="29"/>
      <c r="O84" s="55"/>
      <c r="P84" s="29"/>
      <c r="Q84" s="29"/>
      <c r="R84" s="29"/>
      <c r="S84" s="29"/>
      <c r="T84" s="29"/>
      <c r="U84" s="29"/>
      <c r="V84" s="55"/>
      <c r="W84" s="29"/>
      <c r="X84" s="29"/>
      <c r="Y84" s="29"/>
      <c r="Z84" s="29"/>
      <c r="AA84" s="29"/>
      <c r="AB84" s="29"/>
      <c r="AC84" s="55"/>
      <c r="AD84" s="29"/>
      <c r="AE84" s="35"/>
      <c r="AF84" s="35"/>
      <c r="AG84" s="35"/>
      <c r="AH84" s="35"/>
      <c r="AI84" s="35"/>
      <c r="AJ84" s="35"/>
      <c r="AK84" s="29"/>
      <c r="AL84" s="29"/>
      <c r="AM84" s="29"/>
      <c r="AN84" s="29"/>
      <c r="AO84" s="29"/>
      <c r="AP84" s="29"/>
      <c r="AQ84" s="29"/>
      <c r="AR84" s="55"/>
      <c r="AS84" s="29"/>
      <c r="AT84" s="29"/>
      <c r="AU84" s="29"/>
      <c r="AV84" s="29"/>
      <c r="AW84" s="29"/>
      <c r="AX84" s="29"/>
      <c r="AY84" s="29"/>
      <c r="AZ84" s="29"/>
      <c r="BA84" s="29"/>
      <c r="BB84" s="29"/>
      <c r="BC84" s="29"/>
      <c r="BD84" s="29"/>
      <c r="BE84" s="29"/>
    </row>
    <row r="85" spans="1:57" ht="14.25" customHeight="1">
      <c r="A85" s="35"/>
      <c r="B85" s="35"/>
      <c r="C85" s="35"/>
      <c r="D85" s="35"/>
      <c r="E85" s="35"/>
      <c r="F85" s="35"/>
      <c r="G85" s="35"/>
      <c r="H85" s="61"/>
      <c r="I85" s="29"/>
      <c r="J85" s="29"/>
      <c r="K85" s="29"/>
      <c r="L85" s="29"/>
      <c r="M85" s="29"/>
      <c r="N85" s="29"/>
      <c r="O85" s="55"/>
      <c r="P85" s="29"/>
      <c r="Q85" s="29"/>
      <c r="R85" s="29"/>
      <c r="S85" s="29"/>
      <c r="T85" s="29"/>
      <c r="U85" s="29"/>
      <c r="V85" s="55"/>
      <c r="W85" s="29"/>
      <c r="X85" s="29"/>
      <c r="Y85" s="29"/>
      <c r="Z85" s="29"/>
      <c r="AA85" s="29"/>
      <c r="AB85" s="29"/>
      <c r="AC85" s="55"/>
      <c r="AD85" s="29"/>
      <c r="AE85" s="35"/>
      <c r="AF85" s="35"/>
      <c r="AG85" s="35"/>
      <c r="AH85" s="35"/>
      <c r="AI85" s="35"/>
      <c r="AJ85" s="35"/>
      <c r="AK85" s="29"/>
      <c r="AL85" s="29"/>
      <c r="AM85" s="29"/>
      <c r="AN85" s="29"/>
      <c r="AO85" s="29"/>
      <c r="AP85" s="29"/>
      <c r="AQ85" s="29"/>
      <c r="AR85" s="55"/>
      <c r="AS85" s="29"/>
      <c r="AT85" s="29"/>
      <c r="AU85" s="29"/>
      <c r="AV85" s="29"/>
      <c r="AW85" s="29"/>
      <c r="AX85" s="29"/>
      <c r="AY85" s="29"/>
      <c r="AZ85" s="29"/>
      <c r="BA85" s="29"/>
      <c r="BB85" s="29"/>
      <c r="BC85" s="29"/>
      <c r="BD85" s="29"/>
      <c r="BE85" s="29"/>
    </row>
    <row r="86" spans="1:57" ht="14.25" customHeight="1">
      <c r="A86" s="35"/>
      <c r="B86" s="35"/>
      <c r="C86" s="35"/>
      <c r="D86" s="35"/>
      <c r="E86" s="35"/>
      <c r="F86" s="35"/>
      <c r="G86" s="35"/>
      <c r="H86" s="61"/>
      <c r="I86" s="29"/>
      <c r="J86" s="29"/>
      <c r="K86" s="29"/>
      <c r="L86" s="29"/>
      <c r="M86" s="29"/>
      <c r="N86" s="29"/>
      <c r="O86" s="55"/>
      <c r="P86" s="29"/>
      <c r="Q86" s="29"/>
      <c r="R86" s="29"/>
      <c r="S86" s="29"/>
      <c r="T86" s="29"/>
      <c r="U86" s="29"/>
      <c r="V86" s="55"/>
      <c r="W86" s="29"/>
      <c r="X86" s="29"/>
      <c r="Y86" s="29"/>
      <c r="Z86" s="29"/>
      <c r="AA86" s="29"/>
      <c r="AB86" s="29"/>
      <c r="AC86" s="55"/>
      <c r="AD86" s="29"/>
      <c r="AE86" s="35"/>
      <c r="AF86" s="35"/>
      <c r="AG86" s="35"/>
      <c r="AH86" s="35"/>
      <c r="AI86" s="35"/>
      <c r="AJ86" s="35"/>
      <c r="AK86" s="29"/>
      <c r="AL86" s="29"/>
      <c r="AM86" s="29"/>
      <c r="AN86" s="29"/>
      <c r="AO86" s="29"/>
      <c r="AP86" s="29"/>
      <c r="AQ86" s="29"/>
      <c r="AR86" s="55"/>
      <c r="AS86" s="29"/>
      <c r="AT86" s="29"/>
      <c r="AU86" s="29"/>
      <c r="AV86" s="29"/>
      <c r="AW86" s="29"/>
      <c r="AX86" s="29"/>
      <c r="AY86" s="29"/>
      <c r="AZ86" s="29"/>
      <c r="BA86" s="29"/>
      <c r="BB86" s="29"/>
      <c r="BC86" s="29"/>
      <c r="BD86" s="29"/>
      <c r="BE86" s="29"/>
    </row>
    <row r="87" spans="1:57" ht="14.25" customHeight="1">
      <c r="A87" s="35"/>
      <c r="B87" s="35"/>
      <c r="C87" s="35"/>
      <c r="D87" s="35"/>
      <c r="E87" s="35"/>
      <c r="F87" s="35"/>
      <c r="G87" s="35"/>
      <c r="H87" s="61"/>
      <c r="I87" s="29"/>
      <c r="J87" s="29"/>
      <c r="K87" s="29"/>
      <c r="L87" s="29"/>
      <c r="M87" s="29"/>
      <c r="N87" s="29"/>
      <c r="O87" s="55"/>
      <c r="P87" s="29"/>
      <c r="Q87" s="29"/>
      <c r="R87" s="29"/>
      <c r="S87" s="29"/>
      <c r="T87" s="29"/>
      <c r="U87" s="29"/>
      <c r="V87" s="55"/>
      <c r="W87" s="29"/>
      <c r="X87" s="29"/>
      <c r="Y87" s="29"/>
      <c r="Z87" s="29"/>
      <c r="AA87" s="29"/>
      <c r="AB87" s="29"/>
      <c r="AC87" s="55"/>
      <c r="AD87" s="29"/>
      <c r="AE87" s="35"/>
      <c r="AF87" s="35"/>
      <c r="AG87" s="35"/>
      <c r="AH87" s="35"/>
      <c r="AI87" s="35"/>
      <c r="AJ87" s="35"/>
      <c r="AK87" s="29"/>
      <c r="AL87" s="29"/>
      <c r="AM87" s="29"/>
      <c r="AN87" s="29"/>
      <c r="AO87" s="29"/>
      <c r="AP87" s="29"/>
      <c r="AQ87" s="29"/>
      <c r="AR87" s="55"/>
      <c r="AS87" s="29"/>
      <c r="AT87" s="29"/>
      <c r="AU87" s="29"/>
      <c r="AV87" s="29"/>
      <c r="AW87" s="29"/>
      <c r="AX87" s="29"/>
      <c r="AY87" s="29"/>
      <c r="AZ87" s="29"/>
      <c r="BA87" s="29"/>
      <c r="BB87" s="29"/>
      <c r="BC87" s="29"/>
      <c r="BD87" s="29"/>
      <c r="BE87" s="29"/>
    </row>
    <row r="88" spans="1:57" ht="14.25" customHeight="1">
      <c r="A88" s="35"/>
      <c r="B88" s="35"/>
      <c r="C88" s="35"/>
      <c r="D88" s="35"/>
      <c r="E88" s="35"/>
      <c r="F88" s="35"/>
      <c r="G88" s="35"/>
      <c r="H88" s="61"/>
      <c r="I88" s="29"/>
      <c r="J88" s="29"/>
      <c r="K88" s="29"/>
      <c r="L88" s="29"/>
      <c r="M88" s="29"/>
      <c r="N88" s="29"/>
      <c r="O88" s="55"/>
      <c r="P88" s="29"/>
      <c r="Q88" s="29"/>
      <c r="R88" s="29"/>
      <c r="S88" s="29"/>
      <c r="T88" s="29"/>
      <c r="U88" s="29"/>
      <c r="V88" s="55"/>
      <c r="W88" s="29"/>
      <c r="X88" s="29"/>
      <c r="Y88" s="29"/>
      <c r="Z88" s="29"/>
      <c r="AA88" s="29"/>
      <c r="AB88" s="29"/>
      <c r="AC88" s="55"/>
      <c r="AD88" s="29"/>
      <c r="AE88" s="35"/>
      <c r="AF88" s="35"/>
      <c r="AG88" s="35"/>
      <c r="AH88" s="35"/>
      <c r="AI88" s="35"/>
      <c r="AJ88" s="35"/>
      <c r="AK88" s="29"/>
      <c r="AL88" s="29"/>
      <c r="AM88" s="29"/>
      <c r="AN88" s="29"/>
      <c r="AO88" s="29"/>
      <c r="AP88" s="29"/>
      <c r="AQ88" s="29"/>
      <c r="AR88" s="55"/>
      <c r="AS88" s="29"/>
      <c r="AT88" s="29"/>
      <c r="AU88" s="29"/>
      <c r="AV88" s="29"/>
      <c r="AW88" s="29"/>
      <c r="AX88" s="29"/>
      <c r="AY88" s="29"/>
      <c r="AZ88" s="29"/>
      <c r="BA88" s="29"/>
      <c r="BB88" s="29"/>
      <c r="BC88" s="29"/>
      <c r="BD88" s="29"/>
      <c r="BE88" s="29"/>
    </row>
    <row r="89" spans="1:57" ht="14.25" customHeight="1">
      <c r="A89" s="35"/>
      <c r="B89" s="35"/>
      <c r="C89" s="35"/>
      <c r="D89" s="35"/>
      <c r="E89" s="35"/>
      <c r="F89" s="35"/>
      <c r="G89" s="35"/>
      <c r="H89" s="61"/>
      <c r="I89" s="29"/>
      <c r="J89" s="29"/>
      <c r="K89" s="29"/>
      <c r="L89" s="29"/>
      <c r="M89" s="29"/>
      <c r="N89" s="29"/>
      <c r="O89" s="55"/>
      <c r="P89" s="29"/>
      <c r="Q89" s="29"/>
      <c r="R89" s="29"/>
      <c r="S89" s="29"/>
      <c r="T89" s="29"/>
      <c r="U89" s="29"/>
      <c r="V89" s="55"/>
      <c r="W89" s="29"/>
      <c r="X89" s="29"/>
      <c r="Y89" s="29"/>
      <c r="Z89" s="29"/>
      <c r="AA89" s="29"/>
      <c r="AB89" s="29"/>
      <c r="AC89" s="55"/>
      <c r="AD89" s="29"/>
      <c r="AE89" s="35"/>
      <c r="AF89" s="35"/>
      <c r="AG89" s="35"/>
      <c r="AH89" s="35"/>
      <c r="AI89" s="35"/>
      <c r="AJ89" s="35"/>
      <c r="AK89" s="29"/>
      <c r="AL89" s="29"/>
      <c r="AM89" s="29"/>
      <c r="AN89" s="29"/>
      <c r="AO89" s="29"/>
      <c r="AP89" s="29"/>
      <c r="AQ89" s="29"/>
      <c r="AR89" s="55"/>
      <c r="AS89" s="29"/>
      <c r="AT89" s="29"/>
      <c r="AU89" s="29"/>
      <c r="AV89" s="29"/>
      <c r="AW89" s="29"/>
      <c r="AX89" s="29"/>
      <c r="AY89" s="29"/>
      <c r="AZ89" s="29"/>
      <c r="BA89" s="29"/>
      <c r="BB89" s="29"/>
      <c r="BC89" s="29"/>
      <c r="BD89" s="29"/>
      <c r="BE89" s="29"/>
    </row>
    <row r="90" spans="1:57" ht="14.25" customHeight="1">
      <c r="A90" s="35"/>
      <c r="B90" s="35"/>
      <c r="C90" s="35"/>
      <c r="D90" s="35"/>
      <c r="E90" s="35"/>
      <c r="F90" s="35"/>
      <c r="G90" s="35"/>
      <c r="H90" s="61"/>
      <c r="I90" s="29"/>
      <c r="J90" s="29"/>
      <c r="K90" s="29"/>
      <c r="L90" s="29"/>
      <c r="M90" s="29"/>
      <c r="N90" s="29"/>
      <c r="O90" s="55"/>
      <c r="P90" s="29"/>
      <c r="Q90" s="29"/>
      <c r="R90" s="29"/>
      <c r="S90" s="29"/>
      <c r="T90" s="29"/>
      <c r="U90" s="29"/>
      <c r="V90" s="55"/>
      <c r="W90" s="29"/>
      <c r="X90" s="29"/>
      <c r="Y90" s="29"/>
      <c r="Z90" s="29"/>
      <c r="AA90" s="29"/>
      <c r="AB90" s="29"/>
      <c r="AC90" s="55"/>
      <c r="AD90" s="29"/>
      <c r="AE90" s="35"/>
      <c r="AF90" s="35"/>
      <c r="AG90" s="35"/>
      <c r="AH90" s="35"/>
      <c r="AI90" s="35"/>
      <c r="AJ90" s="35"/>
      <c r="AK90" s="29"/>
      <c r="AL90" s="29"/>
      <c r="AM90" s="29"/>
      <c r="AN90" s="29"/>
      <c r="AO90" s="29"/>
      <c r="AP90" s="29"/>
      <c r="AQ90" s="29"/>
      <c r="AR90" s="55"/>
      <c r="AS90" s="29"/>
      <c r="AT90" s="29"/>
      <c r="AU90" s="29"/>
      <c r="AV90" s="29"/>
      <c r="AW90" s="29"/>
      <c r="AX90" s="29"/>
      <c r="AY90" s="29"/>
      <c r="AZ90" s="29"/>
      <c r="BA90" s="29"/>
      <c r="BB90" s="29"/>
      <c r="BC90" s="29"/>
      <c r="BD90" s="29"/>
      <c r="BE90" s="29"/>
    </row>
    <row r="91" spans="1:57" ht="14.25" customHeight="1">
      <c r="A91" s="35"/>
      <c r="B91" s="35"/>
      <c r="C91" s="35"/>
      <c r="D91" s="35"/>
      <c r="E91" s="35"/>
      <c r="F91" s="35"/>
      <c r="G91" s="35"/>
      <c r="H91" s="61"/>
      <c r="I91" s="29"/>
      <c r="J91" s="29"/>
      <c r="K91" s="29"/>
      <c r="L91" s="29"/>
      <c r="M91" s="29"/>
      <c r="N91" s="29"/>
      <c r="O91" s="55"/>
      <c r="P91" s="29"/>
      <c r="Q91" s="29"/>
      <c r="R91" s="29"/>
      <c r="S91" s="29"/>
      <c r="T91" s="29"/>
      <c r="U91" s="29"/>
      <c r="V91" s="55"/>
      <c r="W91" s="29"/>
      <c r="X91" s="29"/>
      <c r="Y91" s="29"/>
      <c r="Z91" s="29"/>
      <c r="AA91" s="29"/>
      <c r="AB91" s="29"/>
      <c r="AC91" s="55"/>
      <c r="AD91" s="29"/>
      <c r="AE91" s="35"/>
      <c r="AF91" s="35"/>
      <c r="AG91" s="35"/>
      <c r="AH91" s="35"/>
      <c r="AI91" s="35"/>
      <c r="AJ91" s="35"/>
      <c r="AK91" s="29"/>
      <c r="AL91" s="29"/>
      <c r="AM91" s="29"/>
      <c r="AN91" s="29"/>
      <c r="AO91" s="29"/>
      <c r="AP91" s="29"/>
      <c r="AQ91" s="29"/>
      <c r="AR91" s="55"/>
      <c r="AS91" s="29"/>
      <c r="AT91" s="29"/>
      <c r="AU91" s="29"/>
      <c r="AV91" s="29"/>
      <c r="AW91" s="29"/>
      <c r="AX91" s="29"/>
      <c r="AY91" s="29"/>
      <c r="AZ91" s="29"/>
      <c r="BA91" s="29"/>
      <c r="BB91" s="29"/>
      <c r="BC91" s="29"/>
      <c r="BD91" s="29"/>
      <c r="BE91" s="29"/>
    </row>
    <row r="92" spans="1:57" ht="14.25" customHeight="1">
      <c r="A92" s="35"/>
      <c r="B92" s="35"/>
      <c r="C92" s="35"/>
      <c r="D92" s="35"/>
      <c r="E92" s="35"/>
      <c r="F92" s="35"/>
      <c r="G92" s="35"/>
      <c r="H92" s="61"/>
      <c r="I92" s="29"/>
      <c r="J92" s="29"/>
      <c r="K92" s="29"/>
      <c r="L92" s="29"/>
      <c r="M92" s="29"/>
      <c r="N92" s="29"/>
      <c r="O92" s="55"/>
      <c r="P92" s="29"/>
      <c r="Q92" s="29"/>
      <c r="R92" s="29"/>
      <c r="S92" s="29"/>
      <c r="T92" s="29"/>
      <c r="U92" s="29"/>
      <c r="V92" s="55"/>
      <c r="W92" s="29"/>
      <c r="X92" s="29"/>
      <c r="Y92" s="29"/>
      <c r="Z92" s="29"/>
      <c r="AA92" s="29"/>
      <c r="AB92" s="29"/>
      <c r="AC92" s="55"/>
      <c r="AD92" s="29"/>
      <c r="AE92" s="35"/>
      <c r="AF92" s="35"/>
      <c r="AG92" s="35"/>
      <c r="AH92" s="35"/>
      <c r="AI92" s="35"/>
      <c r="AJ92" s="35"/>
      <c r="AK92" s="29"/>
      <c r="AL92" s="29"/>
      <c r="AM92" s="29"/>
      <c r="AN92" s="29"/>
      <c r="AO92" s="29"/>
      <c r="AP92" s="29"/>
      <c r="AQ92" s="29"/>
      <c r="AR92" s="55"/>
      <c r="AS92" s="29"/>
      <c r="AT92" s="29"/>
      <c r="AU92" s="29"/>
      <c r="AV92" s="29"/>
      <c r="AW92" s="29"/>
      <c r="AX92" s="29"/>
      <c r="AY92" s="29"/>
      <c r="AZ92" s="29"/>
      <c r="BA92" s="29"/>
      <c r="BB92" s="29"/>
      <c r="BC92" s="29"/>
      <c r="BD92" s="29"/>
      <c r="BE92" s="29"/>
    </row>
    <row r="93" spans="1:57" ht="14.25" customHeight="1">
      <c r="A93" s="35"/>
      <c r="B93" s="35"/>
      <c r="C93" s="35"/>
      <c r="D93" s="35"/>
      <c r="E93" s="35"/>
      <c r="F93" s="35"/>
      <c r="G93" s="35"/>
      <c r="H93" s="61"/>
      <c r="I93" s="29"/>
      <c r="J93" s="29"/>
      <c r="K93" s="29"/>
      <c r="L93" s="29"/>
      <c r="M93" s="29"/>
      <c r="N93" s="29"/>
      <c r="O93" s="55"/>
      <c r="P93" s="29"/>
      <c r="Q93" s="29"/>
      <c r="R93" s="29"/>
      <c r="S93" s="29"/>
      <c r="T93" s="29"/>
      <c r="U93" s="29"/>
      <c r="V93" s="55"/>
      <c r="W93" s="29"/>
      <c r="X93" s="29"/>
      <c r="Y93" s="29"/>
      <c r="Z93" s="29"/>
      <c r="AA93" s="29"/>
      <c r="AB93" s="29"/>
      <c r="AC93" s="55"/>
      <c r="AD93" s="29"/>
      <c r="AE93" s="35"/>
      <c r="AF93" s="35"/>
      <c r="AG93" s="35"/>
      <c r="AH93" s="35"/>
      <c r="AI93" s="35"/>
      <c r="AJ93" s="35"/>
      <c r="AK93" s="29"/>
      <c r="AL93" s="29"/>
      <c r="AM93" s="29"/>
      <c r="AN93" s="29"/>
      <c r="AO93" s="29"/>
      <c r="AP93" s="29"/>
      <c r="AQ93" s="29"/>
      <c r="AR93" s="55"/>
      <c r="AS93" s="29"/>
      <c r="AT93" s="29"/>
      <c r="AU93" s="29"/>
      <c r="AV93" s="29"/>
      <c r="AW93" s="29"/>
      <c r="AX93" s="29"/>
      <c r="AY93" s="29"/>
      <c r="AZ93" s="29"/>
      <c r="BA93" s="29"/>
      <c r="BB93" s="29"/>
      <c r="BC93" s="29"/>
      <c r="BD93" s="29"/>
      <c r="BE93" s="29"/>
    </row>
    <row r="94" spans="1:57" ht="14.25" customHeight="1">
      <c r="A94" s="35"/>
      <c r="B94" s="35"/>
      <c r="C94" s="35"/>
      <c r="D94" s="35"/>
      <c r="E94" s="35"/>
      <c r="F94" s="35"/>
      <c r="G94" s="35"/>
      <c r="H94" s="61"/>
      <c r="I94" s="29"/>
      <c r="J94" s="29"/>
      <c r="K94" s="29"/>
      <c r="L94" s="29"/>
      <c r="M94" s="29"/>
      <c r="N94" s="29"/>
      <c r="O94" s="55"/>
      <c r="P94" s="29"/>
      <c r="Q94" s="29"/>
      <c r="R94" s="29"/>
      <c r="S94" s="29"/>
      <c r="T94" s="29"/>
      <c r="U94" s="29"/>
      <c r="V94" s="55"/>
      <c r="W94" s="29"/>
      <c r="X94" s="29"/>
      <c r="Y94" s="29"/>
      <c r="Z94" s="29"/>
      <c r="AA94" s="29"/>
      <c r="AB94" s="29"/>
      <c r="AC94" s="55"/>
      <c r="AD94" s="29"/>
      <c r="AE94" s="35"/>
      <c r="AF94" s="35"/>
      <c r="AG94" s="35"/>
      <c r="AH94" s="35"/>
      <c r="AI94" s="35"/>
      <c r="AJ94" s="35"/>
      <c r="AK94" s="29"/>
      <c r="AL94" s="29"/>
      <c r="AM94" s="29"/>
      <c r="AN94" s="29"/>
      <c r="AO94" s="29"/>
      <c r="AP94" s="29"/>
      <c r="AQ94" s="29"/>
      <c r="AR94" s="55"/>
      <c r="AS94" s="29"/>
      <c r="AT94" s="29"/>
      <c r="AU94" s="29"/>
      <c r="AV94" s="29"/>
      <c r="AW94" s="29"/>
      <c r="AX94" s="29"/>
      <c r="AY94" s="29"/>
      <c r="AZ94" s="29"/>
      <c r="BA94" s="29"/>
      <c r="BB94" s="29"/>
      <c r="BC94" s="29"/>
      <c r="BD94" s="29"/>
      <c r="BE94" s="29"/>
    </row>
    <row r="95" spans="1:57" ht="14.25" customHeight="1">
      <c r="A95" s="35"/>
      <c r="B95" s="35"/>
      <c r="C95" s="35"/>
      <c r="D95" s="35"/>
      <c r="E95" s="35"/>
      <c r="F95" s="35"/>
      <c r="G95" s="35"/>
      <c r="H95" s="61"/>
      <c r="I95" s="29"/>
      <c r="J95" s="29"/>
      <c r="K95" s="29"/>
      <c r="L95" s="29"/>
      <c r="M95" s="29"/>
      <c r="N95" s="29"/>
      <c r="O95" s="55"/>
      <c r="P95" s="29"/>
      <c r="Q95" s="29"/>
      <c r="R95" s="29"/>
      <c r="S95" s="29"/>
      <c r="T95" s="29"/>
      <c r="U95" s="29"/>
      <c r="V95" s="55"/>
      <c r="W95" s="29"/>
      <c r="X95" s="29"/>
      <c r="Y95" s="29"/>
      <c r="Z95" s="29"/>
      <c r="AA95" s="29"/>
      <c r="AB95" s="29"/>
      <c r="AC95" s="55"/>
      <c r="AD95" s="29"/>
      <c r="AE95" s="35"/>
      <c r="AF95" s="35"/>
      <c r="AG95" s="35"/>
      <c r="AH95" s="35"/>
      <c r="AI95" s="35"/>
      <c r="AJ95" s="35"/>
      <c r="AK95" s="29"/>
      <c r="AL95" s="29"/>
      <c r="AM95" s="29"/>
      <c r="AN95" s="29"/>
      <c r="AO95" s="29"/>
      <c r="AP95" s="29"/>
      <c r="AQ95" s="29"/>
      <c r="AR95" s="55"/>
      <c r="AS95" s="29"/>
      <c r="AT95" s="29"/>
      <c r="AU95" s="29"/>
      <c r="AV95" s="29"/>
      <c r="AW95" s="29"/>
      <c r="AX95" s="29"/>
      <c r="AY95" s="29"/>
      <c r="AZ95" s="29"/>
      <c r="BA95" s="29"/>
      <c r="BB95" s="29"/>
      <c r="BC95" s="29"/>
      <c r="BD95" s="29"/>
      <c r="BE95" s="29"/>
    </row>
    <row r="96" spans="1:57" ht="14.25" customHeight="1">
      <c r="A96" s="35"/>
      <c r="B96" s="35"/>
      <c r="C96" s="35"/>
      <c r="D96" s="35"/>
      <c r="E96" s="35"/>
      <c r="F96" s="35"/>
      <c r="G96" s="35"/>
      <c r="H96" s="61"/>
      <c r="I96" s="29"/>
      <c r="J96" s="29"/>
      <c r="K96" s="29"/>
      <c r="L96" s="29"/>
      <c r="M96" s="29"/>
      <c r="N96" s="29"/>
      <c r="O96" s="55"/>
      <c r="P96" s="29"/>
      <c r="Q96" s="29"/>
      <c r="R96" s="29"/>
      <c r="S96" s="29"/>
      <c r="T96" s="29"/>
      <c r="U96" s="29"/>
      <c r="V96" s="55"/>
      <c r="W96" s="29"/>
      <c r="X96" s="29"/>
      <c r="Y96" s="29"/>
      <c r="Z96" s="29"/>
      <c r="AA96" s="29"/>
      <c r="AB96" s="29"/>
      <c r="AC96" s="55"/>
      <c r="AD96" s="29"/>
      <c r="AE96" s="35"/>
      <c r="AF96" s="35"/>
      <c r="AG96" s="35"/>
      <c r="AH96" s="35"/>
      <c r="AI96" s="35"/>
      <c r="AJ96" s="35"/>
      <c r="AK96" s="29"/>
      <c r="AL96" s="29"/>
      <c r="AM96" s="29"/>
      <c r="AN96" s="29"/>
      <c r="AO96" s="29"/>
      <c r="AP96" s="29"/>
      <c r="AQ96" s="29"/>
      <c r="AR96" s="55"/>
      <c r="AS96" s="29"/>
      <c r="AT96" s="29"/>
      <c r="AU96" s="29"/>
      <c r="AV96" s="29"/>
      <c r="AW96" s="29"/>
      <c r="AX96" s="29"/>
      <c r="AY96" s="29"/>
      <c r="AZ96" s="29"/>
      <c r="BA96" s="29"/>
      <c r="BB96" s="29"/>
      <c r="BC96" s="29"/>
      <c r="BD96" s="29"/>
      <c r="BE96" s="29"/>
    </row>
    <row r="97" spans="1:57" ht="14.25" customHeight="1">
      <c r="A97" s="35"/>
      <c r="B97" s="35"/>
      <c r="C97" s="35"/>
      <c r="D97" s="35"/>
      <c r="E97" s="35"/>
      <c r="F97" s="35"/>
      <c r="G97" s="35"/>
      <c r="H97" s="61"/>
      <c r="I97" s="29"/>
      <c r="J97" s="29"/>
      <c r="K97" s="29"/>
      <c r="L97" s="29"/>
      <c r="M97" s="29"/>
      <c r="N97" s="29"/>
      <c r="O97" s="55"/>
      <c r="P97" s="29"/>
      <c r="Q97" s="29"/>
      <c r="R97" s="29"/>
      <c r="S97" s="29"/>
      <c r="T97" s="29"/>
      <c r="U97" s="29"/>
      <c r="V97" s="55"/>
      <c r="W97" s="29"/>
      <c r="X97" s="29"/>
      <c r="Y97" s="29"/>
      <c r="Z97" s="29"/>
      <c r="AA97" s="29"/>
      <c r="AB97" s="29"/>
      <c r="AC97" s="55"/>
      <c r="AD97" s="29"/>
      <c r="AE97" s="35"/>
      <c r="AF97" s="35"/>
      <c r="AG97" s="35"/>
      <c r="AH97" s="35"/>
      <c r="AI97" s="35"/>
      <c r="AJ97" s="35"/>
      <c r="AK97" s="29"/>
      <c r="AL97" s="29"/>
      <c r="AM97" s="29"/>
      <c r="AN97" s="29"/>
      <c r="AO97" s="29"/>
      <c r="AP97" s="29"/>
      <c r="AQ97" s="29"/>
      <c r="AR97" s="55"/>
      <c r="AS97" s="29"/>
      <c r="AT97" s="29"/>
      <c r="AU97" s="29"/>
      <c r="AV97" s="29"/>
      <c r="AW97" s="29"/>
      <c r="AX97" s="29"/>
      <c r="AY97" s="29"/>
      <c r="AZ97" s="29"/>
      <c r="BA97" s="29"/>
      <c r="BB97" s="29"/>
      <c r="BC97" s="29"/>
      <c r="BD97" s="29"/>
      <c r="BE97" s="29"/>
    </row>
    <row r="98" spans="1:57" ht="14.25" customHeight="1">
      <c r="A98" s="35"/>
      <c r="B98" s="35"/>
      <c r="C98" s="35"/>
      <c r="D98" s="35"/>
      <c r="E98" s="35"/>
      <c r="F98" s="35"/>
      <c r="G98" s="35"/>
      <c r="H98" s="61"/>
      <c r="I98" s="29"/>
      <c r="J98" s="29"/>
      <c r="K98" s="29"/>
      <c r="L98" s="29"/>
      <c r="M98" s="29"/>
      <c r="N98" s="29"/>
      <c r="O98" s="55"/>
      <c r="P98" s="29"/>
      <c r="Q98" s="29"/>
      <c r="R98" s="29"/>
      <c r="S98" s="29"/>
      <c r="T98" s="29"/>
      <c r="U98" s="29"/>
      <c r="V98" s="55"/>
      <c r="W98" s="29"/>
      <c r="X98" s="29"/>
      <c r="Y98" s="29"/>
      <c r="Z98" s="29"/>
      <c r="AA98" s="29"/>
      <c r="AB98" s="29"/>
      <c r="AC98" s="55"/>
      <c r="AD98" s="29"/>
      <c r="AE98" s="35"/>
      <c r="AF98" s="35"/>
      <c r="AG98" s="35"/>
      <c r="AH98" s="35"/>
      <c r="AI98" s="35"/>
      <c r="AJ98" s="35"/>
      <c r="AK98" s="29"/>
      <c r="AL98" s="29"/>
      <c r="AM98" s="29"/>
      <c r="AN98" s="29"/>
      <c r="AO98" s="29"/>
      <c r="AP98" s="29"/>
      <c r="AQ98" s="29"/>
      <c r="AR98" s="55"/>
      <c r="AS98" s="29"/>
      <c r="AT98" s="29"/>
      <c r="AU98" s="29"/>
      <c r="AV98" s="29"/>
      <c r="AW98" s="29"/>
      <c r="AX98" s="29"/>
      <c r="AY98" s="29"/>
      <c r="AZ98" s="29"/>
      <c r="BA98" s="29"/>
      <c r="BB98" s="29"/>
      <c r="BC98" s="29"/>
      <c r="BD98" s="29"/>
      <c r="BE98" s="29"/>
    </row>
    <row r="99" spans="1:57" ht="14.25" customHeight="1">
      <c r="A99" s="35"/>
      <c r="B99" s="35"/>
      <c r="C99" s="35"/>
      <c r="D99" s="35"/>
      <c r="E99" s="35"/>
      <c r="F99" s="35"/>
      <c r="G99" s="35"/>
      <c r="H99" s="61"/>
      <c r="I99" s="29"/>
      <c r="J99" s="29"/>
      <c r="K99" s="29"/>
      <c r="L99" s="29"/>
      <c r="M99" s="29"/>
      <c r="N99" s="29"/>
      <c r="O99" s="55"/>
      <c r="P99" s="29"/>
      <c r="Q99" s="29"/>
      <c r="R99" s="29"/>
      <c r="S99" s="29"/>
      <c r="T99" s="29"/>
      <c r="U99" s="29"/>
      <c r="V99" s="55"/>
      <c r="W99" s="29"/>
      <c r="X99" s="29"/>
      <c r="Y99" s="29"/>
      <c r="Z99" s="29"/>
      <c r="AA99" s="29"/>
      <c r="AB99" s="29"/>
      <c r="AC99" s="55"/>
      <c r="AD99" s="29"/>
      <c r="AE99" s="35"/>
      <c r="AF99" s="35"/>
      <c r="AG99" s="35"/>
      <c r="AH99" s="35"/>
      <c r="AI99" s="35"/>
      <c r="AJ99" s="35"/>
      <c r="AK99" s="29"/>
      <c r="AL99" s="29"/>
      <c r="AM99" s="29"/>
      <c r="AN99" s="29"/>
      <c r="AO99" s="29"/>
      <c r="AP99" s="29"/>
      <c r="AQ99" s="29"/>
      <c r="AR99" s="55"/>
      <c r="AS99" s="29"/>
      <c r="AT99" s="29"/>
      <c r="AU99" s="29"/>
      <c r="AV99" s="29"/>
      <c r="AW99" s="29"/>
      <c r="AX99" s="29"/>
      <c r="AY99" s="29"/>
      <c r="AZ99" s="29"/>
      <c r="BA99" s="29"/>
      <c r="BB99" s="29"/>
      <c r="BC99" s="29"/>
      <c r="BD99" s="29"/>
      <c r="BE99" s="29"/>
    </row>
    <row r="100" spans="1:57" ht="14.25" customHeight="1">
      <c r="A100" s="35"/>
      <c r="B100" s="35"/>
      <c r="C100" s="35"/>
      <c r="D100" s="35"/>
      <c r="E100" s="35"/>
      <c r="F100" s="35"/>
      <c r="G100" s="35"/>
      <c r="H100" s="61"/>
      <c r="I100" s="29"/>
      <c r="J100" s="29"/>
      <c r="K100" s="29"/>
      <c r="L100" s="29"/>
      <c r="M100" s="29"/>
      <c r="N100" s="29"/>
      <c r="O100" s="55"/>
      <c r="P100" s="29"/>
      <c r="Q100" s="29"/>
      <c r="R100" s="29"/>
      <c r="S100" s="29"/>
      <c r="T100" s="29"/>
      <c r="U100" s="29"/>
      <c r="V100" s="55"/>
      <c r="W100" s="29"/>
      <c r="X100" s="29"/>
      <c r="Y100" s="29"/>
      <c r="Z100" s="29"/>
      <c r="AA100" s="29"/>
      <c r="AB100" s="29"/>
      <c r="AC100" s="55"/>
      <c r="AD100" s="29"/>
      <c r="AE100" s="35"/>
      <c r="AF100" s="35"/>
      <c r="AG100" s="35"/>
      <c r="AH100" s="35"/>
      <c r="AI100" s="35"/>
      <c r="AJ100" s="35"/>
      <c r="AK100" s="29"/>
      <c r="AL100" s="29"/>
      <c r="AM100" s="29"/>
      <c r="AN100" s="29"/>
      <c r="AO100" s="29"/>
      <c r="AP100" s="29"/>
      <c r="AQ100" s="29"/>
      <c r="AR100" s="55"/>
      <c r="AS100" s="29"/>
      <c r="AT100" s="29"/>
      <c r="AU100" s="29"/>
      <c r="AV100" s="29"/>
      <c r="AW100" s="29"/>
      <c r="AX100" s="29"/>
      <c r="AY100" s="29"/>
      <c r="AZ100" s="29"/>
      <c r="BA100" s="29"/>
      <c r="BB100" s="29"/>
      <c r="BC100" s="29"/>
      <c r="BD100" s="29"/>
      <c r="BE100" s="29"/>
    </row>
  </sheetData>
  <dataValidations count="2">
    <dataValidation type="list" allowBlank="1" showErrorMessage="1" sqref="A1">
      <formula1>$H$2:$H$61</formula1>
    </dataValidation>
    <dataValidation type="list" allowBlank="1" showErrorMessage="1" sqref="AE1">
      <formula1>$H$32:$H$61</formula1>
    </dataValidation>
  </dataValidations>
  <pageMargins left="0.7" right="0.7" top="0.75" bottom="0.75" header="0" footer="0"/>
  <pageSetup orientation="portrait" useFirstPageNumber="1"/>
  <headerFooter>
    <oddHeader>&amp;L&amp;C&amp;R</oddHeader>
    <oddFooter>&amp;L&amp;C&amp;R</oddFooter>
  </headerFooter>
  <extLst/>
</worksheet>
</file>

<file path=xl/worksheets/sheet6.xml><?xml version="1.0" encoding="utf-8"?>
<worksheet xmlns="http://schemas.openxmlformats.org/spreadsheetml/2006/main" xmlns:r="http://schemas.openxmlformats.org/officeDocument/2006/relationships">
  <dimension ref="A1:BF100"/>
  <sheetViews>
    <sheetView tabSelected="1" zoomScale="110" zoomScaleNormal="110" workbookViewId="0">
      <selection activeCell="A2" sqref="A2:XFD9"/>
    </sheetView>
  </sheetViews>
  <sheetFormatPr defaultColWidth="9.140625" defaultRowHeight="15" customHeight="1"/>
  <cols>
    <col min="1" max="1" width="19.140625" customWidth="1"/>
    <col min="2" max="6" width="7.7109375" customWidth="1"/>
    <col min="7" max="7" width="11.85546875" hidden="1" customWidth="1"/>
    <col min="8" max="8" width="27.42578125" style="58" hidden="1" customWidth="1"/>
    <col min="9" max="9" width="19" style="9" hidden="1" customWidth="1"/>
    <col min="10" max="14" width="7.7109375" style="9" hidden="1" customWidth="1"/>
    <col min="15" max="15" width="12.140625" style="82" hidden="1" customWidth="1"/>
    <col min="16" max="16" width="25.85546875" style="82" hidden="1" customWidth="1"/>
    <col min="17" max="21" width="7.7109375" style="9" hidden="1" customWidth="1"/>
    <col min="22" max="22" width="17" style="82" hidden="1" customWidth="1"/>
    <col min="23" max="23" width="19" style="9" hidden="1" customWidth="1"/>
    <col min="24" max="28" width="7.7109375" style="9" hidden="1" customWidth="1"/>
    <col min="29" max="29" width="14.5703125" style="82" hidden="1" customWidth="1"/>
    <col min="30" max="30" width="7.7109375" style="9" hidden="1" customWidth="1"/>
    <col min="31" max="34" width="7.7109375" hidden="1" customWidth="1"/>
    <col min="35" max="35" width="12.85546875" hidden="1" customWidth="1"/>
    <col min="36" max="36" width="7.7109375" hidden="1" customWidth="1"/>
    <col min="37" max="37" width="7.7109375" style="9" hidden="1" customWidth="1"/>
    <col min="38" max="38" width="19" style="9" hidden="1" customWidth="1"/>
    <col min="39" max="44" width="7.7109375" style="9" hidden="1" customWidth="1"/>
    <col min="45" max="45" width="19" style="9" hidden="1" customWidth="1"/>
    <col min="46" max="51" width="7.7109375" style="9" hidden="1" customWidth="1"/>
    <col min="52" max="52" width="19" style="9" hidden="1" customWidth="1"/>
    <col min="53" max="57" width="7.7109375" style="9" hidden="1" customWidth="1"/>
    <col min="58" max="58" width="0" hidden="1" customWidth="1"/>
  </cols>
  <sheetData>
    <row r="1" spans="1:58" ht="24" customHeight="1" thickBot="1">
      <c r="A1" s="1" t="s">
        <v>1270</v>
      </c>
      <c r="B1" s="2"/>
      <c r="C1" s="2"/>
      <c r="D1" s="2"/>
      <c r="E1" s="2"/>
      <c r="F1" s="2"/>
      <c r="G1" s="2"/>
      <c r="H1" s="30"/>
      <c r="I1" s="2"/>
      <c r="J1" s="2"/>
      <c r="K1" s="2"/>
      <c r="L1" s="2"/>
      <c r="M1" s="2"/>
      <c r="N1" s="2"/>
      <c r="O1" s="80"/>
      <c r="P1" s="80"/>
      <c r="Q1" s="2"/>
      <c r="R1" s="2"/>
      <c r="S1" s="2"/>
      <c r="T1" s="2"/>
      <c r="U1" s="2"/>
      <c r="V1" s="80"/>
      <c r="W1" s="2"/>
      <c r="X1" s="2"/>
      <c r="Y1" s="2"/>
      <c r="Z1" s="2"/>
      <c r="AA1" s="2"/>
      <c r="AB1" s="2"/>
      <c r="AC1" s="80"/>
      <c r="AD1" s="2"/>
      <c r="AE1" s="1" t="s">
        <v>900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</row>
    <row r="2" spans="1:58" ht="15" hidden="1" customHeight="1">
      <c r="A2" s="3" t="str">
        <f>IF($A$1=$H$2,I2,IF($A$1=$H$3,I7,IF($A$1=$H$4,I12,IF($A$1=$H$5,I17,IF($A$1=$H$6,I22,IF($A$1=$H$7,I27,IF($A$1=$H$8,I32,IF($A$1=$H$9,I37,IF($A$1=$H$10,I42,IF($A$1=$H$11,I47,IF($A$1=$H$12,P2,IF($A$1=$H$13,P7,IF($A$1=$H$14,P12,IF($A$1=$H$15,P17,IF($A$1=$H$16,P22,IF($A$1=$H$17,P27,IF($A$1=$H$18,P32,IF($A$1=$H$19,P37,IF($A$1=$H$20,P42,IF($A$1=$H$21,P47,IF($A$1=$H$21,P52,IF($A$1=$H$22,W2,IF($A$1=$H$23,W7,IF($A$1=$H$24,W12,IF($A$1=$H$25,W17,IF($A$1=$H$26,W22,IF($A$1=$H$27,W27,IF($A$1=$H$28,W32,IF($A$1=$H$29,W37,IF($A$1=$H$30,W42,IF($A$1=$H$31,W47)))))))))))))))))))))))))))))))</f>
        <v>21 ਕੋਟ ਚੰਦ</v>
      </c>
      <c r="B2" s="3" t="str">
        <f t="shared" ref="B2:E2" si="0">IF($A$1=$H$2,J2,IF($A$1=$H$3,J7,IF($A$1=$H$4,J12,IF($A$1=$H$5,J17,IF($A$1=$H$6,J22,IF($A$1=$H$7,J27,IF($A$1=$H$8,J32,IF($A$1=$H$9,J37,IF($A$1=$H$10,J42,IF($A$1=$H$11,J47,IF($A$1=$H$12,Q2,IF($A$1=$H$13,Q7,IF($A$1=$H$14,Q12,IF($A$1=$H$15,Q17,IF($A$1=$H$16,Q22,IF($A$1=$H$17,Q27,IF($A$1=$H$18,Q32,IF($A$1=$H$19,Q37,IF($A$1=$H$20,Q42,IF($A$1=$H$21,Q47,IF($A$1=$H$21,Q52,IF($A$1=$H$22,X2,IF($A$1=$H$23,X7,IF($A$1=$H$24,X12,IF($A$1=$H$25,X17,IF($A$1=$H$26,X22,IF($A$1=$H$27,X27,IF($A$1=$H$28,X32,IF($A$1=$H$29,X37,IF($A$1=$H$30,X42,IF($A$1=$H$31,X47)))))))))))))))))))))))))))))))</f>
        <v>ਵਰਿੰਦਰ ਕੁਮਾਰ</v>
      </c>
      <c r="C2" s="3">
        <f t="shared" si="0"/>
        <v>1</v>
      </c>
      <c r="D2" s="3">
        <f t="shared" si="0"/>
        <v>1</v>
      </c>
      <c r="E2" s="3">
        <f t="shared" si="0"/>
        <v>1</v>
      </c>
      <c r="F2" s="3">
        <f>IF($A$1=$H$2,N2,IF($A$1=$H$3,N7,IF($A$1=$H$4,N12,IF($A$1=$H$5,N17,IF($A$1=$H$6,N22,IF($A$1=$H$7,N27,IF($A$1=$H$8,N32,IF($A$1=$H$9,N37,IF($A$1=$H$10,N42,IF($A$1=$H$11,N47,IF($A$1=$H$12,U2,IF($A$1=$H$13,U7,IF($A$1=$H$14,U12,IF($A$1=$H$15,U17,IF($A$1=$H$16,U22,IF($A$1=$H$17,U27,IF($A$1=$H$18,U32,IF($A$1=$H$19,U37,IF($A$1=$H$20,U42,IF($A$1=$H$21,U47,IF($A$1=$H$21,U52,IF($A$1=$H$22,AB2,IF($A$1=$H$23,AB7,IF($A$1=$H$24,AB12,IF($A$1=$H$25,AB17,IF($A$1=$H$26,AB22,IF($A$1=$H$27,AB27,IF($A$1=$H$28,AB32,IF($A$1=$H$29,AB37,IF($A$1=$H$30,AB42,IF($A$1=$H$31,AB47)))))))))))))))))))))))))))))))</f>
        <v>1</v>
      </c>
      <c r="G2" s="243" t="str">
        <f>IF($A$1=$H$2,O2,IF($A$1=$H$3,O7,IF($A$1=$H$4,O12,IF($A$1=$H$5,O17,IF($A$1=$H$6,O22,IF($A$1=$H$7,O27,IF($A$1=$H$8,O32,IF($A$1=$H$9,O37,IF($A$1=$H$10,O42,IF($A$1=$H$11,O47,IF($A$1=$H$12,V2,IF($A$1=$H$13,V7,IF($A$1=$H$14,V12,IF($A$1=$H$15,V17,IF($A$1=$H$16,V22,IF($A$1=$H$17,V27,IF($A$1=$H$18,V32,IF($A$1=$H$19,V37,IF($A$1=$H$20,V42,IF($A$1=$H$21,V47,IF($A$1=$H$21,V52,IF($A$1=$H$22,AC2,IF($A$1=$H$23,AC7,IF($A$1=$H$24,AC12,IF($A$1=$H$25,AC17,IF($A$1=$H$26,AC22,IF($A$1=$H$27,AC27,IF($A$1=$H$28,AC32,IF($A$1=$H$29,AC37,IF($A$1=$H$30,AC42,IF($A$1=$H$31,AC47)))))))))))))))))))))))))))))))</f>
        <v>https://serving.photos.photobox.com/67810365cbf86b76eb0d09d063e2c6ada3ed170190fdae8d4d29093f41c8edee34991874.jpg</v>
      </c>
      <c r="H2" s="45" t="str">
        <f>I2</f>
        <v>1 ਜੰਮੂ ਰਾਮ</v>
      </c>
      <c r="I2" s="73" t="s">
        <v>899</v>
      </c>
      <c r="J2" s="5" t="s">
        <v>547</v>
      </c>
      <c r="K2" s="5">
        <v>1</v>
      </c>
      <c r="L2" s="5">
        <v>1</v>
      </c>
      <c r="M2" s="5">
        <v>1</v>
      </c>
      <c r="N2" s="5">
        <v>1</v>
      </c>
      <c r="O2" s="80" t="s">
        <v>1257</v>
      </c>
      <c r="P2" s="122" t="s">
        <v>901</v>
      </c>
      <c r="Q2" s="5" t="s">
        <v>902</v>
      </c>
      <c r="R2" s="5" t="s">
        <v>394</v>
      </c>
      <c r="S2" s="5" t="s">
        <v>903</v>
      </c>
      <c r="T2" s="5">
        <v>1</v>
      </c>
      <c r="U2" s="5">
        <v>1</v>
      </c>
      <c r="V2" s="80" t="s">
        <v>1430</v>
      </c>
      <c r="W2" s="125" t="s">
        <v>1270</v>
      </c>
      <c r="X2" s="5" t="s">
        <v>176</v>
      </c>
      <c r="Y2" s="5">
        <v>1</v>
      </c>
      <c r="Z2" s="5">
        <v>1</v>
      </c>
      <c r="AA2" s="5">
        <v>1</v>
      </c>
      <c r="AB2" s="5">
        <v>1</v>
      </c>
      <c r="AC2" s="80" t="s">
        <v>1268</v>
      </c>
      <c r="AD2" s="2"/>
      <c r="AE2" s="3" t="str">
        <f t="shared" ref="AE2:AJ6" si="1">IF($AE$1=$AK$2,AL2,IF($AE$1=$AK$3,AL7,IF($AE$1=$AK$4,AL12,IF($AE$1=$AK$5,AL17,IF($AE$1=$AK$6,AL22,IF($AE$1=$AK$7,AL27,IF($AE$1=$AK$8,AL32,IF($AE$1=$AK$9,AL37,IF($AE$1=$AK$10,AL42,IF($AE$1=$AK$11,AL47,IF($AE$1=$AK$12,AS2,IF($AE$1=$AK$13,AS7,IF($AE$1=$AK$14,AS12,IF($AE$1=$AK$15,AS17,IF($AE$1=$AK$16,AS22,IF($AE$1=$AK$17,AS27,IF($AE$1=$AK$18,AS32,IF($AE$1=$AK$19,AS37,IF($AE$1=$AK$20,AS42,IF($AE$1=$AK$21,AS47,IF($AE$1=$AK$21,AS52,IF($AE$1=$AK$22,AZ2,IF($AE$1=$AK$23,AZ7,IF($AE$1=$AK$24,AZ12,IF($AE$1=$AK$25,AZ17,IF($AE$1=$AK$26,AZ22,IF($AE$1=$AK$27,AZ27,IF($AE$1=$AK$28,AZ32,IF($AE$1=$AK$29,AZ37,IF($AE$1=$AK$30,AZ42,IF($AE$1=$AK$31,AZ47)))))))))))))))))))))))))))))))</f>
        <v>31 one</v>
      </c>
      <c r="AF2" s="3">
        <f t="shared" si="1"/>
        <v>1</v>
      </c>
      <c r="AG2" s="3">
        <f t="shared" si="1"/>
        <v>1</v>
      </c>
      <c r="AH2" s="3">
        <f t="shared" si="1"/>
        <v>1</v>
      </c>
      <c r="AI2" s="3">
        <f t="shared" si="1"/>
        <v>1</v>
      </c>
      <c r="AJ2" s="3">
        <f t="shared" si="1"/>
        <v>1</v>
      </c>
      <c r="AK2" s="4" t="str">
        <f>AL2</f>
        <v>31 one</v>
      </c>
      <c r="AL2" s="73" t="s">
        <v>900</v>
      </c>
      <c r="AM2" s="5">
        <v>1</v>
      </c>
      <c r="AN2" s="5">
        <v>1</v>
      </c>
      <c r="AO2" s="5">
        <v>1</v>
      </c>
      <c r="AP2" s="5">
        <v>1</v>
      </c>
      <c r="AQ2" s="5">
        <v>1</v>
      </c>
      <c r="AR2" s="2">
        <v>2</v>
      </c>
      <c r="AS2" s="17" t="s">
        <v>785</v>
      </c>
      <c r="AT2" s="18">
        <v>1</v>
      </c>
      <c r="AU2" s="18">
        <v>1</v>
      </c>
      <c r="AV2" s="18">
        <v>1</v>
      </c>
      <c r="AW2" s="18">
        <v>1</v>
      </c>
      <c r="AX2" s="18">
        <v>1</v>
      </c>
      <c r="AY2" s="29">
        <v>2</v>
      </c>
      <c r="AZ2" s="17" t="s">
        <v>51</v>
      </c>
      <c r="BA2" s="5">
        <v>1</v>
      </c>
      <c r="BB2" s="5">
        <v>1</v>
      </c>
      <c r="BC2" s="5">
        <v>1</v>
      </c>
      <c r="BD2" s="5">
        <v>1</v>
      </c>
      <c r="BE2" s="5">
        <v>1</v>
      </c>
      <c r="BF2" s="205">
        <v>2</v>
      </c>
    </row>
    <row r="3" spans="1:58" ht="14.25" hidden="1" customHeight="1">
      <c r="A3" s="3" t="str">
        <f t="shared" ref="A3:A6" si="2">IF($A$1=$H$2,I3,IF($A$1=$H$3,I8,IF($A$1=$H$4,I13,IF($A$1=$H$5,I18,IF($A$1=$H$6,I23,IF($A$1=$H$7,I28,IF($A$1=$H$8,I33,IF($A$1=$H$9,I38,IF($A$1=$H$10,I43,IF($A$1=$H$11,I48,IF($A$1=$H$12,P3,IF($A$1=$H$13,P8,IF($A$1=$H$14,P13,IF($A$1=$H$15,P18,IF($A$1=$H$16,P23,IF($A$1=$H$17,P28,IF($A$1=$H$18,P33,IF($A$1=$H$19,P38,IF($A$1=$H$20,P43,IF($A$1=$H$21,P48,IF($A$1=$H$21,P53,IF($A$1=$H$22,W3,IF($A$1=$H$23,W8,IF($A$1=$H$24,W13,IF($A$1=$H$25,W18,IF($A$1=$H$26,W23,IF($A$1=$H$27,W28,IF($A$1=$H$28,W33,IF($A$1=$H$29,W38,IF($A$1=$H$30,W43,IF($A$1=$H$31,W48)))))))))))))))))))))))))))))))</f>
        <v>ਦੇਵ ਰਾਜ</v>
      </c>
      <c r="B3" s="3" t="str">
        <f t="shared" ref="B3:B6" si="3">IF($A$1=$H$2,J3,IF($A$1=$H$3,J8,IF($A$1=$H$4,J13,IF($A$1=$H$5,J18,IF($A$1=$H$6,J23,IF($A$1=$H$7,J28,IF($A$1=$H$8,J33,IF($A$1=$H$9,J38,IF($A$1=$H$10,J43,IF($A$1=$H$11,J48,IF($A$1=$H$12,Q3,IF($A$1=$H$13,Q8,IF($A$1=$H$14,Q13,IF($A$1=$H$15,Q18,IF($A$1=$H$16,Q23,IF($A$1=$H$17,Q28,IF($A$1=$H$18,Q33,IF($A$1=$H$19,Q38,IF($A$1=$H$20,Q43,IF($A$1=$H$21,Q48,IF($A$1=$H$21,Q53,IF($A$1=$H$22,X3,IF($A$1=$H$23,X8,IF($A$1=$H$24,X13,IF($A$1=$H$25,X18,IF($A$1=$H$26,X23,IF($A$1=$H$27,X28,IF($A$1=$H$28,X33,IF($A$1=$H$29,X38,IF($A$1=$H$30,X43,IF($A$1=$H$31,X48)))))))))))))))))))))))))))))))</f>
        <v>ਕੈਲਾਸ਼ ਰਾਣੀ</v>
      </c>
      <c r="C3" s="3" t="str">
        <f t="shared" ref="C3:C6" si="4">IF($A$1=$H$2,K3,IF($A$1=$H$3,K8,IF($A$1=$H$4,K13,IF($A$1=$H$5,K18,IF($A$1=$H$6,K23,IF($A$1=$H$7,K28,IF($A$1=$H$8,K33,IF($A$1=$H$9,K38,IF($A$1=$H$10,K43,IF($A$1=$H$11,K48,IF($A$1=$H$12,R3,IF($A$1=$H$13,R8,IF($A$1=$H$14,R13,IF($A$1=$H$15,R18,IF($A$1=$H$16,R23,IF($A$1=$H$17,R28,IF($A$1=$H$18,R33,IF($A$1=$H$19,R38,IF($A$1=$H$20,R43,IF($A$1=$H$21,R48,IF($A$1=$H$21,R53,IF($A$1=$H$22,Y3,IF($A$1=$H$23,Y8,IF($A$1=$H$24,Y13,IF($A$1=$H$25,Y18,IF($A$1=$H$26,Y23,IF($A$1=$H$27,Y28,IF($A$1=$H$28,Y33,IF($A$1=$H$29,Y38,IF($A$1=$H$30,Y43,IF($A$1=$H$31,Y48)))))))))))))))))))))))))))))))</f>
        <v>ਰਣਜੀਤ ਕੁਮਾਰ</v>
      </c>
      <c r="D3" s="3" t="str">
        <f t="shared" ref="D3:D6" si="5">IF($A$1=$H$2,L3,IF($A$1=$H$3,L8,IF($A$1=$H$4,L13,IF($A$1=$H$5,L18,IF($A$1=$H$6,L23,IF($A$1=$H$7,L28,IF($A$1=$H$8,L33,IF($A$1=$H$9,L38,IF($A$1=$H$10,L43,IF($A$1=$H$11,L48,IF($A$1=$H$12,S3,IF($A$1=$H$13,S8,IF($A$1=$H$14,S13,IF($A$1=$H$15,S18,IF($A$1=$H$16,S23,IF($A$1=$H$17,S28,IF($A$1=$H$18,S33,IF($A$1=$H$19,S38,IF($A$1=$H$20,S43,IF($A$1=$H$21,S48,IF($A$1=$H$21,S53,IF($A$1=$H$22,Z3,IF($A$1=$H$23,Z8,IF($A$1=$H$24,Z13,IF($A$1=$H$25,Z18,IF($A$1=$H$26,Z23,IF($A$1=$H$27,Z28,IF($A$1=$H$28,Z33,IF($A$1=$H$29,Z38,IF($A$1=$H$30,Z43,IF($A$1=$H$31,Z48)))))))))))))))))))))))))))))))</f>
        <v>ਨਿਸ਼ਾ ਰਾਣੀ</v>
      </c>
      <c r="E3" s="3">
        <f t="shared" ref="E3:E6" si="6">IF($A$1=$H$2,M3,IF($A$1=$H$3,M8,IF($A$1=$H$4,M13,IF($A$1=$H$5,M18,IF($A$1=$H$6,M23,IF($A$1=$H$7,M28,IF($A$1=$H$8,M33,IF($A$1=$H$9,M38,IF($A$1=$H$10,M43,IF($A$1=$H$11,M48,IF($A$1=$H$12,T3,IF($A$1=$H$13,T8,IF($A$1=$H$14,T13,IF($A$1=$H$15,T18,IF($A$1=$H$16,T23,IF($A$1=$H$17,T28,IF($A$1=$H$18,T33,IF($A$1=$H$19,T38,IF($A$1=$H$20,T43,IF($A$1=$H$21,T48,IF($A$1=$H$21,T53,IF($A$1=$H$22,AA3,IF($A$1=$H$23,AA8,IF($A$1=$H$24,AA13,IF($A$1=$H$25,AA18,IF($A$1=$H$26,AA23,IF($A$1=$H$27,AA28,IF($A$1=$H$28,AA33,IF($A$1=$H$29,AA38,IF($A$1=$H$30,AA43,IF($A$1=$H$31,AA48)))))))))))))))))))))))))))))))</f>
        <v>1</v>
      </c>
      <c r="F3" s="3">
        <f t="shared" ref="F3:F6" si="7">IF($A$1=$H$2,N3,IF($A$1=$H$3,N8,IF($A$1=$H$4,N13,IF($A$1=$H$5,N18,IF($A$1=$H$6,N23,IF($A$1=$H$7,N28,IF($A$1=$H$8,N33,IF($A$1=$H$9,N38,IF($A$1=$H$10,N43,IF($A$1=$H$11,N48,IF($A$1=$H$12,U3,IF($A$1=$H$13,U8,IF($A$1=$H$14,U13,IF($A$1=$H$15,U18,IF($A$1=$H$16,U23,IF($A$1=$H$17,U28,IF($A$1=$H$18,U33,IF($A$1=$H$19,U38,IF($A$1=$H$20,U43,IF($A$1=$H$21,U48,IF($A$1=$H$21,U53,IF($A$1=$H$22,AB3,IF($A$1=$H$23,AB8,IF($A$1=$H$24,AB13,IF($A$1=$H$25,AB18,IF($A$1=$H$26,AB23,IF($A$1=$H$27,AB28,IF($A$1=$H$28,AB33,IF($A$1=$H$29,AB38,IF($A$1=$H$30,AB43,IF($A$1=$H$31,AB48)))))))))))))))))))))))))))))))</f>
        <v>1</v>
      </c>
      <c r="G3" s="105"/>
      <c r="H3" s="76" t="str">
        <f>I7</f>
        <v>2 ਟੇਕ ਚੰਦ ਝਾਂਗੀ ਰਾਮ</v>
      </c>
      <c r="I3" s="5" t="s">
        <v>89</v>
      </c>
      <c r="J3" s="5" t="s">
        <v>905</v>
      </c>
      <c r="K3" s="213" t="s">
        <v>393</v>
      </c>
      <c r="L3" s="5">
        <v>1</v>
      </c>
      <c r="M3" s="5">
        <v>1</v>
      </c>
      <c r="N3" s="5">
        <v>1</v>
      </c>
      <c r="O3" s="5">
        <v>1</v>
      </c>
      <c r="P3" s="123">
        <v>2</v>
      </c>
      <c r="Q3" s="5" t="s">
        <v>345</v>
      </c>
      <c r="R3" s="5">
        <v>1</v>
      </c>
      <c r="S3" s="5">
        <v>1</v>
      </c>
      <c r="T3" s="5">
        <v>1</v>
      </c>
      <c r="U3" s="5">
        <v>1</v>
      </c>
      <c r="V3" s="5">
        <v>1</v>
      </c>
      <c r="W3" s="5" t="s">
        <v>44</v>
      </c>
      <c r="X3" s="5" t="s">
        <v>164</v>
      </c>
      <c r="Y3" s="5" t="s">
        <v>193</v>
      </c>
      <c r="Z3" s="5" t="s">
        <v>918</v>
      </c>
      <c r="AA3" s="5">
        <v>1</v>
      </c>
      <c r="AB3" s="5">
        <v>1</v>
      </c>
      <c r="AC3" s="5">
        <v>1</v>
      </c>
      <c r="AD3" s="2"/>
      <c r="AE3" s="3">
        <f t="shared" si="1"/>
        <v>2</v>
      </c>
      <c r="AF3" s="3">
        <f t="shared" si="1"/>
        <v>1</v>
      </c>
      <c r="AG3" s="3">
        <f t="shared" si="1"/>
        <v>1</v>
      </c>
      <c r="AH3" s="3">
        <f t="shared" si="1"/>
        <v>1</v>
      </c>
      <c r="AI3" s="3">
        <f t="shared" si="1"/>
        <v>1</v>
      </c>
      <c r="AJ3" s="3">
        <f t="shared" si="1"/>
        <v>1</v>
      </c>
      <c r="AK3" s="4" t="str">
        <f>AL7</f>
        <v>32 two</v>
      </c>
      <c r="AL3" s="5">
        <v>2</v>
      </c>
      <c r="AM3" s="5">
        <v>1</v>
      </c>
      <c r="AN3" s="5">
        <v>1</v>
      </c>
      <c r="AO3" s="5">
        <v>1</v>
      </c>
      <c r="AP3" s="5">
        <v>1</v>
      </c>
      <c r="AQ3" s="5">
        <v>1</v>
      </c>
      <c r="AR3" s="2">
        <v>2</v>
      </c>
      <c r="AS3" s="18">
        <v>2</v>
      </c>
      <c r="AT3" s="18">
        <v>1</v>
      </c>
      <c r="AU3" s="18">
        <v>1</v>
      </c>
      <c r="AV3" s="18">
        <v>1</v>
      </c>
      <c r="AW3" s="18">
        <v>1</v>
      </c>
      <c r="AX3" s="18">
        <v>1</v>
      </c>
      <c r="AY3" s="29">
        <v>2</v>
      </c>
      <c r="AZ3" s="18">
        <v>2</v>
      </c>
      <c r="BA3" s="5">
        <v>1</v>
      </c>
      <c r="BB3" s="5">
        <v>1</v>
      </c>
      <c r="BC3" s="5">
        <v>1</v>
      </c>
      <c r="BD3" s="5">
        <v>1</v>
      </c>
      <c r="BE3" s="5">
        <v>1</v>
      </c>
      <c r="BF3" s="205">
        <v>2</v>
      </c>
    </row>
    <row r="4" spans="1:58" ht="14.25" hidden="1" customHeight="1">
      <c r="A4" s="3" t="str">
        <f t="shared" si="2"/>
        <v>ਕ੍ਰਿਸ਼ਨ ਬਲਦੇਵ</v>
      </c>
      <c r="B4" s="3" t="str">
        <f t="shared" si="3"/>
        <v>ਨੀਲਮ ਰਾਣੀ</v>
      </c>
      <c r="C4" s="3" t="str">
        <f t="shared" si="4"/>
        <v>ਮੰਜੂ ਬਾਲਾ</v>
      </c>
      <c r="D4" s="3" t="str">
        <f t="shared" si="5"/>
        <v>ਸੰਗਮ ਕੰਬੋਜ</v>
      </c>
      <c r="E4" s="3">
        <f t="shared" si="6"/>
        <v>1</v>
      </c>
      <c r="F4" s="3">
        <f t="shared" si="7"/>
        <v>1</v>
      </c>
      <c r="G4" s="105"/>
      <c r="H4" s="76" t="str">
        <f>I12</f>
        <v>3 ਰਾਜ ਕੁਮਾਰ ਝਾਂਗੀ ਰਾਮ</v>
      </c>
      <c r="I4" s="5">
        <v>3</v>
      </c>
      <c r="J4" s="5">
        <v>1</v>
      </c>
      <c r="K4" s="5">
        <v>1</v>
      </c>
      <c r="L4" s="5">
        <v>1</v>
      </c>
      <c r="M4" s="5">
        <v>1</v>
      </c>
      <c r="N4" s="5">
        <v>1</v>
      </c>
      <c r="O4" s="5">
        <v>1</v>
      </c>
      <c r="P4" s="123">
        <v>3</v>
      </c>
      <c r="Q4" s="5">
        <v>1</v>
      </c>
      <c r="R4" s="5">
        <v>1</v>
      </c>
      <c r="S4" s="5">
        <v>1</v>
      </c>
      <c r="T4" s="5">
        <v>1</v>
      </c>
      <c r="U4" s="5">
        <v>1</v>
      </c>
      <c r="V4" s="5">
        <v>1</v>
      </c>
      <c r="W4" s="5" t="s">
        <v>920</v>
      </c>
      <c r="X4" s="5" t="s">
        <v>48</v>
      </c>
      <c r="Y4" s="5" t="s">
        <v>437</v>
      </c>
      <c r="Z4" s="5" t="s">
        <v>921</v>
      </c>
      <c r="AA4" s="5">
        <v>1</v>
      </c>
      <c r="AB4" s="5">
        <v>1</v>
      </c>
      <c r="AC4" s="5">
        <v>1</v>
      </c>
      <c r="AD4" s="2"/>
      <c r="AE4" s="3">
        <f t="shared" si="1"/>
        <v>3</v>
      </c>
      <c r="AF4" s="3">
        <f t="shared" si="1"/>
        <v>1</v>
      </c>
      <c r="AG4" s="3">
        <f t="shared" si="1"/>
        <v>1</v>
      </c>
      <c r="AH4" s="3">
        <f t="shared" si="1"/>
        <v>1</v>
      </c>
      <c r="AI4" s="3">
        <f t="shared" si="1"/>
        <v>1</v>
      </c>
      <c r="AJ4" s="3">
        <f t="shared" si="1"/>
        <v>1</v>
      </c>
      <c r="AK4" s="4" t="str">
        <f>AL12</f>
        <v>33 three</v>
      </c>
      <c r="AL4" s="5">
        <v>3</v>
      </c>
      <c r="AM4" s="5">
        <v>1</v>
      </c>
      <c r="AN4" s="5">
        <v>1</v>
      </c>
      <c r="AO4" s="5">
        <v>1</v>
      </c>
      <c r="AP4" s="5">
        <v>1</v>
      </c>
      <c r="AQ4" s="5">
        <v>1</v>
      </c>
      <c r="AR4" s="2">
        <v>2</v>
      </c>
      <c r="AS4" s="18">
        <v>3</v>
      </c>
      <c r="AT4" s="18">
        <v>1</v>
      </c>
      <c r="AU4" s="18">
        <v>1</v>
      </c>
      <c r="AV4" s="18">
        <v>1</v>
      </c>
      <c r="AW4" s="18">
        <v>1</v>
      </c>
      <c r="AX4" s="18">
        <v>1</v>
      </c>
      <c r="AY4" s="29">
        <v>2</v>
      </c>
      <c r="AZ4" s="18">
        <v>3</v>
      </c>
      <c r="BA4" s="5">
        <v>1</v>
      </c>
      <c r="BB4" s="5">
        <v>1</v>
      </c>
      <c r="BC4" s="5">
        <v>1</v>
      </c>
      <c r="BD4" s="5">
        <v>1</v>
      </c>
      <c r="BE4" s="5">
        <v>1</v>
      </c>
      <c r="BF4" s="205">
        <v>2</v>
      </c>
    </row>
    <row r="5" spans="1:58" ht="14.25" hidden="1" customHeight="1">
      <c r="A5" s="3" t="str">
        <f t="shared" si="2"/>
        <v>ਅਸ਼ੋਕ ਕੁਮਾਰ</v>
      </c>
      <c r="B5" s="3" t="str">
        <f t="shared" si="3"/>
        <v>ਸ਼ੀਲਾ ਦੇਵੀ</v>
      </c>
      <c r="C5" s="3">
        <f t="shared" si="4"/>
        <v>1</v>
      </c>
      <c r="D5" s="3">
        <f t="shared" si="5"/>
        <v>1</v>
      </c>
      <c r="E5" s="3">
        <f t="shared" si="6"/>
        <v>1</v>
      </c>
      <c r="F5" s="3">
        <f t="shared" si="7"/>
        <v>1</v>
      </c>
      <c r="G5" s="105"/>
      <c r="H5" s="76" t="str">
        <f>I17</f>
        <v>4 ਲੱਧਾ ਰਾਮ ਪਠਾਣ</v>
      </c>
      <c r="I5" s="5" t="s">
        <v>279</v>
      </c>
      <c r="J5" s="5">
        <v>1</v>
      </c>
      <c r="K5" s="5">
        <v>1</v>
      </c>
      <c r="L5" s="5">
        <v>1</v>
      </c>
      <c r="M5" s="5">
        <v>1</v>
      </c>
      <c r="N5" s="5">
        <v>1</v>
      </c>
      <c r="O5" s="5">
        <v>1</v>
      </c>
      <c r="P5" s="123">
        <v>4</v>
      </c>
      <c r="Q5" s="5">
        <v>1</v>
      </c>
      <c r="R5" s="5">
        <v>1</v>
      </c>
      <c r="S5" s="5">
        <v>1</v>
      </c>
      <c r="T5" s="5">
        <v>1</v>
      </c>
      <c r="U5" s="5">
        <v>1</v>
      </c>
      <c r="V5" s="5">
        <v>1</v>
      </c>
      <c r="W5" s="5" t="s">
        <v>69</v>
      </c>
      <c r="X5" s="5" t="s">
        <v>923</v>
      </c>
      <c r="Y5" s="5">
        <v>1</v>
      </c>
      <c r="Z5" s="5">
        <v>1</v>
      </c>
      <c r="AA5" s="5">
        <v>1</v>
      </c>
      <c r="AB5" s="5">
        <v>1</v>
      </c>
      <c r="AC5" s="5">
        <v>1</v>
      </c>
      <c r="AD5" s="2"/>
      <c r="AE5" s="3">
        <f t="shared" si="1"/>
        <v>4</v>
      </c>
      <c r="AF5" s="3">
        <f t="shared" si="1"/>
        <v>1</v>
      </c>
      <c r="AG5" s="3">
        <f t="shared" si="1"/>
        <v>1</v>
      </c>
      <c r="AH5" s="3">
        <f t="shared" si="1"/>
        <v>1</v>
      </c>
      <c r="AI5" s="3">
        <f t="shared" si="1"/>
        <v>1</v>
      </c>
      <c r="AJ5" s="3">
        <f t="shared" si="1"/>
        <v>1</v>
      </c>
      <c r="AK5" s="4" t="str">
        <f>AL17</f>
        <v>34 four</v>
      </c>
      <c r="AL5" s="5">
        <v>4</v>
      </c>
      <c r="AM5" s="5">
        <v>1</v>
      </c>
      <c r="AN5" s="5">
        <v>1</v>
      </c>
      <c r="AO5" s="5">
        <v>1</v>
      </c>
      <c r="AP5" s="5">
        <v>1</v>
      </c>
      <c r="AQ5" s="5">
        <v>1</v>
      </c>
      <c r="AR5" s="2">
        <v>2</v>
      </c>
      <c r="AS5" s="18">
        <v>4</v>
      </c>
      <c r="AT5" s="18">
        <v>1</v>
      </c>
      <c r="AU5" s="18">
        <v>1</v>
      </c>
      <c r="AV5" s="18">
        <v>1</v>
      </c>
      <c r="AW5" s="18">
        <v>1</v>
      </c>
      <c r="AX5" s="18">
        <v>1</v>
      </c>
      <c r="AY5" s="29">
        <v>2</v>
      </c>
      <c r="AZ5" s="18">
        <v>4</v>
      </c>
      <c r="BA5" s="5">
        <v>1</v>
      </c>
      <c r="BB5" s="5">
        <v>1</v>
      </c>
      <c r="BC5" s="5">
        <v>1</v>
      </c>
      <c r="BD5" s="5">
        <v>1</v>
      </c>
      <c r="BE5" s="5">
        <v>1</v>
      </c>
      <c r="BF5" s="205">
        <v>2</v>
      </c>
    </row>
    <row r="6" spans="1:58" ht="14.25" hidden="1" customHeight="1">
      <c r="A6" s="3" t="str">
        <f t="shared" si="2"/>
        <v>ਸਤਪਾਲ</v>
      </c>
      <c r="B6" s="3" t="str">
        <f t="shared" si="3"/>
        <v>ਸੁਦੇਸ਼ ਰਾਣੀ</v>
      </c>
      <c r="C6" s="3" t="str">
        <f t="shared" si="4"/>
        <v>ਨਿਸ਼ਾ ਕੰਬੋਜ</v>
      </c>
      <c r="D6" s="3" t="str">
        <f t="shared" si="5"/>
        <v>ਅਜ਼ੀਜ਼ ਕੰਬੋਜ</v>
      </c>
      <c r="E6" s="3">
        <f t="shared" si="6"/>
        <v>1</v>
      </c>
      <c r="F6" s="3">
        <f t="shared" si="7"/>
        <v>1</v>
      </c>
      <c r="G6" s="105"/>
      <c r="H6" s="76" t="str">
        <f>I22</f>
        <v>5 ਕਰਮ ਚੰਦ</v>
      </c>
      <c r="I6" s="5">
        <v>5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123">
        <v>5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 t="s">
        <v>854</v>
      </c>
      <c r="X6" s="5" t="s">
        <v>272</v>
      </c>
      <c r="Y6" s="5" t="s">
        <v>622</v>
      </c>
      <c r="Z6" s="5" t="s">
        <v>925</v>
      </c>
      <c r="AA6" s="5">
        <v>1</v>
      </c>
      <c r="AB6" s="5">
        <v>1</v>
      </c>
      <c r="AC6" s="5">
        <v>1</v>
      </c>
      <c r="AD6" s="2"/>
      <c r="AE6" s="3">
        <f t="shared" si="1"/>
        <v>5</v>
      </c>
      <c r="AF6" s="3">
        <f t="shared" si="1"/>
        <v>1</v>
      </c>
      <c r="AG6" s="3">
        <f t="shared" si="1"/>
        <v>1</v>
      </c>
      <c r="AH6" s="3">
        <f t="shared" si="1"/>
        <v>1</v>
      </c>
      <c r="AI6" s="3">
        <f t="shared" si="1"/>
        <v>1</v>
      </c>
      <c r="AJ6" s="3">
        <f t="shared" si="1"/>
        <v>1</v>
      </c>
      <c r="AK6" s="4" t="str">
        <f>AL22</f>
        <v>35 five</v>
      </c>
      <c r="AL6" s="5">
        <v>5</v>
      </c>
      <c r="AM6" s="5">
        <v>1</v>
      </c>
      <c r="AN6" s="5">
        <v>1</v>
      </c>
      <c r="AO6" s="5">
        <v>1</v>
      </c>
      <c r="AP6" s="5">
        <v>1</v>
      </c>
      <c r="AQ6" s="5">
        <v>1</v>
      </c>
      <c r="AR6" s="2">
        <v>2</v>
      </c>
      <c r="AS6" s="18">
        <v>5</v>
      </c>
      <c r="AT6" s="18">
        <v>1</v>
      </c>
      <c r="AU6" s="18">
        <v>1</v>
      </c>
      <c r="AV6" s="18">
        <v>1</v>
      </c>
      <c r="AW6" s="18">
        <v>1</v>
      </c>
      <c r="AX6" s="18">
        <v>1</v>
      </c>
      <c r="AY6" s="29">
        <v>2</v>
      </c>
      <c r="AZ6" s="18">
        <v>5</v>
      </c>
      <c r="BA6" s="5">
        <v>1</v>
      </c>
      <c r="BB6" s="5">
        <v>1</v>
      </c>
      <c r="BC6" s="5">
        <v>1</v>
      </c>
      <c r="BD6" s="5">
        <v>1</v>
      </c>
      <c r="BE6" s="5">
        <v>1</v>
      </c>
      <c r="BF6" s="205">
        <v>2</v>
      </c>
    </row>
    <row r="7" spans="1:58" ht="14.25" hidden="1" customHeight="1">
      <c r="A7" s="6"/>
      <c r="B7" s="6"/>
      <c r="C7" s="6"/>
      <c r="D7" s="6"/>
      <c r="E7" s="6"/>
      <c r="F7" s="6"/>
      <c r="G7" s="106"/>
      <c r="H7" s="237" t="str">
        <f>I27</f>
        <v>6 ਸੁਰਿੰਦਰ ਕੁਮਾਰ ਰਾਂਝਾ ਰਾਮ</v>
      </c>
      <c r="I7" s="73" t="s">
        <v>906</v>
      </c>
      <c r="J7" s="5" t="s">
        <v>167</v>
      </c>
      <c r="K7" s="213" t="s">
        <v>437</v>
      </c>
      <c r="L7" s="5">
        <v>1</v>
      </c>
      <c r="M7" s="5">
        <v>1</v>
      </c>
      <c r="N7" s="5">
        <v>1</v>
      </c>
      <c r="O7" s="80" t="s">
        <v>1258</v>
      </c>
      <c r="P7" s="122" t="s">
        <v>914</v>
      </c>
      <c r="Q7" s="5" t="s">
        <v>147</v>
      </c>
      <c r="R7" s="5" t="s">
        <v>915</v>
      </c>
      <c r="S7" s="5">
        <v>1</v>
      </c>
      <c r="T7" s="5">
        <v>1</v>
      </c>
      <c r="U7" s="5">
        <v>1</v>
      </c>
      <c r="V7" s="80" t="s">
        <v>1429</v>
      </c>
      <c r="W7" s="125" t="s">
        <v>1272</v>
      </c>
      <c r="X7" s="5">
        <v>1</v>
      </c>
      <c r="Y7" s="5" t="s">
        <v>928</v>
      </c>
      <c r="Z7" s="5">
        <v>1</v>
      </c>
      <c r="AA7" s="5">
        <v>1</v>
      </c>
      <c r="AB7" s="5">
        <v>1</v>
      </c>
      <c r="AC7" s="121" t="s">
        <v>1427</v>
      </c>
      <c r="AD7" s="2"/>
      <c r="AE7" s="6"/>
      <c r="AF7" s="6"/>
      <c r="AG7" s="6"/>
      <c r="AH7" s="6"/>
      <c r="AI7" s="6"/>
      <c r="AJ7" s="6"/>
      <c r="AK7" s="4" t="str">
        <f>AL27</f>
        <v>36 six</v>
      </c>
      <c r="AL7" s="73" t="s">
        <v>907</v>
      </c>
      <c r="AM7" s="5">
        <v>1</v>
      </c>
      <c r="AN7" s="5">
        <v>1</v>
      </c>
      <c r="AO7" s="5">
        <v>1</v>
      </c>
      <c r="AP7" s="5">
        <v>1</v>
      </c>
      <c r="AQ7" s="5">
        <v>1</v>
      </c>
      <c r="AR7" s="2">
        <v>2</v>
      </c>
      <c r="AS7" s="17" t="s">
        <v>680</v>
      </c>
      <c r="AT7" s="18">
        <v>1</v>
      </c>
      <c r="AU7" s="18">
        <v>1</v>
      </c>
      <c r="AV7" s="18">
        <v>1</v>
      </c>
      <c r="AW7" s="18">
        <v>1</v>
      </c>
      <c r="AX7" s="18">
        <v>1</v>
      </c>
      <c r="AY7" s="29">
        <v>2</v>
      </c>
      <c r="AZ7" s="17" t="s">
        <v>85</v>
      </c>
      <c r="BA7" s="5">
        <v>1</v>
      </c>
      <c r="BB7" s="5">
        <v>1</v>
      </c>
      <c r="BC7" s="5">
        <v>1</v>
      </c>
      <c r="BD7" s="5">
        <v>1</v>
      </c>
      <c r="BE7" s="5">
        <v>1</v>
      </c>
      <c r="BF7" s="205">
        <v>2</v>
      </c>
    </row>
    <row r="8" spans="1:58" ht="14.25" hidden="1" customHeight="1">
      <c r="A8" s="6"/>
      <c r="B8" s="6"/>
      <c r="C8" s="6"/>
      <c r="D8" s="6"/>
      <c r="E8" s="6"/>
      <c r="F8" s="6"/>
      <c r="G8" s="106"/>
      <c r="H8" s="76" t="str">
        <f>I32</f>
        <v>7 ਭਗਵਾਨ ਦਾਸ</v>
      </c>
      <c r="I8" s="5" t="s">
        <v>222</v>
      </c>
      <c r="J8" s="5" t="s">
        <v>457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123" t="s">
        <v>917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 t="s">
        <v>112</v>
      </c>
      <c r="X8" s="5">
        <v>1</v>
      </c>
      <c r="Y8" s="5">
        <v>1</v>
      </c>
      <c r="Z8" s="5">
        <v>1</v>
      </c>
      <c r="AA8" s="5">
        <v>1</v>
      </c>
      <c r="AB8" s="5">
        <v>1</v>
      </c>
      <c r="AC8" s="5">
        <v>1</v>
      </c>
      <c r="AD8" s="2"/>
      <c r="AE8" s="6"/>
      <c r="AF8" s="6"/>
      <c r="AG8" s="6"/>
      <c r="AH8" s="6"/>
      <c r="AI8" s="6"/>
      <c r="AJ8" s="6"/>
      <c r="AK8" s="4" t="str">
        <f>AL32</f>
        <v>37 seven</v>
      </c>
      <c r="AL8" s="5">
        <v>7</v>
      </c>
      <c r="AM8" s="5">
        <v>1</v>
      </c>
      <c r="AN8" s="5">
        <v>1</v>
      </c>
      <c r="AO8" s="5">
        <v>1</v>
      </c>
      <c r="AP8" s="5">
        <v>1</v>
      </c>
      <c r="AQ8" s="5">
        <v>1</v>
      </c>
      <c r="AR8" s="2">
        <v>2</v>
      </c>
      <c r="AS8" s="18">
        <v>7</v>
      </c>
      <c r="AT8" s="18">
        <v>1</v>
      </c>
      <c r="AU8" s="18">
        <v>1</v>
      </c>
      <c r="AV8" s="18">
        <v>1</v>
      </c>
      <c r="AW8" s="18">
        <v>1</v>
      </c>
      <c r="AX8" s="18">
        <v>1</v>
      </c>
      <c r="AY8" s="29">
        <v>2</v>
      </c>
      <c r="AZ8" s="18">
        <v>7</v>
      </c>
      <c r="BA8" s="5">
        <v>1</v>
      </c>
      <c r="BB8" s="5">
        <v>1</v>
      </c>
      <c r="BC8" s="5">
        <v>1</v>
      </c>
      <c r="BD8" s="5">
        <v>1</v>
      </c>
      <c r="BE8" s="5">
        <v>1</v>
      </c>
      <c r="BF8" s="205">
        <v>2</v>
      </c>
    </row>
    <row r="9" spans="1:58" ht="14.25" hidden="1" customHeight="1">
      <c r="A9" s="6"/>
      <c r="B9" s="6"/>
      <c r="C9" s="6"/>
      <c r="D9" s="6"/>
      <c r="E9" s="6"/>
      <c r="F9" s="6"/>
      <c r="G9" s="106"/>
      <c r="H9" s="76" t="str">
        <f>I37</f>
        <v>8 ਹੁਕਮ ਚੰਦ</v>
      </c>
      <c r="I9" s="5">
        <v>8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123">
        <v>8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 t="s">
        <v>93</v>
      </c>
      <c r="X9" s="5">
        <v>1</v>
      </c>
      <c r="Y9" s="5">
        <v>1</v>
      </c>
      <c r="Z9" s="5">
        <v>1</v>
      </c>
      <c r="AA9" s="5">
        <v>1</v>
      </c>
      <c r="AB9" s="5">
        <v>1</v>
      </c>
      <c r="AC9" s="5">
        <v>1</v>
      </c>
      <c r="AD9" s="2"/>
      <c r="AE9" s="6"/>
      <c r="AF9" s="6"/>
      <c r="AG9" s="6"/>
      <c r="AH9" s="6"/>
      <c r="AI9" s="6"/>
      <c r="AJ9" s="6"/>
      <c r="AK9" s="4" t="str">
        <f>AL37</f>
        <v>38 eight</v>
      </c>
      <c r="AL9" s="5">
        <v>8</v>
      </c>
      <c r="AM9" s="5">
        <v>1</v>
      </c>
      <c r="AN9" s="5">
        <v>1</v>
      </c>
      <c r="AO9" s="5">
        <v>1</v>
      </c>
      <c r="AP9" s="5">
        <v>1</v>
      </c>
      <c r="AQ9" s="5">
        <v>1</v>
      </c>
      <c r="AR9" s="2">
        <v>2</v>
      </c>
      <c r="AS9" s="18">
        <v>8</v>
      </c>
      <c r="AT9" s="18">
        <v>1</v>
      </c>
      <c r="AU9" s="18">
        <v>1</v>
      </c>
      <c r="AV9" s="18">
        <v>1</v>
      </c>
      <c r="AW9" s="18">
        <v>1</v>
      </c>
      <c r="AX9" s="18">
        <v>1</v>
      </c>
      <c r="AY9" s="29">
        <v>2</v>
      </c>
      <c r="AZ9" s="18">
        <v>8</v>
      </c>
      <c r="BA9" s="5">
        <v>1</v>
      </c>
      <c r="BB9" s="5">
        <v>1</v>
      </c>
      <c r="BC9" s="5">
        <v>1</v>
      </c>
      <c r="BD9" s="5">
        <v>1</v>
      </c>
      <c r="BE9" s="5">
        <v>1</v>
      </c>
      <c r="BF9" s="205">
        <v>2</v>
      </c>
    </row>
    <row r="10" spans="1:58" ht="14.25" customHeight="1">
      <c r="A10" s="6"/>
      <c r="B10" s="6"/>
      <c r="C10" s="6"/>
      <c r="D10" s="6"/>
      <c r="E10" s="6"/>
      <c r="F10" s="6"/>
      <c r="G10" s="106"/>
      <c r="H10" s="76" t="str">
        <f>I42</f>
        <v>9 ਸੋਮ ਪ੍ਰਕਾਸ਼ ਹਰੀ ਚੰਦ</v>
      </c>
      <c r="I10" s="5">
        <v>9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123">
        <v>9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 t="s">
        <v>685</v>
      </c>
      <c r="X10" s="5" t="s">
        <v>415</v>
      </c>
      <c r="Y10" s="5">
        <v>1</v>
      </c>
      <c r="Z10" s="5">
        <v>1</v>
      </c>
      <c r="AA10" s="5">
        <v>1</v>
      </c>
      <c r="AB10" s="5">
        <v>1</v>
      </c>
      <c r="AC10" s="5">
        <v>1</v>
      </c>
      <c r="AD10" s="2"/>
      <c r="AE10" s="6"/>
      <c r="AF10" s="6"/>
      <c r="AG10" s="6"/>
      <c r="AH10" s="6"/>
      <c r="AI10" s="6"/>
      <c r="AJ10" s="6"/>
      <c r="AK10" s="4" t="str">
        <f>AL42</f>
        <v>39 nine</v>
      </c>
      <c r="AL10" s="5">
        <v>9</v>
      </c>
      <c r="AM10" s="5">
        <v>1</v>
      </c>
      <c r="AN10" s="5">
        <v>1</v>
      </c>
      <c r="AO10" s="5">
        <v>1</v>
      </c>
      <c r="AP10" s="5">
        <v>1</v>
      </c>
      <c r="AQ10" s="5">
        <v>1</v>
      </c>
      <c r="AR10" s="2">
        <v>2</v>
      </c>
      <c r="AS10" s="18">
        <v>9</v>
      </c>
      <c r="AT10" s="18">
        <v>1</v>
      </c>
      <c r="AU10" s="18">
        <v>1</v>
      </c>
      <c r="AV10" s="18">
        <v>1</v>
      </c>
      <c r="AW10" s="18">
        <v>1</v>
      </c>
      <c r="AX10" s="18">
        <v>1</v>
      </c>
      <c r="AY10" s="29">
        <v>2</v>
      </c>
      <c r="AZ10" s="18">
        <v>9</v>
      </c>
      <c r="BA10" s="5">
        <v>1</v>
      </c>
      <c r="BB10" s="5">
        <v>1</v>
      </c>
      <c r="BC10" s="5">
        <v>1</v>
      </c>
      <c r="BD10" s="5">
        <v>1</v>
      </c>
      <c r="BE10" s="5">
        <v>1</v>
      </c>
      <c r="BF10" s="205">
        <v>2</v>
      </c>
    </row>
    <row r="11" spans="1:58" ht="14.25" customHeight="1">
      <c r="A11" s="7" t="s">
        <v>13</v>
      </c>
      <c r="B11" s="7" t="s">
        <v>14</v>
      </c>
      <c r="C11" s="7" t="s">
        <v>15</v>
      </c>
      <c r="D11" s="7" t="s">
        <v>16</v>
      </c>
      <c r="E11" s="7" t="s">
        <v>17</v>
      </c>
      <c r="F11" s="7" t="s">
        <v>18</v>
      </c>
      <c r="G11" s="107"/>
      <c r="H11" s="76" t="str">
        <f>I47</f>
        <v>10 ਓਮ ਪ੍ਰਕਾਸ਼ ਹਰੀ ਚੰਦ</v>
      </c>
      <c r="I11" s="5">
        <v>10</v>
      </c>
      <c r="J11" s="5">
        <v>1</v>
      </c>
      <c r="K11" s="5">
        <v>1</v>
      </c>
      <c r="L11" s="5">
        <v>1</v>
      </c>
      <c r="M11" s="5">
        <v>1</v>
      </c>
      <c r="N11" s="5">
        <v>1</v>
      </c>
      <c r="O11" s="5">
        <v>1</v>
      </c>
      <c r="P11" s="123">
        <v>10</v>
      </c>
      <c r="Q11" s="5">
        <v>1</v>
      </c>
      <c r="R11" s="5">
        <v>1</v>
      </c>
      <c r="S11" s="5">
        <v>1</v>
      </c>
      <c r="T11" s="5">
        <v>1</v>
      </c>
      <c r="U11" s="5">
        <v>1</v>
      </c>
      <c r="V11" s="5">
        <v>1</v>
      </c>
      <c r="W11" s="5">
        <v>15</v>
      </c>
      <c r="X11" s="5">
        <v>1</v>
      </c>
      <c r="Y11" s="5">
        <v>1</v>
      </c>
      <c r="Z11" s="5">
        <v>1</v>
      </c>
      <c r="AA11" s="5">
        <v>1</v>
      </c>
      <c r="AB11" s="5">
        <v>1</v>
      </c>
      <c r="AC11" s="5">
        <v>1</v>
      </c>
      <c r="AD11" s="2"/>
      <c r="AE11" s="7" t="s">
        <v>13</v>
      </c>
      <c r="AF11" s="7" t="s">
        <v>14</v>
      </c>
      <c r="AG11" s="7" t="s">
        <v>15</v>
      </c>
      <c r="AH11" s="7" t="s">
        <v>16</v>
      </c>
      <c r="AI11" s="7" t="s">
        <v>17</v>
      </c>
      <c r="AJ11" s="7" t="s">
        <v>18</v>
      </c>
      <c r="AK11" s="4" t="str">
        <f>AL47</f>
        <v>40 ten</v>
      </c>
      <c r="AL11" s="5">
        <v>10</v>
      </c>
      <c r="AM11" s="5">
        <v>1</v>
      </c>
      <c r="AN11" s="5">
        <v>1</v>
      </c>
      <c r="AO11" s="5">
        <v>1</v>
      </c>
      <c r="AP11" s="5">
        <v>1</v>
      </c>
      <c r="AQ11" s="5">
        <v>1</v>
      </c>
      <c r="AR11" s="2">
        <v>2</v>
      </c>
      <c r="AS11" s="18">
        <v>10</v>
      </c>
      <c r="AT11" s="18">
        <v>1</v>
      </c>
      <c r="AU11" s="18">
        <v>1</v>
      </c>
      <c r="AV11" s="18">
        <v>1</v>
      </c>
      <c r="AW11" s="18">
        <v>1</v>
      </c>
      <c r="AX11" s="18">
        <v>1</v>
      </c>
      <c r="AY11" s="29">
        <v>2</v>
      </c>
      <c r="AZ11" s="18">
        <v>10</v>
      </c>
      <c r="BA11" s="5">
        <v>1</v>
      </c>
      <c r="BB11" s="5">
        <v>1</v>
      </c>
      <c r="BC11" s="5">
        <v>1</v>
      </c>
      <c r="BD11" s="5">
        <v>1</v>
      </c>
      <c r="BE11" s="5">
        <v>1</v>
      </c>
      <c r="BF11" s="205">
        <v>2</v>
      </c>
    </row>
    <row r="12" spans="1:58" ht="14.25" customHeight="1">
      <c r="A12" s="8" t="str">
        <f t="shared" ref="A12:F16" si="8">IF(A2&lt;100,"",A2)</f>
        <v>21 ਕੋਟ ਚੰਦ</v>
      </c>
      <c r="B12" s="8" t="str">
        <f t="shared" si="8"/>
        <v>ਵਰਿੰਦਰ ਕੁਮਾਰ</v>
      </c>
      <c r="C12" s="8" t="str">
        <f t="shared" si="8"/>
        <v/>
      </c>
      <c r="D12" s="8" t="str">
        <f t="shared" si="8"/>
        <v/>
      </c>
      <c r="E12" s="8" t="str">
        <f t="shared" si="8"/>
        <v/>
      </c>
      <c r="F12" s="8" t="str">
        <f>IF(F2&lt;100,"",F2)</f>
        <v/>
      </c>
      <c r="G12" s="107"/>
      <c r="H12" s="76" t="str">
        <f>P2</f>
        <v>11 ਵੇਦ ਪ੍ਰਕਾਸ਼ ਹਰੀ ਚੰਦ</v>
      </c>
      <c r="I12" s="73" t="s">
        <v>908</v>
      </c>
      <c r="J12" s="5" t="s">
        <v>234</v>
      </c>
      <c r="K12" s="5">
        <v>1</v>
      </c>
      <c r="L12" s="5">
        <v>1</v>
      </c>
      <c r="M12" s="5">
        <v>1</v>
      </c>
      <c r="N12" s="5">
        <v>1</v>
      </c>
      <c r="O12" s="80" t="s">
        <v>1259</v>
      </c>
      <c r="P12" s="122" t="s">
        <v>926</v>
      </c>
      <c r="Q12" s="5" t="s">
        <v>927</v>
      </c>
      <c r="R12" s="5">
        <v>1</v>
      </c>
      <c r="S12" s="5">
        <v>1</v>
      </c>
      <c r="T12" s="5">
        <v>1</v>
      </c>
      <c r="U12" s="5">
        <v>1</v>
      </c>
      <c r="V12" s="80" t="s">
        <v>1264</v>
      </c>
      <c r="W12" s="125" t="s">
        <v>1271</v>
      </c>
      <c r="X12" s="5" t="s">
        <v>937</v>
      </c>
      <c r="Y12" s="5">
        <v>1</v>
      </c>
      <c r="Z12" s="5">
        <v>1</v>
      </c>
      <c r="AA12" s="5">
        <v>1</v>
      </c>
      <c r="AB12" s="5">
        <v>1</v>
      </c>
      <c r="AC12" s="80" t="s">
        <v>1269</v>
      </c>
      <c r="AD12" s="2"/>
      <c r="AE12" s="8" t="str">
        <f t="shared" ref="AE12:AJ16" si="9">IF(AE2&lt;100,"",AE2)</f>
        <v>31 one</v>
      </c>
      <c r="AF12" s="8" t="str">
        <f t="shared" si="9"/>
        <v/>
      </c>
      <c r="AG12" s="8" t="str">
        <f t="shared" si="9"/>
        <v/>
      </c>
      <c r="AH12" s="8" t="str">
        <f t="shared" si="9"/>
        <v/>
      </c>
      <c r="AI12" s="8" t="str">
        <f t="shared" si="9"/>
        <v/>
      </c>
      <c r="AJ12" s="8" t="str">
        <f t="shared" si="9"/>
        <v/>
      </c>
      <c r="AK12" s="4" t="str">
        <f>AS2</f>
        <v>41 eleven</v>
      </c>
      <c r="AL12" s="73" t="s">
        <v>909</v>
      </c>
      <c r="AM12" s="5">
        <v>1</v>
      </c>
      <c r="AN12" s="5">
        <v>1</v>
      </c>
      <c r="AO12" s="5">
        <v>1</v>
      </c>
      <c r="AP12" s="5">
        <v>1</v>
      </c>
      <c r="AQ12" s="5">
        <v>1</v>
      </c>
      <c r="AR12" s="2">
        <v>2</v>
      </c>
      <c r="AS12" s="17" t="s">
        <v>698</v>
      </c>
      <c r="AT12" s="18">
        <v>1</v>
      </c>
      <c r="AU12" s="18">
        <v>1</v>
      </c>
      <c r="AV12" s="18">
        <v>1</v>
      </c>
      <c r="AW12" s="18">
        <v>1</v>
      </c>
      <c r="AX12" s="18">
        <v>1</v>
      </c>
      <c r="AY12" s="29">
        <v>2</v>
      </c>
      <c r="AZ12" s="17" t="s">
        <v>123</v>
      </c>
      <c r="BA12" s="5">
        <v>1</v>
      </c>
      <c r="BB12" s="5">
        <v>1</v>
      </c>
      <c r="BC12" s="5">
        <v>1</v>
      </c>
      <c r="BD12" s="5">
        <v>1</v>
      </c>
      <c r="BE12" s="5">
        <v>1</v>
      </c>
      <c r="BF12" s="205">
        <v>2</v>
      </c>
    </row>
    <row r="13" spans="1:58" ht="14.25" customHeight="1">
      <c r="A13" s="8" t="str">
        <f t="shared" si="8"/>
        <v>ਦੇਵ ਰਾਜ</v>
      </c>
      <c r="B13" s="8" t="str">
        <f t="shared" si="8"/>
        <v>ਕੈਲਾਸ਼ ਰਾਣੀ</v>
      </c>
      <c r="C13" s="8" t="str">
        <f t="shared" si="8"/>
        <v>ਰਣਜੀਤ ਕੁਮਾਰ</v>
      </c>
      <c r="D13" s="8" t="str">
        <f t="shared" si="8"/>
        <v>ਨਿਸ਼ਾ ਰਾਣੀ</v>
      </c>
      <c r="E13" s="8" t="str">
        <f t="shared" si="8"/>
        <v/>
      </c>
      <c r="F13" s="8" t="str">
        <f t="shared" si="8"/>
        <v/>
      </c>
      <c r="G13" s="107"/>
      <c r="H13" s="76" t="str">
        <f>P7</f>
        <v>12 ਰਮੇਸ਼ ਕੁਮਾਰ ਹਰੀ ਚੰਦ</v>
      </c>
      <c r="I13" s="213" t="s">
        <v>212</v>
      </c>
      <c r="J13" s="5">
        <v>1</v>
      </c>
      <c r="K13" s="5">
        <v>1</v>
      </c>
      <c r="L13" s="5">
        <v>1</v>
      </c>
      <c r="M13" s="5">
        <v>1</v>
      </c>
      <c r="N13" s="5">
        <v>1</v>
      </c>
      <c r="O13" s="5">
        <v>1</v>
      </c>
      <c r="P13" s="123" t="s">
        <v>222</v>
      </c>
      <c r="Q13" s="5" t="s">
        <v>929</v>
      </c>
      <c r="R13" s="5">
        <v>1</v>
      </c>
      <c r="S13" s="5">
        <v>1</v>
      </c>
      <c r="T13" s="5">
        <v>1</v>
      </c>
      <c r="U13" s="5">
        <v>1</v>
      </c>
      <c r="V13" s="5">
        <v>1</v>
      </c>
      <c r="W13" s="5" t="s">
        <v>194</v>
      </c>
      <c r="X13" s="5" t="s">
        <v>942</v>
      </c>
      <c r="Y13" s="5" t="s">
        <v>943</v>
      </c>
      <c r="Z13" s="5" t="s">
        <v>944</v>
      </c>
      <c r="AA13" s="5">
        <v>1</v>
      </c>
      <c r="AB13" s="5">
        <v>1</v>
      </c>
      <c r="AC13" s="5">
        <v>1</v>
      </c>
      <c r="AD13" s="2"/>
      <c r="AE13" s="8" t="str">
        <f t="shared" si="9"/>
        <v/>
      </c>
      <c r="AF13" s="8" t="str">
        <f t="shared" si="9"/>
        <v/>
      </c>
      <c r="AG13" s="8" t="str">
        <f t="shared" si="9"/>
        <v/>
      </c>
      <c r="AH13" s="8" t="str">
        <f t="shared" si="9"/>
        <v/>
      </c>
      <c r="AI13" s="8" t="str">
        <f t="shared" si="9"/>
        <v/>
      </c>
      <c r="AJ13" s="8" t="str">
        <f t="shared" si="9"/>
        <v/>
      </c>
      <c r="AK13" s="4" t="str">
        <f>AS7</f>
        <v>42 twelve</v>
      </c>
      <c r="AL13" s="5">
        <v>12</v>
      </c>
      <c r="AM13" s="5">
        <v>1</v>
      </c>
      <c r="AN13" s="5">
        <v>1</v>
      </c>
      <c r="AO13" s="5">
        <v>1</v>
      </c>
      <c r="AP13" s="5">
        <v>1</v>
      </c>
      <c r="AQ13" s="5">
        <v>1</v>
      </c>
      <c r="AR13" s="2">
        <v>2</v>
      </c>
      <c r="AS13" s="18">
        <v>12</v>
      </c>
      <c r="AT13" s="18">
        <v>1</v>
      </c>
      <c r="AU13" s="18">
        <v>1</v>
      </c>
      <c r="AV13" s="18">
        <v>1</v>
      </c>
      <c r="AW13" s="18">
        <v>1</v>
      </c>
      <c r="AX13" s="18">
        <v>1</v>
      </c>
      <c r="AY13" s="29">
        <v>2</v>
      </c>
      <c r="AZ13" s="18">
        <v>12</v>
      </c>
      <c r="BA13" s="5">
        <v>1</v>
      </c>
      <c r="BB13" s="5">
        <v>1</v>
      </c>
      <c r="BC13" s="5">
        <v>1</v>
      </c>
      <c r="BD13" s="5">
        <v>1</v>
      </c>
      <c r="BE13" s="5">
        <v>1</v>
      </c>
      <c r="BF13" s="205">
        <v>2</v>
      </c>
    </row>
    <row r="14" spans="1:58" ht="14.25" customHeight="1">
      <c r="A14" s="8" t="str">
        <f t="shared" si="8"/>
        <v>ਕ੍ਰਿਸ਼ਨ ਬਲਦੇਵ</v>
      </c>
      <c r="B14" s="8" t="str">
        <f t="shared" si="8"/>
        <v>ਨੀਲਮ ਰਾਣੀ</v>
      </c>
      <c r="C14" s="8" t="str">
        <f t="shared" si="8"/>
        <v>ਮੰਜੂ ਬਾਲਾ</v>
      </c>
      <c r="D14" s="8" t="str">
        <f t="shared" si="8"/>
        <v>ਸੰਗਮ ਕੰਬੋਜ</v>
      </c>
      <c r="E14" s="8" t="str">
        <f t="shared" si="8"/>
        <v/>
      </c>
      <c r="F14" s="8" t="str">
        <f t="shared" si="8"/>
        <v/>
      </c>
      <c r="G14" s="107"/>
      <c r="H14" s="76" t="str">
        <f>P12</f>
        <v>13 ਹਰਭਜਨ ਲਾਲ ਬੂਟਾ ਰਾਮ</v>
      </c>
      <c r="I14" s="5">
        <v>13</v>
      </c>
      <c r="J14" s="5">
        <v>1</v>
      </c>
      <c r="K14" s="5">
        <v>1</v>
      </c>
      <c r="L14" s="5">
        <v>1</v>
      </c>
      <c r="M14" s="5">
        <v>1</v>
      </c>
      <c r="N14" s="5">
        <v>1</v>
      </c>
      <c r="O14" s="5">
        <v>1</v>
      </c>
      <c r="P14" s="123">
        <v>38</v>
      </c>
      <c r="Q14" s="5">
        <v>1</v>
      </c>
      <c r="R14" s="5">
        <v>1</v>
      </c>
      <c r="S14" s="5">
        <v>1</v>
      </c>
      <c r="T14" s="5">
        <v>1</v>
      </c>
      <c r="U14" s="5">
        <v>1</v>
      </c>
      <c r="V14" s="5">
        <v>1</v>
      </c>
      <c r="W14" s="5" t="s">
        <v>947</v>
      </c>
      <c r="X14" s="5" t="s">
        <v>948</v>
      </c>
      <c r="Y14" s="5">
        <v>1</v>
      </c>
      <c r="Z14" s="5">
        <v>1</v>
      </c>
      <c r="AA14" s="5">
        <v>1</v>
      </c>
      <c r="AB14" s="5">
        <v>1</v>
      </c>
      <c r="AC14" s="5">
        <v>1</v>
      </c>
      <c r="AD14" s="2"/>
      <c r="AE14" s="8" t="str">
        <f t="shared" si="9"/>
        <v/>
      </c>
      <c r="AF14" s="8" t="str">
        <f t="shared" si="9"/>
        <v/>
      </c>
      <c r="AG14" s="8" t="str">
        <f t="shared" si="9"/>
        <v/>
      </c>
      <c r="AH14" s="8" t="str">
        <f t="shared" si="9"/>
        <v/>
      </c>
      <c r="AI14" s="8" t="str">
        <f t="shared" si="9"/>
        <v/>
      </c>
      <c r="AJ14" s="8" t="str">
        <f t="shared" si="9"/>
        <v/>
      </c>
      <c r="AK14" s="4" t="str">
        <f>AS12</f>
        <v>43 thirteen</v>
      </c>
      <c r="AL14" s="5">
        <v>13</v>
      </c>
      <c r="AM14" s="5">
        <v>1</v>
      </c>
      <c r="AN14" s="5">
        <v>1</v>
      </c>
      <c r="AO14" s="5">
        <v>1</v>
      </c>
      <c r="AP14" s="5">
        <v>1</v>
      </c>
      <c r="AQ14" s="5">
        <v>1</v>
      </c>
      <c r="AR14" s="2">
        <v>2</v>
      </c>
      <c r="AS14" s="18">
        <v>13</v>
      </c>
      <c r="AT14" s="18">
        <v>1</v>
      </c>
      <c r="AU14" s="18">
        <v>1</v>
      </c>
      <c r="AV14" s="18">
        <v>1</v>
      </c>
      <c r="AW14" s="18">
        <v>1</v>
      </c>
      <c r="AX14" s="18">
        <v>1</v>
      </c>
      <c r="AY14" s="29">
        <v>2</v>
      </c>
      <c r="AZ14" s="18">
        <v>13</v>
      </c>
      <c r="BA14" s="5">
        <v>1</v>
      </c>
      <c r="BB14" s="5">
        <v>1</v>
      </c>
      <c r="BC14" s="5">
        <v>1</v>
      </c>
      <c r="BD14" s="5">
        <v>1</v>
      </c>
      <c r="BE14" s="5">
        <v>1</v>
      </c>
      <c r="BF14" s="205">
        <v>2</v>
      </c>
    </row>
    <row r="15" spans="1:58" ht="14.25" customHeight="1">
      <c r="A15" s="8" t="str">
        <f t="shared" si="8"/>
        <v>ਅਸ਼ੋਕ ਕੁਮਾਰ</v>
      </c>
      <c r="B15" s="8" t="str">
        <f t="shared" si="8"/>
        <v>ਸ਼ੀਲਾ ਦੇਵੀ</v>
      </c>
      <c r="C15" s="8" t="str">
        <f t="shared" si="8"/>
        <v/>
      </c>
      <c r="D15" s="8" t="str">
        <f t="shared" si="8"/>
        <v/>
      </c>
      <c r="E15" s="8" t="str">
        <f t="shared" si="8"/>
        <v/>
      </c>
      <c r="F15" s="8" t="str">
        <f t="shared" si="8"/>
        <v/>
      </c>
      <c r="G15" s="107"/>
      <c r="H15" s="76" t="str">
        <f>P17</f>
        <v>14 ਹੰਸ ਰਾਜ ਬੂਟਾ ਰਾਮ</v>
      </c>
      <c r="I15" s="5">
        <v>14</v>
      </c>
      <c r="J15" s="5">
        <v>1</v>
      </c>
      <c r="K15" s="5">
        <v>1</v>
      </c>
      <c r="L15" s="5">
        <v>1</v>
      </c>
      <c r="M15" s="5">
        <v>1</v>
      </c>
      <c r="N15" s="5">
        <v>1</v>
      </c>
      <c r="O15" s="5">
        <v>1</v>
      </c>
      <c r="P15" s="123">
        <v>39</v>
      </c>
      <c r="Q15" s="5">
        <v>1</v>
      </c>
      <c r="R15" s="5">
        <v>1</v>
      </c>
      <c r="S15" s="5">
        <v>1</v>
      </c>
      <c r="T15" s="5">
        <v>1</v>
      </c>
      <c r="U15" s="5">
        <v>1</v>
      </c>
      <c r="V15" s="5">
        <v>1</v>
      </c>
      <c r="W15" s="5">
        <v>19</v>
      </c>
      <c r="X15" s="5">
        <v>1</v>
      </c>
      <c r="Y15" s="5">
        <v>1</v>
      </c>
      <c r="Z15" s="5">
        <v>1</v>
      </c>
      <c r="AA15" s="5">
        <v>1</v>
      </c>
      <c r="AB15" s="5">
        <v>1</v>
      </c>
      <c r="AC15" s="5">
        <v>1</v>
      </c>
      <c r="AD15" s="2"/>
      <c r="AE15" s="8" t="str">
        <f t="shared" si="9"/>
        <v/>
      </c>
      <c r="AF15" s="8" t="str">
        <f t="shared" si="9"/>
        <v/>
      </c>
      <c r="AG15" s="8" t="str">
        <f t="shared" si="9"/>
        <v/>
      </c>
      <c r="AH15" s="8" t="str">
        <f t="shared" si="9"/>
        <v/>
      </c>
      <c r="AI15" s="8" t="str">
        <f t="shared" si="9"/>
        <v/>
      </c>
      <c r="AJ15" s="8" t="str">
        <f t="shared" si="9"/>
        <v/>
      </c>
      <c r="AK15" s="4" t="str">
        <f>AS17</f>
        <v>44 fourteen</v>
      </c>
      <c r="AL15" s="5">
        <v>14</v>
      </c>
      <c r="AM15" s="5">
        <v>1</v>
      </c>
      <c r="AN15" s="5">
        <v>1</v>
      </c>
      <c r="AO15" s="5">
        <v>1</v>
      </c>
      <c r="AP15" s="5">
        <v>1</v>
      </c>
      <c r="AQ15" s="5">
        <v>1</v>
      </c>
      <c r="AR15" s="2">
        <v>2</v>
      </c>
      <c r="AS15" s="18">
        <v>14</v>
      </c>
      <c r="AT15" s="18">
        <v>1</v>
      </c>
      <c r="AU15" s="18">
        <v>1</v>
      </c>
      <c r="AV15" s="18">
        <v>1</v>
      </c>
      <c r="AW15" s="18">
        <v>1</v>
      </c>
      <c r="AX15" s="18">
        <v>1</v>
      </c>
      <c r="AY15" s="29">
        <v>2</v>
      </c>
      <c r="AZ15" s="18">
        <v>14</v>
      </c>
      <c r="BA15" s="5">
        <v>1</v>
      </c>
      <c r="BB15" s="5">
        <v>1</v>
      </c>
      <c r="BC15" s="5">
        <v>1</v>
      </c>
      <c r="BD15" s="5">
        <v>1</v>
      </c>
      <c r="BE15" s="5">
        <v>1</v>
      </c>
      <c r="BF15" s="205">
        <v>2</v>
      </c>
    </row>
    <row r="16" spans="1:58" ht="14.25" customHeight="1">
      <c r="A16" s="8" t="str">
        <f t="shared" si="8"/>
        <v>ਸਤਪਾਲ</v>
      </c>
      <c r="B16" s="8" t="str">
        <f t="shared" si="8"/>
        <v>ਸੁਦੇਸ਼ ਰਾਣੀ</v>
      </c>
      <c r="C16" s="8" t="str">
        <f t="shared" si="8"/>
        <v>ਨਿਸ਼ਾ ਕੰਬੋਜ</v>
      </c>
      <c r="D16" s="8" t="str">
        <f t="shared" si="8"/>
        <v>ਅਜ਼ੀਜ਼ ਕੰਬੋਜ</v>
      </c>
      <c r="E16" s="8" t="str">
        <f t="shared" si="8"/>
        <v/>
      </c>
      <c r="F16" s="8" t="str">
        <f t="shared" si="8"/>
        <v/>
      </c>
      <c r="G16" s="107"/>
      <c r="H16" s="76" t="str">
        <f>P22</f>
        <v>15 ਓਮ ਪ੍ਰਕਾਸ਼ ਬੂਟਾ ਰਾਮ</v>
      </c>
      <c r="I16" s="5">
        <v>15</v>
      </c>
      <c r="J16" s="5">
        <v>1</v>
      </c>
      <c r="K16" s="5">
        <v>1</v>
      </c>
      <c r="L16" s="5">
        <v>1</v>
      </c>
      <c r="M16" s="5">
        <v>1</v>
      </c>
      <c r="N16" s="5">
        <v>1</v>
      </c>
      <c r="O16" s="5">
        <v>1</v>
      </c>
      <c r="P16" s="123">
        <v>40</v>
      </c>
      <c r="Q16" s="5">
        <v>1</v>
      </c>
      <c r="R16" s="5">
        <v>1</v>
      </c>
      <c r="S16" s="5">
        <v>1</v>
      </c>
      <c r="T16" s="5">
        <v>1</v>
      </c>
      <c r="U16" s="5">
        <v>1</v>
      </c>
      <c r="V16" s="5">
        <v>1</v>
      </c>
      <c r="W16" s="5">
        <v>20</v>
      </c>
      <c r="X16" s="5">
        <v>1</v>
      </c>
      <c r="Y16" s="5">
        <v>1</v>
      </c>
      <c r="Z16" s="5">
        <v>1</v>
      </c>
      <c r="AA16" s="5">
        <v>1</v>
      </c>
      <c r="AB16" s="5">
        <v>1</v>
      </c>
      <c r="AC16" s="5">
        <v>1</v>
      </c>
      <c r="AD16" s="2"/>
      <c r="AE16" s="8" t="str">
        <f t="shared" si="9"/>
        <v/>
      </c>
      <c r="AF16" s="8" t="str">
        <f t="shared" si="9"/>
        <v/>
      </c>
      <c r="AG16" s="8" t="str">
        <f t="shared" si="9"/>
        <v/>
      </c>
      <c r="AH16" s="8" t="str">
        <f t="shared" si="9"/>
        <v/>
      </c>
      <c r="AI16" s="8" t="str">
        <f t="shared" si="9"/>
        <v/>
      </c>
      <c r="AJ16" s="8" t="str">
        <f t="shared" si="9"/>
        <v/>
      </c>
      <c r="AK16" s="4" t="str">
        <f>AS22</f>
        <v>45 fifteen</v>
      </c>
      <c r="AL16" s="5">
        <v>15</v>
      </c>
      <c r="AM16" s="5">
        <v>1</v>
      </c>
      <c r="AN16" s="5">
        <v>1</v>
      </c>
      <c r="AO16" s="5">
        <v>1</v>
      </c>
      <c r="AP16" s="5">
        <v>1</v>
      </c>
      <c r="AQ16" s="5">
        <v>1</v>
      </c>
      <c r="AR16" s="2">
        <v>2</v>
      </c>
      <c r="AS16" s="18">
        <v>15</v>
      </c>
      <c r="AT16" s="18">
        <v>1</v>
      </c>
      <c r="AU16" s="18">
        <v>1</v>
      </c>
      <c r="AV16" s="18">
        <v>1</v>
      </c>
      <c r="AW16" s="18">
        <v>1</v>
      </c>
      <c r="AX16" s="18">
        <v>1</v>
      </c>
      <c r="AY16" s="29">
        <v>2</v>
      </c>
      <c r="AZ16" s="18">
        <v>15</v>
      </c>
      <c r="BA16" s="5">
        <v>1</v>
      </c>
      <c r="BB16" s="5">
        <v>1</v>
      </c>
      <c r="BC16" s="5">
        <v>1</v>
      </c>
      <c r="BD16" s="5">
        <v>1</v>
      </c>
      <c r="BE16" s="5">
        <v>1</v>
      </c>
      <c r="BF16" s="205">
        <v>2</v>
      </c>
    </row>
    <row r="17" spans="1:58" ht="14.25" customHeight="1">
      <c r="A17" s="6"/>
      <c r="B17" s="6"/>
      <c r="C17" s="6"/>
      <c r="D17" s="6"/>
      <c r="E17" s="6"/>
      <c r="F17" s="6"/>
      <c r="G17" s="106"/>
      <c r="H17" s="76" t="str">
        <f>P27</f>
        <v>16 ਸੁਰਿੰਦਰ ਕੁਮਾਰ ਸਤਨਾਮ ਦਾਸ</v>
      </c>
      <c r="I17" s="73" t="s">
        <v>910</v>
      </c>
      <c r="J17" s="5" t="s">
        <v>150</v>
      </c>
      <c r="K17" s="5" t="s">
        <v>358</v>
      </c>
      <c r="L17" s="5" t="s">
        <v>933</v>
      </c>
      <c r="M17" s="5" t="s">
        <v>934</v>
      </c>
      <c r="N17" s="5" t="s">
        <v>935</v>
      </c>
      <c r="O17" s="80" t="s">
        <v>1260</v>
      </c>
      <c r="P17" s="122" t="s">
        <v>930</v>
      </c>
      <c r="Q17" s="5" t="s">
        <v>936</v>
      </c>
      <c r="R17" s="5">
        <v>1</v>
      </c>
      <c r="S17" s="5">
        <v>1</v>
      </c>
      <c r="T17" s="5">
        <v>1</v>
      </c>
      <c r="U17" s="5">
        <v>1</v>
      </c>
      <c r="V17" s="121" t="s">
        <v>1284</v>
      </c>
      <c r="W17" s="144" t="s">
        <v>554</v>
      </c>
      <c r="X17" s="18" t="s">
        <v>555</v>
      </c>
      <c r="Y17" s="18">
        <v>1</v>
      </c>
      <c r="Z17" s="18">
        <v>1</v>
      </c>
      <c r="AA17" s="18">
        <v>1</v>
      </c>
      <c r="AB17" s="18">
        <v>1</v>
      </c>
      <c r="AC17" s="143" t="s">
        <v>1168</v>
      </c>
      <c r="AD17" s="2"/>
      <c r="AE17" s="6"/>
      <c r="AF17" s="6"/>
      <c r="AG17" s="6"/>
      <c r="AH17" s="6"/>
      <c r="AI17" s="6"/>
      <c r="AJ17" s="6"/>
      <c r="AK17" s="4" t="str">
        <f>AS27</f>
        <v>46 sixteen</v>
      </c>
      <c r="AL17" s="73" t="s">
        <v>911</v>
      </c>
      <c r="AM17" s="5">
        <v>1</v>
      </c>
      <c r="AN17" s="5">
        <v>1</v>
      </c>
      <c r="AO17" s="5">
        <v>1</v>
      </c>
      <c r="AP17" s="5">
        <v>1</v>
      </c>
      <c r="AQ17" s="5">
        <v>1</v>
      </c>
      <c r="AR17" s="2">
        <v>2</v>
      </c>
      <c r="AS17" s="17" t="s">
        <v>707</v>
      </c>
      <c r="AT17" s="18">
        <v>1</v>
      </c>
      <c r="AU17" s="18">
        <v>1</v>
      </c>
      <c r="AV17" s="18">
        <v>1</v>
      </c>
      <c r="AW17" s="18">
        <v>1</v>
      </c>
      <c r="AX17" s="18">
        <v>1</v>
      </c>
      <c r="AY17" s="29">
        <v>2</v>
      </c>
      <c r="AZ17" s="17" t="s">
        <v>151</v>
      </c>
      <c r="BA17" s="5">
        <v>1</v>
      </c>
      <c r="BB17" s="5">
        <v>1</v>
      </c>
      <c r="BC17" s="5">
        <v>1</v>
      </c>
      <c r="BD17" s="5">
        <v>1</v>
      </c>
      <c r="BE17" s="5">
        <v>1</v>
      </c>
      <c r="BF17" s="205">
        <v>2</v>
      </c>
    </row>
    <row r="18" spans="1:58" ht="14.25" customHeight="1">
      <c r="A18" s="6"/>
      <c r="B18" s="6"/>
      <c r="C18" s="6"/>
      <c r="D18" s="6"/>
      <c r="E18" s="6"/>
      <c r="F18" s="6"/>
      <c r="G18" s="6"/>
      <c r="H18" s="76" t="str">
        <f>P32</f>
        <v>17 ਸੰਤੋਸ਼ ਕੁਮਾਰ ਨੰਬਰਦਾਰ</v>
      </c>
      <c r="I18" s="5" t="s">
        <v>401</v>
      </c>
      <c r="J18" s="5" t="s">
        <v>939</v>
      </c>
      <c r="K18" s="5" t="s">
        <v>278</v>
      </c>
      <c r="L18" s="5" t="s">
        <v>940</v>
      </c>
      <c r="M18" s="5">
        <v>1</v>
      </c>
      <c r="N18" s="5">
        <v>1</v>
      </c>
      <c r="O18" s="5">
        <v>1</v>
      </c>
      <c r="P18" s="123" t="s">
        <v>566</v>
      </c>
      <c r="Q18" s="5" t="s">
        <v>941</v>
      </c>
      <c r="R18" s="5">
        <v>1</v>
      </c>
      <c r="S18" s="5">
        <v>1</v>
      </c>
      <c r="T18" s="5">
        <v>1</v>
      </c>
      <c r="U18" s="5">
        <v>1</v>
      </c>
      <c r="V18" s="5">
        <v>1</v>
      </c>
      <c r="W18" s="142" t="s">
        <v>559</v>
      </c>
      <c r="X18" s="18" t="s">
        <v>560</v>
      </c>
      <c r="Y18" s="18" t="s">
        <v>116</v>
      </c>
      <c r="Z18" s="18">
        <v>1</v>
      </c>
      <c r="AA18" s="18">
        <v>1</v>
      </c>
      <c r="AB18" s="18">
        <v>1</v>
      </c>
      <c r="AC18" s="18">
        <v>1</v>
      </c>
      <c r="AD18" s="2"/>
      <c r="AE18" s="6"/>
      <c r="AF18" s="6"/>
      <c r="AG18" s="6"/>
      <c r="AH18" s="6"/>
      <c r="AI18" s="6"/>
      <c r="AJ18" s="6"/>
      <c r="AK18" s="4" t="str">
        <f>AS32</f>
        <v>47 seventeen</v>
      </c>
      <c r="AL18" s="5">
        <v>17</v>
      </c>
      <c r="AM18" s="5">
        <v>1</v>
      </c>
      <c r="AN18" s="5">
        <v>1</v>
      </c>
      <c r="AO18" s="5">
        <v>1</v>
      </c>
      <c r="AP18" s="5">
        <v>1</v>
      </c>
      <c r="AQ18" s="5">
        <v>1</v>
      </c>
      <c r="AR18" s="2">
        <v>2</v>
      </c>
      <c r="AS18" s="18">
        <v>17</v>
      </c>
      <c r="AT18" s="18">
        <v>1</v>
      </c>
      <c r="AU18" s="18">
        <v>1</v>
      </c>
      <c r="AV18" s="18">
        <v>1</v>
      </c>
      <c r="AW18" s="18">
        <v>1</v>
      </c>
      <c r="AX18" s="18">
        <v>1</v>
      </c>
      <c r="AY18" s="29">
        <v>2</v>
      </c>
      <c r="AZ18" s="18">
        <v>17</v>
      </c>
      <c r="BA18" s="5">
        <v>1</v>
      </c>
      <c r="BB18" s="5">
        <v>1</v>
      </c>
      <c r="BC18" s="5">
        <v>1</v>
      </c>
      <c r="BD18" s="5">
        <v>1</v>
      </c>
      <c r="BE18" s="5">
        <v>1</v>
      </c>
      <c r="BF18" s="205">
        <v>2</v>
      </c>
    </row>
    <row r="19" spans="1:58" ht="14.25" customHeight="1">
      <c r="A19" s="6"/>
      <c r="B19" s="6"/>
      <c r="C19" s="6"/>
      <c r="D19" s="6"/>
      <c r="E19" s="6"/>
      <c r="F19" s="6"/>
      <c r="G19" s="6"/>
      <c r="H19" s="223" t="str">
        <f>P37</f>
        <v>18 ਭਗਵਾਨ ਦਾਸ (ਪਠਾਣ)</v>
      </c>
      <c r="I19" s="5" t="s">
        <v>112</v>
      </c>
      <c r="J19" s="5" t="s">
        <v>945</v>
      </c>
      <c r="K19" s="5" t="s">
        <v>946</v>
      </c>
      <c r="L19" s="5" t="s">
        <v>711</v>
      </c>
      <c r="M19" s="5">
        <v>1</v>
      </c>
      <c r="N19" s="5">
        <v>1</v>
      </c>
      <c r="O19" s="5">
        <v>1</v>
      </c>
      <c r="P19" s="123" t="s">
        <v>60</v>
      </c>
      <c r="Q19" s="5" t="s">
        <v>174</v>
      </c>
      <c r="R19" s="5">
        <v>1</v>
      </c>
      <c r="S19" s="5">
        <v>1</v>
      </c>
      <c r="T19" s="5">
        <v>1</v>
      </c>
      <c r="U19" s="5">
        <v>1</v>
      </c>
      <c r="V19" s="5">
        <v>1</v>
      </c>
      <c r="W19" s="142">
        <v>33</v>
      </c>
      <c r="X19" s="18">
        <v>1</v>
      </c>
      <c r="Y19" s="18">
        <v>1</v>
      </c>
      <c r="Z19" s="18">
        <v>1</v>
      </c>
      <c r="AA19" s="18">
        <v>1</v>
      </c>
      <c r="AB19" s="18">
        <v>1</v>
      </c>
      <c r="AC19" s="18">
        <v>1</v>
      </c>
      <c r="AD19" s="2"/>
      <c r="AE19" s="2"/>
      <c r="AF19" s="2"/>
      <c r="AG19" s="2"/>
      <c r="AH19" s="2"/>
      <c r="AI19" s="2"/>
      <c r="AJ19" s="2"/>
      <c r="AK19" s="4" t="str">
        <f>AS37</f>
        <v>48 eighteen</v>
      </c>
      <c r="AL19" s="5">
        <v>18</v>
      </c>
      <c r="AM19" s="5">
        <v>1</v>
      </c>
      <c r="AN19" s="5">
        <v>1</v>
      </c>
      <c r="AO19" s="5">
        <v>1</v>
      </c>
      <c r="AP19" s="5">
        <v>1</v>
      </c>
      <c r="AQ19" s="5">
        <v>1</v>
      </c>
      <c r="AR19" s="2">
        <v>2</v>
      </c>
      <c r="AS19" s="18">
        <v>18</v>
      </c>
      <c r="AT19" s="18">
        <v>1</v>
      </c>
      <c r="AU19" s="18">
        <v>1</v>
      </c>
      <c r="AV19" s="18">
        <v>1</v>
      </c>
      <c r="AW19" s="18">
        <v>1</v>
      </c>
      <c r="AX19" s="18">
        <v>1</v>
      </c>
      <c r="AY19" s="29">
        <v>2</v>
      </c>
      <c r="AZ19" s="18">
        <v>18</v>
      </c>
      <c r="BA19" s="5">
        <v>1</v>
      </c>
      <c r="BB19" s="5">
        <v>1</v>
      </c>
      <c r="BC19" s="5">
        <v>1</v>
      </c>
      <c r="BD19" s="5">
        <v>1</v>
      </c>
      <c r="BE19" s="5">
        <v>1</v>
      </c>
      <c r="BF19" s="205">
        <v>2</v>
      </c>
    </row>
    <row r="20" spans="1:58" ht="14.25" customHeight="1">
      <c r="A20" s="2"/>
      <c r="B20" s="2"/>
      <c r="C20" s="2"/>
      <c r="D20" s="2"/>
      <c r="E20" s="2"/>
      <c r="F20" s="2"/>
      <c r="G20" s="2"/>
      <c r="H20" s="76" t="str">
        <f>P42</f>
        <v>19 ਓਮ ਪ੍ਰਕਾਸ਼ ਭਗਵਾਨ ਦਾਸ</v>
      </c>
      <c r="I20" s="5" t="s">
        <v>950</v>
      </c>
      <c r="J20" s="5" t="s">
        <v>271</v>
      </c>
      <c r="K20" s="5" t="s">
        <v>951</v>
      </c>
      <c r="L20" s="5" t="s">
        <v>275</v>
      </c>
      <c r="M20" s="5">
        <v>1</v>
      </c>
      <c r="N20" s="5">
        <v>1</v>
      </c>
      <c r="O20" s="5">
        <v>1</v>
      </c>
      <c r="P20" s="123">
        <v>19</v>
      </c>
      <c r="Q20" s="5">
        <v>1</v>
      </c>
      <c r="R20" s="5">
        <v>1</v>
      </c>
      <c r="S20" s="5">
        <v>1</v>
      </c>
      <c r="T20" s="5">
        <v>1</v>
      </c>
      <c r="U20" s="5">
        <v>1</v>
      </c>
      <c r="V20" s="5">
        <v>1</v>
      </c>
      <c r="W20" s="142" t="s">
        <v>566</v>
      </c>
      <c r="X20" s="18">
        <v>1</v>
      </c>
      <c r="Y20" s="18">
        <v>1</v>
      </c>
      <c r="Z20" s="18">
        <v>1</v>
      </c>
      <c r="AA20" s="18">
        <v>1</v>
      </c>
      <c r="AB20" s="18">
        <v>1</v>
      </c>
      <c r="AC20" s="18">
        <v>1</v>
      </c>
      <c r="AD20" s="2"/>
      <c r="AE20" s="2"/>
      <c r="AF20" s="2"/>
      <c r="AG20" s="2"/>
      <c r="AH20" s="2"/>
      <c r="AI20" s="2"/>
      <c r="AJ20" s="2"/>
      <c r="AK20" s="4" t="str">
        <f>AS42</f>
        <v>49 niunteen</v>
      </c>
      <c r="AL20" s="5">
        <v>19</v>
      </c>
      <c r="AM20" s="5">
        <v>1</v>
      </c>
      <c r="AN20" s="5">
        <v>1</v>
      </c>
      <c r="AO20" s="5">
        <v>1</v>
      </c>
      <c r="AP20" s="5">
        <v>1</v>
      </c>
      <c r="AQ20" s="5">
        <v>1</v>
      </c>
      <c r="AR20" s="2">
        <v>2</v>
      </c>
      <c r="AS20" s="18">
        <v>19</v>
      </c>
      <c r="AT20" s="18">
        <v>1</v>
      </c>
      <c r="AU20" s="18">
        <v>1</v>
      </c>
      <c r="AV20" s="18">
        <v>1</v>
      </c>
      <c r="AW20" s="18">
        <v>1</v>
      </c>
      <c r="AX20" s="18">
        <v>1</v>
      </c>
      <c r="AY20" s="29">
        <v>2</v>
      </c>
      <c r="AZ20" s="18">
        <v>19</v>
      </c>
      <c r="BA20" s="5">
        <v>1</v>
      </c>
      <c r="BB20" s="5">
        <v>1</v>
      </c>
      <c r="BC20" s="5">
        <v>1</v>
      </c>
      <c r="BD20" s="5">
        <v>1</v>
      </c>
      <c r="BE20" s="5">
        <v>1</v>
      </c>
      <c r="BF20" s="205">
        <v>2</v>
      </c>
    </row>
    <row r="21" spans="1:58" ht="14.25" customHeight="1">
      <c r="A21" s="2"/>
      <c r="B21" s="2"/>
      <c r="C21" s="2"/>
      <c r="D21" s="2"/>
      <c r="E21" s="2"/>
      <c r="F21" s="2"/>
      <c r="G21" s="2"/>
      <c r="H21" s="76" t="str">
        <f>P47</f>
        <v>20 ਓਮ ਪ੍ਰਕਾਸ਼ s/o ਹਰਭਗਵਾਨ</v>
      </c>
      <c r="I21" s="5" t="s">
        <v>177</v>
      </c>
      <c r="J21" s="5">
        <v>1</v>
      </c>
      <c r="K21" s="5" t="s">
        <v>596</v>
      </c>
      <c r="L21" s="5">
        <v>1</v>
      </c>
      <c r="M21" s="5">
        <v>1</v>
      </c>
      <c r="N21" s="5">
        <v>1</v>
      </c>
      <c r="O21" s="5">
        <v>1</v>
      </c>
      <c r="P21" s="123">
        <v>20</v>
      </c>
      <c r="Q21" s="5">
        <v>1</v>
      </c>
      <c r="R21" s="5">
        <v>1</v>
      </c>
      <c r="S21" s="5">
        <v>1</v>
      </c>
      <c r="T21" s="5">
        <v>1</v>
      </c>
      <c r="U21" s="5">
        <v>1</v>
      </c>
      <c r="V21" s="5">
        <v>1</v>
      </c>
      <c r="W21" s="142">
        <v>35</v>
      </c>
      <c r="X21" s="18">
        <v>1</v>
      </c>
      <c r="Y21" s="18">
        <v>1</v>
      </c>
      <c r="Z21" s="18">
        <v>1</v>
      </c>
      <c r="AA21" s="18">
        <v>1</v>
      </c>
      <c r="AB21" s="18">
        <v>1</v>
      </c>
      <c r="AC21" s="18">
        <v>1</v>
      </c>
      <c r="AD21" s="2"/>
      <c r="AE21" s="2"/>
      <c r="AF21" s="2"/>
      <c r="AG21" s="2"/>
      <c r="AH21" s="2"/>
      <c r="AI21" s="2"/>
      <c r="AJ21" s="2"/>
      <c r="AK21" s="4" t="str">
        <f>AS47</f>
        <v>50 twenty</v>
      </c>
      <c r="AL21" s="5">
        <v>20</v>
      </c>
      <c r="AM21" s="5">
        <v>1</v>
      </c>
      <c r="AN21" s="5">
        <v>1</v>
      </c>
      <c r="AO21" s="5">
        <v>1</v>
      </c>
      <c r="AP21" s="5">
        <v>1</v>
      </c>
      <c r="AQ21" s="5">
        <v>1</v>
      </c>
      <c r="AR21" s="2">
        <v>2</v>
      </c>
      <c r="AS21" s="18">
        <v>20</v>
      </c>
      <c r="AT21" s="18">
        <v>1</v>
      </c>
      <c r="AU21" s="18">
        <v>1</v>
      </c>
      <c r="AV21" s="18">
        <v>1</v>
      </c>
      <c r="AW21" s="18">
        <v>1</v>
      </c>
      <c r="AX21" s="18">
        <v>1</v>
      </c>
      <c r="AY21" s="29">
        <v>2</v>
      </c>
      <c r="AZ21" s="18">
        <v>20</v>
      </c>
      <c r="BA21" s="5">
        <v>1</v>
      </c>
      <c r="BB21" s="5">
        <v>1</v>
      </c>
      <c r="BC21" s="5">
        <v>1</v>
      </c>
      <c r="BD21" s="5">
        <v>1</v>
      </c>
      <c r="BE21" s="5">
        <v>1</v>
      </c>
      <c r="BF21" s="205">
        <v>2</v>
      </c>
    </row>
    <row r="22" spans="1:58" ht="14.25" customHeight="1">
      <c r="A22" s="2"/>
      <c r="B22" s="2"/>
      <c r="C22" s="2"/>
      <c r="D22" s="2"/>
      <c r="E22" s="2"/>
      <c r="F22" s="2"/>
      <c r="G22" s="2"/>
      <c r="H22" s="76" t="str">
        <f>W2</f>
        <v>21 ਕੋਟ ਚੰਦ</v>
      </c>
      <c r="I22" s="73" t="s">
        <v>912</v>
      </c>
      <c r="J22" s="5">
        <v>1</v>
      </c>
      <c r="K22" s="5">
        <v>1</v>
      </c>
      <c r="L22" s="5">
        <v>1</v>
      </c>
      <c r="M22" s="5">
        <v>1</v>
      </c>
      <c r="N22" s="5">
        <v>1</v>
      </c>
      <c r="O22" s="80" t="s">
        <v>1261</v>
      </c>
      <c r="P22" s="122" t="s">
        <v>931</v>
      </c>
      <c r="Q22" s="5" t="s">
        <v>111</v>
      </c>
      <c r="R22" s="5" t="s">
        <v>280</v>
      </c>
      <c r="S22" s="5">
        <v>1</v>
      </c>
      <c r="T22" s="5">
        <v>1</v>
      </c>
      <c r="U22" s="5">
        <v>1</v>
      </c>
      <c r="V22" s="121" t="s">
        <v>1285</v>
      </c>
      <c r="W22" s="73" t="s">
        <v>953</v>
      </c>
      <c r="X22" s="5" t="s">
        <v>58</v>
      </c>
      <c r="Y22" s="5">
        <v>1</v>
      </c>
      <c r="Z22" s="5">
        <v>1</v>
      </c>
      <c r="AA22" s="5">
        <v>1</v>
      </c>
      <c r="AB22" s="5">
        <v>1</v>
      </c>
      <c r="AC22" s="80">
        <v>2</v>
      </c>
      <c r="AD22" s="2"/>
      <c r="AE22" s="2"/>
      <c r="AF22" s="2"/>
      <c r="AG22" s="2"/>
      <c r="AH22" s="2"/>
      <c r="AI22" s="2"/>
      <c r="AJ22" s="2"/>
      <c r="AK22" s="4" t="str">
        <f>AZ2</f>
        <v>51 sona</v>
      </c>
      <c r="AL22" s="73" t="s">
        <v>848</v>
      </c>
      <c r="AM22" s="5">
        <v>1</v>
      </c>
      <c r="AN22" s="5">
        <v>1</v>
      </c>
      <c r="AO22" s="5">
        <v>1</v>
      </c>
      <c r="AP22" s="5">
        <v>1</v>
      </c>
      <c r="AQ22" s="5">
        <v>1</v>
      </c>
      <c r="AR22" s="2">
        <v>2</v>
      </c>
      <c r="AS22" s="17" t="s">
        <v>722</v>
      </c>
      <c r="AT22" s="18">
        <v>1</v>
      </c>
      <c r="AU22" s="18">
        <v>1</v>
      </c>
      <c r="AV22" s="18">
        <v>1</v>
      </c>
      <c r="AW22" s="18">
        <v>1</v>
      </c>
      <c r="AX22" s="18">
        <v>1</v>
      </c>
      <c r="AY22" s="29">
        <v>2</v>
      </c>
      <c r="AZ22" s="17" t="s">
        <v>171</v>
      </c>
      <c r="BA22" s="5">
        <v>1</v>
      </c>
      <c r="BB22" s="5">
        <v>1</v>
      </c>
      <c r="BC22" s="5">
        <v>1</v>
      </c>
      <c r="BD22" s="5">
        <v>1</v>
      </c>
      <c r="BE22" s="5">
        <v>1</v>
      </c>
      <c r="BF22" s="205">
        <v>2</v>
      </c>
    </row>
    <row r="23" spans="1:58" ht="14.25" customHeight="1">
      <c r="A23" s="2"/>
      <c r="B23" s="2"/>
      <c r="C23" s="2"/>
      <c r="D23" s="2"/>
      <c r="E23" s="2"/>
      <c r="F23" s="2"/>
      <c r="G23" s="2"/>
      <c r="H23" s="76" t="str">
        <f>W7</f>
        <v>22 ਹੰਸ ਰਾਜ</v>
      </c>
      <c r="I23" s="5" t="s">
        <v>331</v>
      </c>
      <c r="J23" s="5" t="s">
        <v>905</v>
      </c>
      <c r="K23" s="5">
        <v>1</v>
      </c>
      <c r="L23" s="5">
        <v>1</v>
      </c>
      <c r="M23" s="5">
        <v>1</v>
      </c>
      <c r="N23" s="5">
        <v>1</v>
      </c>
      <c r="O23" s="5">
        <v>1</v>
      </c>
      <c r="P23" s="123" t="s">
        <v>55</v>
      </c>
      <c r="Q23" s="5">
        <v>1</v>
      </c>
      <c r="R23" s="5">
        <v>1</v>
      </c>
      <c r="S23" s="5">
        <v>1</v>
      </c>
      <c r="T23" s="5">
        <v>1</v>
      </c>
      <c r="U23" s="5">
        <v>1</v>
      </c>
      <c r="V23" s="5">
        <v>1</v>
      </c>
      <c r="W23" s="5">
        <v>22</v>
      </c>
      <c r="X23" s="5">
        <v>1</v>
      </c>
      <c r="Y23" s="5">
        <v>1</v>
      </c>
      <c r="Z23" s="5">
        <v>1</v>
      </c>
      <c r="AA23" s="5">
        <v>1</v>
      </c>
      <c r="AB23" s="5">
        <v>1</v>
      </c>
      <c r="AC23" s="80">
        <v>2</v>
      </c>
      <c r="AD23" s="2"/>
      <c r="AE23" s="2"/>
      <c r="AF23" s="2"/>
      <c r="AG23" s="2"/>
      <c r="AH23" s="2"/>
      <c r="AI23" s="2"/>
      <c r="AJ23" s="2"/>
      <c r="AK23" s="4" t="str">
        <f>AZ7</f>
        <v>52 twenty 2</v>
      </c>
      <c r="AL23" s="5" t="s">
        <v>853</v>
      </c>
      <c r="AM23" s="5">
        <v>1</v>
      </c>
      <c r="AN23" s="5">
        <v>1</v>
      </c>
      <c r="AO23" s="5">
        <v>1</v>
      </c>
      <c r="AP23" s="5">
        <v>1</v>
      </c>
      <c r="AQ23" s="5">
        <v>1</v>
      </c>
      <c r="AR23" s="2">
        <v>2</v>
      </c>
      <c r="AS23" s="18">
        <v>22</v>
      </c>
      <c r="AT23" s="18">
        <v>1</v>
      </c>
      <c r="AU23" s="18">
        <v>1</v>
      </c>
      <c r="AV23" s="18">
        <v>1</v>
      </c>
      <c r="AW23" s="18">
        <v>1</v>
      </c>
      <c r="AX23" s="18">
        <v>1</v>
      </c>
      <c r="AY23" s="29">
        <v>2</v>
      </c>
      <c r="AZ23" s="18">
        <v>22</v>
      </c>
      <c r="BA23" s="5">
        <v>1</v>
      </c>
      <c r="BB23" s="5">
        <v>1</v>
      </c>
      <c r="BC23" s="5">
        <v>1</v>
      </c>
      <c r="BD23" s="5">
        <v>1</v>
      </c>
      <c r="BE23" s="5">
        <v>1</v>
      </c>
      <c r="BF23" s="205">
        <v>2</v>
      </c>
    </row>
    <row r="24" spans="1:58" ht="14.25" customHeight="1">
      <c r="A24" s="2"/>
      <c r="B24" s="2"/>
      <c r="C24" s="2"/>
      <c r="D24" s="2"/>
      <c r="E24" s="2"/>
      <c r="F24" s="2"/>
      <c r="G24" s="2"/>
      <c r="H24" s="76" t="str">
        <f>W12</f>
        <v>23 ਚੰਦਰ ਪ੍ਰਕਾਸ਼</v>
      </c>
      <c r="I24" s="5" t="s">
        <v>954</v>
      </c>
      <c r="J24" s="5">
        <v>1</v>
      </c>
      <c r="K24" s="5">
        <v>1</v>
      </c>
      <c r="L24" s="5">
        <v>1</v>
      </c>
      <c r="M24" s="5">
        <v>1</v>
      </c>
      <c r="N24" s="5">
        <v>1</v>
      </c>
      <c r="O24" s="5">
        <v>1</v>
      </c>
      <c r="P24" s="123">
        <v>23</v>
      </c>
      <c r="Q24" s="5">
        <v>1</v>
      </c>
      <c r="R24" s="5">
        <v>1</v>
      </c>
      <c r="S24" s="5">
        <v>1</v>
      </c>
      <c r="T24" s="5">
        <v>1</v>
      </c>
      <c r="U24" s="5">
        <v>1</v>
      </c>
      <c r="V24" s="5">
        <v>1</v>
      </c>
      <c r="W24" s="5">
        <v>23</v>
      </c>
      <c r="X24" s="5">
        <v>1</v>
      </c>
      <c r="Y24" s="5">
        <v>1</v>
      </c>
      <c r="Z24" s="5">
        <v>1</v>
      </c>
      <c r="AA24" s="5">
        <v>1</v>
      </c>
      <c r="AB24" s="5">
        <v>1</v>
      </c>
      <c r="AC24" s="80">
        <v>2</v>
      </c>
      <c r="AD24" s="2"/>
      <c r="AE24" s="2"/>
      <c r="AF24" s="2"/>
      <c r="AG24" s="2"/>
      <c r="AH24" s="2"/>
      <c r="AI24" s="2"/>
      <c r="AJ24" s="2"/>
      <c r="AK24" s="4" t="str">
        <f>AZ12</f>
        <v>53 twenty 3</v>
      </c>
      <c r="AL24" s="5">
        <v>23</v>
      </c>
      <c r="AM24" s="5">
        <v>1</v>
      </c>
      <c r="AN24" s="5">
        <v>1</v>
      </c>
      <c r="AO24" s="5">
        <v>1</v>
      </c>
      <c r="AP24" s="5">
        <v>1</v>
      </c>
      <c r="AQ24" s="5">
        <v>1</v>
      </c>
      <c r="AR24" s="2">
        <v>2</v>
      </c>
      <c r="AS24" s="18">
        <v>23</v>
      </c>
      <c r="AT24" s="18">
        <v>1</v>
      </c>
      <c r="AU24" s="18">
        <v>1</v>
      </c>
      <c r="AV24" s="18">
        <v>1</v>
      </c>
      <c r="AW24" s="18">
        <v>1</v>
      </c>
      <c r="AX24" s="18">
        <v>1</v>
      </c>
      <c r="AY24" s="29">
        <v>2</v>
      </c>
      <c r="AZ24" s="18">
        <v>23</v>
      </c>
      <c r="BA24" s="5">
        <v>1</v>
      </c>
      <c r="BB24" s="5">
        <v>1</v>
      </c>
      <c r="BC24" s="5">
        <v>1</v>
      </c>
      <c r="BD24" s="5">
        <v>1</v>
      </c>
      <c r="BE24" s="5">
        <v>1</v>
      </c>
      <c r="BF24" s="205">
        <v>2</v>
      </c>
    </row>
    <row r="25" spans="1:58" ht="14.25" customHeight="1">
      <c r="A25" s="2"/>
      <c r="B25" s="2"/>
      <c r="C25" s="2"/>
      <c r="D25" s="2"/>
      <c r="E25" s="2"/>
      <c r="F25" s="2"/>
      <c r="G25" s="2"/>
      <c r="H25" s="76" t="str">
        <f>W17</f>
        <v>37 ਹਰੀ ਚੰਦ ਬੱਗੁ ਰਾਮ</v>
      </c>
      <c r="I25" s="5" t="s">
        <v>955</v>
      </c>
      <c r="J25" s="5">
        <v>1</v>
      </c>
      <c r="K25" s="5">
        <v>1</v>
      </c>
      <c r="L25" s="5">
        <v>1</v>
      </c>
      <c r="M25" s="5">
        <v>1</v>
      </c>
      <c r="N25" s="5">
        <v>1</v>
      </c>
      <c r="O25" s="5">
        <v>1</v>
      </c>
      <c r="P25" s="123">
        <v>24</v>
      </c>
      <c r="Q25" s="5">
        <v>1</v>
      </c>
      <c r="R25" s="5">
        <v>1</v>
      </c>
      <c r="S25" s="5">
        <v>1</v>
      </c>
      <c r="T25" s="5">
        <v>1</v>
      </c>
      <c r="U25" s="5">
        <v>1</v>
      </c>
      <c r="V25" s="5">
        <v>1</v>
      </c>
      <c r="W25" s="5">
        <v>24</v>
      </c>
      <c r="X25" s="5">
        <v>1</v>
      </c>
      <c r="Y25" s="5">
        <v>1</v>
      </c>
      <c r="Z25" s="5">
        <v>1</v>
      </c>
      <c r="AA25" s="5">
        <v>1</v>
      </c>
      <c r="AB25" s="5">
        <v>1</v>
      </c>
      <c r="AC25" s="80">
        <v>2</v>
      </c>
      <c r="AD25" s="2"/>
      <c r="AE25" s="2"/>
      <c r="AF25" s="2"/>
      <c r="AG25" s="2"/>
      <c r="AH25" s="2"/>
      <c r="AI25" s="2"/>
      <c r="AJ25" s="2"/>
      <c r="AK25" s="4" t="str">
        <f>AZ17</f>
        <v>54 twenty 4</v>
      </c>
      <c r="AL25" s="5">
        <v>24</v>
      </c>
      <c r="AM25" s="5">
        <v>1</v>
      </c>
      <c r="AN25" s="5">
        <v>1</v>
      </c>
      <c r="AO25" s="5">
        <v>1</v>
      </c>
      <c r="AP25" s="5">
        <v>1</v>
      </c>
      <c r="AQ25" s="5">
        <v>1</v>
      </c>
      <c r="AR25" s="2">
        <v>2</v>
      </c>
      <c r="AS25" s="18">
        <v>24</v>
      </c>
      <c r="AT25" s="18">
        <v>1</v>
      </c>
      <c r="AU25" s="18">
        <v>1</v>
      </c>
      <c r="AV25" s="18">
        <v>1</v>
      </c>
      <c r="AW25" s="18">
        <v>1</v>
      </c>
      <c r="AX25" s="18">
        <v>1</v>
      </c>
      <c r="AY25" s="29">
        <v>2</v>
      </c>
      <c r="AZ25" s="18">
        <v>24</v>
      </c>
      <c r="BA25" s="5">
        <v>1</v>
      </c>
      <c r="BB25" s="5">
        <v>1</v>
      </c>
      <c r="BC25" s="5">
        <v>1</v>
      </c>
      <c r="BD25" s="5">
        <v>1</v>
      </c>
      <c r="BE25" s="5">
        <v>1</v>
      </c>
      <c r="BF25" s="205">
        <v>2</v>
      </c>
    </row>
    <row r="26" spans="1:58" ht="14.25" customHeight="1">
      <c r="A26" s="2"/>
      <c r="B26" s="2"/>
      <c r="C26" s="2"/>
      <c r="D26" s="2"/>
      <c r="E26" s="2"/>
      <c r="F26" s="2"/>
      <c r="G26" s="2"/>
      <c r="H26" s="76" t="str">
        <f>W22</f>
        <v>25 twenth</v>
      </c>
      <c r="I26" s="5">
        <v>25</v>
      </c>
      <c r="J26" s="5">
        <v>1</v>
      </c>
      <c r="K26" s="5">
        <v>1</v>
      </c>
      <c r="L26" s="5">
        <v>1</v>
      </c>
      <c r="M26" s="5">
        <v>1</v>
      </c>
      <c r="N26" s="5">
        <v>1</v>
      </c>
      <c r="O26" s="5">
        <v>1</v>
      </c>
      <c r="P26" s="123">
        <v>25</v>
      </c>
      <c r="Q26" s="5">
        <v>1</v>
      </c>
      <c r="R26" s="5">
        <v>1</v>
      </c>
      <c r="S26" s="5">
        <v>1</v>
      </c>
      <c r="T26" s="5">
        <v>1</v>
      </c>
      <c r="U26" s="5">
        <v>1</v>
      </c>
      <c r="V26" s="5">
        <v>1</v>
      </c>
      <c r="W26" s="5">
        <v>25</v>
      </c>
      <c r="X26" s="5">
        <v>1</v>
      </c>
      <c r="Y26" s="5">
        <v>1</v>
      </c>
      <c r="Z26" s="5">
        <v>1</v>
      </c>
      <c r="AA26" s="5">
        <v>1</v>
      </c>
      <c r="AB26" s="5">
        <v>1</v>
      </c>
      <c r="AC26" s="80">
        <v>2</v>
      </c>
      <c r="AD26" s="2"/>
      <c r="AE26" s="2"/>
      <c r="AF26" s="2"/>
      <c r="AG26" s="2"/>
      <c r="AH26" s="2"/>
      <c r="AI26" s="2"/>
      <c r="AJ26" s="2"/>
      <c r="AK26" s="4" t="str">
        <f>AZ22</f>
        <v>55 twenty 5</v>
      </c>
      <c r="AL26" s="5">
        <v>25</v>
      </c>
      <c r="AM26" s="5">
        <v>1</v>
      </c>
      <c r="AN26" s="5">
        <v>1</v>
      </c>
      <c r="AO26" s="5">
        <v>1</v>
      </c>
      <c r="AP26" s="5">
        <v>1</v>
      </c>
      <c r="AQ26" s="5">
        <v>1</v>
      </c>
      <c r="AR26" s="2">
        <v>2</v>
      </c>
      <c r="AS26" s="18">
        <v>25</v>
      </c>
      <c r="AT26" s="18">
        <v>1</v>
      </c>
      <c r="AU26" s="18">
        <v>1</v>
      </c>
      <c r="AV26" s="18">
        <v>1</v>
      </c>
      <c r="AW26" s="18">
        <v>1</v>
      </c>
      <c r="AX26" s="18">
        <v>1</v>
      </c>
      <c r="AY26" s="29">
        <v>2</v>
      </c>
      <c r="AZ26" s="18">
        <v>25</v>
      </c>
      <c r="BA26" s="5">
        <v>1</v>
      </c>
      <c r="BB26" s="5">
        <v>1</v>
      </c>
      <c r="BC26" s="5">
        <v>1</v>
      </c>
      <c r="BD26" s="5">
        <v>1</v>
      </c>
      <c r="BE26" s="5">
        <v>1</v>
      </c>
      <c r="BF26" s="205">
        <v>2</v>
      </c>
    </row>
    <row r="27" spans="1:58" ht="14.25" customHeight="1">
      <c r="A27" s="2"/>
      <c r="B27" s="2"/>
      <c r="C27" s="2"/>
      <c r="D27" s="2"/>
      <c r="E27" s="2"/>
      <c r="F27" s="2"/>
      <c r="G27" s="2"/>
      <c r="H27" s="76" t="str">
        <f>W27</f>
        <v>26 twenty 6</v>
      </c>
      <c r="I27" s="73" t="s">
        <v>913</v>
      </c>
      <c r="J27" s="5" t="s">
        <v>957</v>
      </c>
      <c r="K27" s="5">
        <v>1</v>
      </c>
      <c r="L27" s="5">
        <v>1</v>
      </c>
      <c r="M27" s="5">
        <v>1</v>
      </c>
      <c r="N27" s="5">
        <v>1</v>
      </c>
      <c r="O27" s="80" t="s">
        <v>1262</v>
      </c>
      <c r="P27" s="122" t="s">
        <v>932</v>
      </c>
      <c r="Q27" s="5" t="s">
        <v>107</v>
      </c>
      <c r="R27" s="5">
        <v>1</v>
      </c>
      <c r="S27" s="5">
        <v>1</v>
      </c>
      <c r="T27" s="5">
        <v>1</v>
      </c>
      <c r="U27" s="5">
        <v>1</v>
      </c>
      <c r="V27" s="246"/>
      <c r="W27" s="73" t="s">
        <v>956</v>
      </c>
      <c r="X27" s="5">
        <v>1</v>
      </c>
      <c r="Y27" s="5">
        <v>1</v>
      </c>
      <c r="Z27" s="5">
        <v>1</v>
      </c>
      <c r="AA27" s="5">
        <v>1</v>
      </c>
      <c r="AB27" s="5">
        <v>1</v>
      </c>
      <c r="AC27" s="80">
        <v>2</v>
      </c>
      <c r="AD27" s="2"/>
      <c r="AE27" s="2"/>
      <c r="AF27" s="2"/>
      <c r="AG27" s="2"/>
      <c r="AH27" s="2"/>
      <c r="AI27" s="2"/>
      <c r="AJ27" s="2"/>
      <c r="AK27" s="4" t="str">
        <f>AZ27</f>
        <v>56 twenty 6</v>
      </c>
      <c r="AL27" s="73" t="s">
        <v>860</v>
      </c>
      <c r="AM27" s="5">
        <v>1</v>
      </c>
      <c r="AN27" s="5">
        <v>1</v>
      </c>
      <c r="AO27" s="5">
        <v>1</v>
      </c>
      <c r="AP27" s="5">
        <v>1</v>
      </c>
      <c r="AQ27" s="5">
        <v>1</v>
      </c>
      <c r="AR27" s="2">
        <v>2</v>
      </c>
      <c r="AS27" s="17" t="s">
        <v>731</v>
      </c>
      <c r="AT27" s="18">
        <v>1</v>
      </c>
      <c r="AU27" s="18">
        <v>1</v>
      </c>
      <c r="AV27" s="18">
        <v>1</v>
      </c>
      <c r="AW27" s="18">
        <v>1</v>
      </c>
      <c r="AX27" s="18">
        <v>1</v>
      </c>
      <c r="AY27" s="29">
        <v>2</v>
      </c>
      <c r="AZ27" s="17" t="s">
        <v>202</v>
      </c>
      <c r="BA27" s="5">
        <v>1</v>
      </c>
      <c r="BB27" s="5">
        <v>1</v>
      </c>
      <c r="BC27" s="5">
        <v>1</v>
      </c>
      <c r="BD27" s="5">
        <v>1</v>
      </c>
      <c r="BE27" s="5">
        <v>1</v>
      </c>
      <c r="BF27" s="205">
        <v>2</v>
      </c>
    </row>
    <row r="28" spans="1:58" ht="14.25" customHeight="1">
      <c r="A28" s="2"/>
      <c r="B28" s="2"/>
      <c r="C28" s="2"/>
      <c r="D28" s="2"/>
      <c r="E28" s="2"/>
      <c r="F28" s="2"/>
      <c r="G28" s="2"/>
      <c r="H28" s="76" t="str">
        <f>W32</f>
        <v>27 twenty 7</v>
      </c>
      <c r="I28" s="5" t="s">
        <v>130</v>
      </c>
      <c r="J28" s="5">
        <v>1</v>
      </c>
      <c r="K28" s="5">
        <v>1</v>
      </c>
      <c r="L28" s="5">
        <v>1</v>
      </c>
      <c r="M28" s="5">
        <v>1</v>
      </c>
      <c r="N28" s="5">
        <v>1</v>
      </c>
      <c r="O28" s="5">
        <v>1</v>
      </c>
      <c r="P28" s="123">
        <v>27</v>
      </c>
      <c r="Q28" s="5">
        <v>1</v>
      </c>
      <c r="R28" s="5">
        <v>1</v>
      </c>
      <c r="S28" s="5">
        <v>1</v>
      </c>
      <c r="T28" s="5">
        <v>1</v>
      </c>
      <c r="U28" s="5">
        <v>1</v>
      </c>
      <c r="V28" s="5">
        <v>1</v>
      </c>
      <c r="W28" s="5">
        <v>27</v>
      </c>
      <c r="X28" s="5">
        <v>1</v>
      </c>
      <c r="Y28" s="5">
        <v>1</v>
      </c>
      <c r="Z28" s="5">
        <v>1</v>
      </c>
      <c r="AA28" s="5">
        <v>1</v>
      </c>
      <c r="AB28" s="5">
        <v>1</v>
      </c>
      <c r="AC28" s="80">
        <v>2</v>
      </c>
      <c r="AD28" s="2"/>
      <c r="AE28" s="2"/>
      <c r="AF28" s="2"/>
      <c r="AG28" s="2"/>
      <c r="AH28" s="2"/>
      <c r="AI28" s="2"/>
      <c r="AJ28" s="2"/>
      <c r="AK28" s="4" t="str">
        <f>AZ32</f>
        <v>57 twenty 7</v>
      </c>
      <c r="AL28" s="5">
        <v>27</v>
      </c>
      <c r="AM28" s="5">
        <v>1</v>
      </c>
      <c r="AN28" s="5">
        <v>1</v>
      </c>
      <c r="AO28" s="5">
        <v>1</v>
      </c>
      <c r="AP28" s="5">
        <v>1</v>
      </c>
      <c r="AQ28" s="5">
        <v>1</v>
      </c>
      <c r="AR28" s="2">
        <v>2</v>
      </c>
      <c r="AS28" s="18">
        <v>27</v>
      </c>
      <c r="AT28" s="18">
        <v>1</v>
      </c>
      <c r="AU28" s="18">
        <v>1</v>
      </c>
      <c r="AV28" s="18">
        <v>1</v>
      </c>
      <c r="AW28" s="18">
        <v>1</v>
      </c>
      <c r="AX28" s="18">
        <v>1</v>
      </c>
      <c r="AY28" s="29">
        <v>2</v>
      </c>
      <c r="AZ28" s="18">
        <v>27</v>
      </c>
      <c r="BA28" s="5">
        <v>1</v>
      </c>
      <c r="BB28" s="5">
        <v>1</v>
      </c>
      <c r="BC28" s="5">
        <v>1</v>
      </c>
      <c r="BD28" s="5">
        <v>1</v>
      </c>
      <c r="BE28" s="5">
        <v>1</v>
      </c>
      <c r="BF28" s="205">
        <v>2</v>
      </c>
    </row>
    <row r="29" spans="1:58" ht="14.25" customHeight="1">
      <c r="A29" s="2"/>
      <c r="B29" s="2"/>
      <c r="C29" s="2"/>
      <c r="D29" s="2"/>
      <c r="E29" s="2"/>
      <c r="F29" s="2"/>
      <c r="G29" s="2"/>
      <c r="H29" s="76" t="str">
        <f>W37</f>
        <v>28 twenty 8</v>
      </c>
      <c r="I29" s="5" t="s">
        <v>137</v>
      </c>
      <c r="J29" s="5">
        <v>1</v>
      </c>
      <c r="K29" s="5">
        <v>1</v>
      </c>
      <c r="L29" s="5">
        <v>1</v>
      </c>
      <c r="M29" s="5">
        <v>1</v>
      </c>
      <c r="N29" s="5">
        <v>1</v>
      </c>
      <c r="O29" s="5">
        <v>1</v>
      </c>
      <c r="P29" s="123">
        <v>28</v>
      </c>
      <c r="Q29" s="5">
        <v>1</v>
      </c>
      <c r="R29" s="5">
        <v>1</v>
      </c>
      <c r="S29" s="5">
        <v>1</v>
      </c>
      <c r="T29" s="5">
        <v>1</v>
      </c>
      <c r="U29" s="5">
        <v>1</v>
      </c>
      <c r="V29" s="5">
        <v>1</v>
      </c>
      <c r="W29" s="5">
        <v>28</v>
      </c>
      <c r="X29" s="5">
        <v>1</v>
      </c>
      <c r="Y29" s="5">
        <v>1</v>
      </c>
      <c r="Z29" s="5">
        <v>1</v>
      </c>
      <c r="AA29" s="5">
        <v>1</v>
      </c>
      <c r="AB29" s="5">
        <v>1</v>
      </c>
      <c r="AC29" s="80">
        <v>2</v>
      </c>
      <c r="AD29" s="2"/>
      <c r="AE29" s="2"/>
      <c r="AF29" s="2"/>
      <c r="AG29" s="2"/>
      <c r="AH29" s="2"/>
      <c r="AI29" s="2"/>
      <c r="AJ29" s="2"/>
      <c r="AK29" s="4" t="str">
        <f>AZ37</f>
        <v>58 twenty 8</v>
      </c>
      <c r="AL29" s="5">
        <v>28</v>
      </c>
      <c r="AM29" s="5">
        <v>1</v>
      </c>
      <c r="AN29" s="5">
        <v>1</v>
      </c>
      <c r="AO29" s="5">
        <v>1</v>
      </c>
      <c r="AP29" s="5">
        <v>1</v>
      </c>
      <c r="AQ29" s="5">
        <v>1</v>
      </c>
      <c r="AR29" s="2">
        <v>2</v>
      </c>
      <c r="AS29" s="18">
        <v>28</v>
      </c>
      <c r="AT29" s="18">
        <v>1</v>
      </c>
      <c r="AU29" s="18">
        <v>1</v>
      </c>
      <c r="AV29" s="18">
        <v>1</v>
      </c>
      <c r="AW29" s="18">
        <v>1</v>
      </c>
      <c r="AX29" s="18">
        <v>1</v>
      </c>
      <c r="AY29" s="29">
        <v>2</v>
      </c>
      <c r="AZ29" s="18">
        <v>28</v>
      </c>
      <c r="BA29" s="5">
        <v>1</v>
      </c>
      <c r="BB29" s="5">
        <v>1</v>
      </c>
      <c r="BC29" s="5">
        <v>1</v>
      </c>
      <c r="BD29" s="5">
        <v>1</v>
      </c>
      <c r="BE29" s="5">
        <v>1</v>
      </c>
      <c r="BF29" s="205">
        <v>2</v>
      </c>
    </row>
    <row r="30" spans="1:58" ht="14.25" customHeight="1">
      <c r="A30" s="2"/>
      <c r="B30" s="2"/>
      <c r="C30" s="2"/>
      <c r="D30" s="2"/>
      <c r="E30" s="2"/>
      <c r="F30" s="2"/>
      <c r="G30" s="2"/>
      <c r="H30" s="76" t="str">
        <f>W42</f>
        <v>29 twnety 9</v>
      </c>
      <c r="I30" s="5">
        <v>29</v>
      </c>
      <c r="J30" s="5">
        <v>1</v>
      </c>
      <c r="K30" s="5">
        <v>1</v>
      </c>
      <c r="L30" s="5">
        <v>1</v>
      </c>
      <c r="M30" s="5">
        <v>1</v>
      </c>
      <c r="N30" s="5">
        <v>1</v>
      </c>
      <c r="O30" s="5">
        <v>1</v>
      </c>
      <c r="P30" s="123">
        <v>29</v>
      </c>
      <c r="Q30" s="5">
        <v>1</v>
      </c>
      <c r="R30" s="5">
        <v>1</v>
      </c>
      <c r="S30" s="5">
        <v>1</v>
      </c>
      <c r="T30" s="5">
        <v>1</v>
      </c>
      <c r="U30" s="5">
        <v>1</v>
      </c>
      <c r="V30" s="5">
        <v>1</v>
      </c>
      <c r="W30" s="5">
        <v>29</v>
      </c>
      <c r="X30" s="5">
        <v>1</v>
      </c>
      <c r="Y30" s="5">
        <v>1</v>
      </c>
      <c r="Z30" s="5">
        <v>1</v>
      </c>
      <c r="AA30" s="5">
        <v>1</v>
      </c>
      <c r="AB30" s="5">
        <v>1</v>
      </c>
      <c r="AC30" s="80">
        <v>2</v>
      </c>
      <c r="AD30" s="2"/>
      <c r="AE30" s="2"/>
      <c r="AF30" s="2"/>
      <c r="AG30" s="2"/>
      <c r="AH30" s="2"/>
      <c r="AI30" s="2"/>
      <c r="AJ30" s="2"/>
      <c r="AK30" s="4" t="str">
        <f>AZ42</f>
        <v>59 twnety 9</v>
      </c>
      <c r="AL30" s="5">
        <v>29</v>
      </c>
      <c r="AM30" s="5">
        <v>1</v>
      </c>
      <c r="AN30" s="5">
        <v>1</v>
      </c>
      <c r="AO30" s="5">
        <v>1</v>
      </c>
      <c r="AP30" s="5">
        <v>1</v>
      </c>
      <c r="AQ30" s="5">
        <v>1</v>
      </c>
      <c r="AR30" s="2">
        <v>2</v>
      </c>
      <c r="AS30" s="18">
        <v>29</v>
      </c>
      <c r="AT30" s="18">
        <v>1</v>
      </c>
      <c r="AU30" s="18">
        <v>1</v>
      </c>
      <c r="AV30" s="18">
        <v>1</v>
      </c>
      <c r="AW30" s="18">
        <v>1</v>
      </c>
      <c r="AX30" s="18">
        <v>1</v>
      </c>
      <c r="AY30" s="29">
        <v>2</v>
      </c>
      <c r="AZ30" s="18">
        <v>29</v>
      </c>
      <c r="BA30" s="5">
        <v>1</v>
      </c>
      <c r="BB30" s="5">
        <v>1</v>
      </c>
      <c r="BC30" s="5">
        <v>1</v>
      </c>
      <c r="BD30" s="5">
        <v>1</v>
      </c>
      <c r="BE30" s="5">
        <v>1</v>
      </c>
      <c r="BF30" s="205">
        <v>2</v>
      </c>
    </row>
    <row r="31" spans="1:58" ht="14.25" customHeight="1">
      <c r="A31" s="2"/>
      <c r="B31" s="2"/>
      <c r="C31" s="2"/>
      <c r="D31" s="2"/>
      <c r="E31" s="2"/>
      <c r="F31" s="2"/>
      <c r="G31" s="2"/>
      <c r="H31" s="76" t="str">
        <f>W47</f>
        <v>30 thirty</v>
      </c>
      <c r="I31" s="5">
        <v>30</v>
      </c>
      <c r="J31" s="5">
        <v>1</v>
      </c>
      <c r="K31" s="5">
        <v>1</v>
      </c>
      <c r="L31" s="5">
        <v>1</v>
      </c>
      <c r="M31" s="5">
        <v>1</v>
      </c>
      <c r="N31" s="5">
        <v>1</v>
      </c>
      <c r="O31" s="5">
        <v>1</v>
      </c>
      <c r="P31" s="123">
        <v>30</v>
      </c>
      <c r="Q31" s="5">
        <v>1</v>
      </c>
      <c r="R31" s="5">
        <v>1</v>
      </c>
      <c r="S31" s="5">
        <v>1</v>
      </c>
      <c r="T31" s="5">
        <v>1</v>
      </c>
      <c r="U31" s="5">
        <v>1</v>
      </c>
      <c r="V31" s="5">
        <v>1</v>
      </c>
      <c r="W31" s="5">
        <v>30</v>
      </c>
      <c r="X31" s="5">
        <v>1</v>
      </c>
      <c r="Y31" s="5">
        <v>1</v>
      </c>
      <c r="Z31" s="5">
        <v>1</v>
      </c>
      <c r="AA31" s="5">
        <v>1</v>
      </c>
      <c r="AB31" s="5">
        <v>1</v>
      </c>
      <c r="AC31" s="80">
        <v>2</v>
      </c>
      <c r="AD31" s="2"/>
      <c r="AE31" s="2"/>
      <c r="AF31" s="2"/>
      <c r="AG31" s="2"/>
      <c r="AH31" s="2"/>
      <c r="AI31" s="2"/>
      <c r="AJ31" s="2"/>
      <c r="AK31" s="4" t="str">
        <f>AZ47</f>
        <v>60 thirty</v>
      </c>
      <c r="AL31" s="5">
        <v>30</v>
      </c>
      <c r="AM31" s="5">
        <v>1</v>
      </c>
      <c r="AN31" s="5">
        <v>1</v>
      </c>
      <c r="AO31" s="5">
        <v>1</v>
      </c>
      <c r="AP31" s="5">
        <v>1</v>
      </c>
      <c r="AQ31" s="5">
        <v>1</v>
      </c>
      <c r="AR31" s="2">
        <v>2</v>
      </c>
      <c r="AS31" s="18">
        <v>30</v>
      </c>
      <c r="AT31" s="18">
        <v>1</v>
      </c>
      <c r="AU31" s="18">
        <v>1</v>
      </c>
      <c r="AV31" s="18">
        <v>1</v>
      </c>
      <c r="AW31" s="18">
        <v>1</v>
      </c>
      <c r="AX31" s="18">
        <v>1</v>
      </c>
      <c r="AY31" s="29">
        <v>2</v>
      </c>
      <c r="AZ31" s="18">
        <v>30</v>
      </c>
      <c r="BA31" s="5">
        <v>1</v>
      </c>
      <c r="BB31" s="5">
        <v>1</v>
      </c>
      <c r="BC31" s="5">
        <v>1</v>
      </c>
      <c r="BD31" s="5">
        <v>1</v>
      </c>
      <c r="BE31" s="5">
        <v>1</v>
      </c>
      <c r="BF31" s="205">
        <v>2</v>
      </c>
    </row>
    <row r="32" spans="1:58" ht="14.25" customHeight="1">
      <c r="A32" s="2"/>
      <c r="B32" s="2"/>
      <c r="C32" s="2"/>
      <c r="D32" s="2"/>
      <c r="E32" s="2"/>
      <c r="F32" s="2"/>
      <c r="G32" s="2"/>
      <c r="H32" s="30"/>
      <c r="I32" s="73" t="s">
        <v>916</v>
      </c>
      <c r="J32" s="5">
        <v>1</v>
      </c>
      <c r="K32" s="5">
        <v>1</v>
      </c>
      <c r="L32" s="5">
        <v>1</v>
      </c>
      <c r="M32" s="5">
        <v>1</v>
      </c>
      <c r="N32" s="5">
        <v>1</v>
      </c>
      <c r="O32" s="80" t="s">
        <v>1263</v>
      </c>
      <c r="P32" s="122" t="s">
        <v>938</v>
      </c>
      <c r="Q32" s="5" t="s">
        <v>164</v>
      </c>
      <c r="R32" s="5">
        <v>1</v>
      </c>
      <c r="S32" s="5">
        <v>1</v>
      </c>
      <c r="T32" s="5">
        <v>1</v>
      </c>
      <c r="U32" s="5">
        <v>1</v>
      </c>
      <c r="V32" s="248" t="s">
        <v>1439</v>
      </c>
      <c r="W32" s="73" t="s">
        <v>958</v>
      </c>
      <c r="X32" s="5">
        <v>1</v>
      </c>
      <c r="Y32" s="5">
        <v>1</v>
      </c>
      <c r="Z32" s="5">
        <v>1</v>
      </c>
      <c r="AA32" s="5">
        <v>1</v>
      </c>
      <c r="AB32" s="5">
        <v>1</v>
      </c>
      <c r="AC32" s="80">
        <v>2</v>
      </c>
      <c r="AD32" s="2"/>
      <c r="AE32" s="2"/>
      <c r="AF32" s="2"/>
      <c r="AG32" s="2"/>
      <c r="AH32" s="2"/>
      <c r="AI32" s="2"/>
      <c r="AJ32" s="2"/>
      <c r="AK32" s="2"/>
      <c r="AL32" s="73" t="s">
        <v>865</v>
      </c>
      <c r="AM32" s="5">
        <v>1</v>
      </c>
      <c r="AN32" s="5">
        <v>1</v>
      </c>
      <c r="AO32" s="5">
        <v>1</v>
      </c>
      <c r="AP32" s="5">
        <v>1</v>
      </c>
      <c r="AQ32" s="5">
        <v>1</v>
      </c>
      <c r="AR32" s="2">
        <v>2</v>
      </c>
      <c r="AS32" s="17" t="s">
        <v>745</v>
      </c>
      <c r="AT32" s="18">
        <v>1</v>
      </c>
      <c r="AU32" s="18">
        <v>1</v>
      </c>
      <c r="AV32" s="18">
        <v>1</v>
      </c>
      <c r="AW32" s="18">
        <v>1</v>
      </c>
      <c r="AX32" s="18">
        <v>1</v>
      </c>
      <c r="AY32" s="29">
        <v>2</v>
      </c>
      <c r="AZ32" s="17" t="s">
        <v>227</v>
      </c>
      <c r="BA32" s="5">
        <v>1</v>
      </c>
      <c r="BB32" s="5">
        <v>1</v>
      </c>
      <c r="BC32" s="5">
        <v>1</v>
      </c>
      <c r="BD32" s="5">
        <v>1</v>
      </c>
      <c r="BE32" s="5">
        <v>1</v>
      </c>
      <c r="BF32" s="205">
        <v>2</v>
      </c>
    </row>
    <row r="33" spans="1:58" ht="14.25" customHeight="1">
      <c r="A33" s="2"/>
      <c r="B33" s="2"/>
      <c r="C33" s="2"/>
      <c r="D33" s="2"/>
      <c r="E33" s="2"/>
      <c r="F33" s="2"/>
      <c r="G33" s="2"/>
      <c r="H33" s="30"/>
      <c r="I33" s="5" t="s">
        <v>177</v>
      </c>
      <c r="J33" s="5" t="s">
        <v>704</v>
      </c>
      <c r="K33" s="5" t="s">
        <v>629</v>
      </c>
      <c r="L33" s="5">
        <v>1</v>
      </c>
      <c r="M33" s="5">
        <v>1</v>
      </c>
      <c r="N33" s="5">
        <v>1</v>
      </c>
      <c r="O33" s="5">
        <v>1</v>
      </c>
      <c r="P33" s="123" t="s">
        <v>667</v>
      </c>
      <c r="Q33" s="5">
        <v>1</v>
      </c>
      <c r="R33" s="5">
        <v>1</v>
      </c>
      <c r="S33" s="5">
        <v>1</v>
      </c>
      <c r="T33" s="5">
        <v>1</v>
      </c>
      <c r="U33" s="5">
        <v>1</v>
      </c>
      <c r="V33" s="5">
        <v>1</v>
      </c>
      <c r="W33" s="5">
        <v>32</v>
      </c>
      <c r="X33" s="5">
        <v>1</v>
      </c>
      <c r="Y33" s="5">
        <v>1</v>
      </c>
      <c r="Z33" s="5">
        <v>1</v>
      </c>
      <c r="AA33" s="5">
        <v>1</v>
      </c>
      <c r="AB33" s="5">
        <v>1</v>
      </c>
      <c r="AC33" s="80">
        <v>2</v>
      </c>
      <c r="AD33" s="2"/>
      <c r="AE33" s="2"/>
      <c r="AF33" s="2"/>
      <c r="AG33" s="2"/>
      <c r="AH33" s="2"/>
      <c r="AI33" s="2"/>
      <c r="AJ33" s="2"/>
      <c r="AK33" s="2"/>
      <c r="AL33" s="5">
        <v>32</v>
      </c>
      <c r="AM33" s="5">
        <v>1</v>
      </c>
      <c r="AN33" s="5">
        <v>1</v>
      </c>
      <c r="AO33" s="5">
        <v>1</v>
      </c>
      <c r="AP33" s="5">
        <v>1</v>
      </c>
      <c r="AQ33" s="5">
        <v>1</v>
      </c>
      <c r="AR33" s="2">
        <v>2</v>
      </c>
      <c r="AS33" s="18">
        <v>32</v>
      </c>
      <c r="AT33" s="18">
        <v>1</v>
      </c>
      <c r="AU33" s="18">
        <v>1</v>
      </c>
      <c r="AV33" s="18">
        <v>1</v>
      </c>
      <c r="AW33" s="18">
        <v>1</v>
      </c>
      <c r="AX33" s="18">
        <v>1</v>
      </c>
      <c r="AY33" s="29">
        <v>2</v>
      </c>
      <c r="AZ33" s="18">
        <v>32</v>
      </c>
      <c r="BA33" s="5">
        <v>1</v>
      </c>
      <c r="BB33" s="5">
        <v>1</v>
      </c>
      <c r="BC33" s="5">
        <v>1</v>
      </c>
      <c r="BD33" s="5">
        <v>1</v>
      </c>
      <c r="BE33" s="5">
        <v>1</v>
      </c>
      <c r="BF33" s="205">
        <v>2</v>
      </c>
    </row>
    <row r="34" spans="1:58" ht="14.25" customHeight="1">
      <c r="A34" s="2"/>
      <c r="B34" s="2"/>
      <c r="C34" s="2"/>
      <c r="D34" s="2"/>
      <c r="E34" s="2"/>
      <c r="F34" s="2"/>
      <c r="G34" s="2"/>
      <c r="H34" s="30"/>
      <c r="I34" s="5" t="s">
        <v>212</v>
      </c>
      <c r="J34" s="5">
        <v>1</v>
      </c>
      <c r="K34" s="5">
        <v>1</v>
      </c>
      <c r="L34" s="5">
        <v>1</v>
      </c>
      <c r="M34" s="5">
        <v>1</v>
      </c>
      <c r="N34" s="5">
        <v>1</v>
      </c>
      <c r="O34" s="5">
        <v>1</v>
      </c>
      <c r="P34" s="123">
        <v>33</v>
      </c>
      <c r="Q34" s="5">
        <v>1</v>
      </c>
      <c r="R34" s="5">
        <v>1</v>
      </c>
      <c r="S34" s="5">
        <v>1</v>
      </c>
      <c r="T34" s="5">
        <v>1</v>
      </c>
      <c r="U34" s="5">
        <v>1</v>
      </c>
      <c r="V34" s="5">
        <v>1</v>
      </c>
      <c r="W34" s="5">
        <v>33</v>
      </c>
      <c r="X34" s="5">
        <v>1</v>
      </c>
      <c r="Y34" s="5">
        <v>1</v>
      </c>
      <c r="Z34" s="5">
        <v>1</v>
      </c>
      <c r="AA34" s="5">
        <v>1</v>
      </c>
      <c r="AB34" s="5">
        <v>1</v>
      </c>
      <c r="AC34" s="80">
        <v>2</v>
      </c>
      <c r="AD34" s="2"/>
      <c r="AE34" s="2"/>
      <c r="AF34" s="2"/>
      <c r="AG34" s="2"/>
      <c r="AH34" s="2"/>
      <c r="AI34" s="2"/>
      <c r="AJ34" s="2"/>
      <c r="AK34" s="2"/>
      <c r="AL34" s="5">
        <v>33</v>
      </c>
      <c r="AM34" s="5">
        <v>1</v>
      </c>
      <c r="AN34" s="5">
        <v>1</v>
      </c>
      <c r="AO34" s="5">
        <v>1</v>
      </c>
      <c r="AP34" s="5">
        <v>1</v>
      </c>
      <c r="AQ34" s="5">
        <v>1</v>
      </c>
      <c r="AR34" s="2">
        <v>2</v>
      </c>
      <c r="AS34" s="18">
        <v>33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29">
        <v>2</v>
      </c>
      <c r="AZ34" s="18">
        <v>33</v>
      </c>
      <c r="BA34" s="5">
        <v>1</v>
      </c>
      <c r="BB34" s="5">
        <v>1</v>
      </c>
      <c r="BC34" s="5">
        <v>1</v>
      </c>
      <c r="BD34" s="5">
        <v>1</v>
      </c>
      <c r="BE34" s="5">
        <v>1</v>
      </c>
      <c r="BF34" s="205">
        <v>2</v>
      </c>
    </row>
    <row r="35" spans="1:58" ht="14.25" customHeight="1">
      <c r="A35" s="2"/>
      <c r="B35" s="2"/>
      <c r="C35" s="2"/>
      <c r="D35" s="2"/>
      <c r="E35" s="2"/>
      <c r="F35" s="2"/>
      <c r="G35" s="2"/>
      <c r="H35" s="30"/>
      <c r="I35" s="5" t="s">
        <v>89</v>
      </c>
      <c r="J35" s="5" t="s">
        <v>163</v>
      </c>
      <c r="K35" s="5">
        <v>1</v>
      </c>
      <c r="L35" s="5">
        <v>1</v>
      </c>
      <c r="M35" s="5">
        <v>1</v>
      </c>
      <c r="N35" s="5">
        <v>1</v>
      </c>
      <c r="O35" s="5">
        <v>1</v>
      </c>
      <c r="P35" s="123">
        <v>34</v>
      </c>
      <c r="Q35" s="5">
        <v>1</v>
      </c>
      <c r="R35" s="5">
        <v>1</v>
      </c>
      <c r="S35" s="5">
        <v>1</v>
      </c>
      <c r="T35" s="5">
        <v>1</v>
      </c>
      <c r="U35" s="5">
        <v>1</v>
      </c>
      <c r="V35" s="5">
        <v>1</v>
      </c>
      <c r="W35" s="5">
        <v>34</v>
      </c>
      <c r="X35" s="5">
        <v>1</v>
      </c>
      <c r="Y35" s="5">
        <v>1</v>
      </c>
      <c r="Z35" s="5">
        <v>1</v>
      </c>
      <c r="AA35" s="5">
        <v>1</v>
      </c>
      <c r="AB35" s="5">
        <v>1</v>
      </c>
      <c r="AC35" s="80">
        <v>2</v>
      </c>
      <c r="AD35" s="2"/>
      <c r="AE35" s="2"/>
      <c r="AF35" s="2"/>
      <c r="AG35" s="2"/>
      <c r="AH35" s="2"/>
      <c r="AI35" s="2"/>
      <c r="AJ35" s="2"/>
      <c r="AK35" s="2"/>
      <c r="AL35" s="5">
        <v>34</v>
      </c>
      <c r="AM35" s="5">
        <v>1</v>
      </c>
      <c r="AN35" s="5">
        <v>1</v>
      </c>
      <c r="AO35" s="5">
        <v>1</v>
      </c>
      <c r="AP35" s="5">
        <v>1</v>
      </c>
      <c r="AQ35" s="5">
        <v>1</v>
      </c>
      <c r="AR35" s="2">
        <v>2</v>
      </c>
      <c r="AS35" s="18">
        <v>34</v>
      </c>
      <c r="AT35" s="18">
        <v>1</v>
      </c>
      <c r="AU35" s="18">
        <v>1</v>
      </c>
      <c r="AV35" s="18">
        <v>1</v>
      </c>
      <c r="AW35" s="18">
        <v>1</v>
      </c>
      <c r="AX35" s="18">
        <v>1</v>
      </c>
      <c r="AY35" s="29">
        <v>2</v>
      </c>
      <c r="AZ35" s="18">
        <v>34</v>
      </c>
      <c r="BA35" s="5">
        <v>1</v>
      </c>
      <c r="BB35" s="5">
        <v>1</v>
      </c>
      <c r="BC35" s="5">
        <v>1</v>
      </c>
      <c r="BD35" s="5">
        <v>1</v>
      </c>
      <c r="BE35" s="5">
        <v>1</v>
      </c>
      <c r="BF35" s="205">
        <v>2</v>
      </c>
    </row>
    <row r="36" spans="1:58" ht="14.25" customHeight="1">
      <c r="A36" s="2"/>
      <c r="B36" s="2"/>
      <c r="C36" s="2"/>
      <c r="D36" s="2"/>
      <c r="E36" s="2"/>
      <c r="F36" s="2"/>
      <c r="G36" s="2"/>
      <c r="H36" s="30"/>
      <c r="I36" s="5">
        <v>35</v>
      </c>
      <c r="J36" s="5">
        <v>1</v>
      </c>
      <c r="K36" s="5">
        <v>1</v>
      </c>
      <c r="L36" s="5">
        <v>1</v>
      </c>
      <c r="M36" s="5">
        <v>1</v>
      </c>
      <c r="N36" s="5">
        <v>1</v>
      </c>
      <c r="O36" s="5">
        <v>1</v>
      </c>
      <c r="P36" s="123">
        <v>35</v>
      </c>
      <c r="Q36" s="5">
        <v>1</v>
      </c>
      <c r="R36" s="5">
        <v>1</v>
      </c>
      <c r="S36" s="5">
        <v>1</v>
      </c>
      <c r="T36" s="5">
        <v>1</v>
      </c>
      <c r="U36" s="5">
        <v>1</v>
      </c>
      <c r="V36" s="5">
        <v>1</v>
      </c>
      <c r="W36" s="5">
        <v>35</v>
      </c>
      <c r="X36" s="5">
        <v>1</v>
      </c>
      <c r="Y36" s="5">
        <v>1</v>
      </c>
      <c r="Z36" s="5">
        <v>1</v>
      </c>
      <c r="AA36" s="5">
        <v>1</v>
      </c>
      <c r="AB36" s="5">
        <v>1</v>
      </c>
      <c r="AC36" s="80">
        <v>2</v>
      </c>
      <c r="AD36" s="2"/>
      <c r="AE36" s="2"/>
      <c r="AF36" s="2"/>
      <c r="AG36" s="2"/>
      <c r="AH36" s="2"/>
      <c r="AI36" s="2"/>
      <c r="AJ36" s="2"/>
      <c r="AK36" s="2"/>
      <c r="AL36" s="5">
        <v>35</v>
      </c>
      <c r="AM36" s="5">
        <v>1</v>
      </c>
      <c r="AN36" s="5">
        <v>1</v>
      </c>
      <c r="AO36" s="5">
        <v>1</v>
      </c>
      <c r="AP36" s="5">
        <v>1</v>
      </c>
      <c r="AQ36" s="5">
        <v>1</v>
      </c>
      <c r="AR36" s="2">
        <v>2</v>
      </c>
      <c r="AS36" s="18">
        <v>35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29">
        <v>2</v>
      </c>
      <c r="AZ36" s="18">
        <v>35</v>
      </c>
      <c r="BA36" s="5">
        <v>1</v>
      </c>
      <c r="BB36" s="5">
        <v>1</v>
      </c>
      <c r="BC36" s="5">
        <v>1</v>
      </c>
      <c r="BD36" s="5">
        <v>1</v>
      </c>
      <c r="BE36" s="5">
        <v>1</v>
      </c>
      <c r="BF36" s="205">
        <v>2</v>
      </c>
    </row>
    <row r="37" spans="1:58" ht="14.25" customHeight="1">
      <c r="A37" s="2"/>
      <c r="B37" s="2"/>
      <c r="C37" s="2"/>
      <c r="D37" s="2"/>
      <c r="E37" s="2"/>
      <c r="F37" s="2"/>
      <c r="G37" s="2"/>
      <c r="H37" s="30"/>
      <c r="I37" s="73" t="s">
        <v>919</v>
      </c>
      <c r="J37" s="5" t="s">
        <v>962</v>
      </c>
      <c r="K37" s="5">
        <v>1</v>
      </c>
      <c r="L37" s="5">
        <v>1</v>
      </c>
      <c r="M37" s="5">
        <v>1</v>
      </c>
      <c r="N37" s="5">
        <v>1</v>
      </c>
      <c r="O37" s="121" t="s">
        <v>1428</v>
      </c>
      <c r="P37" s="225" t="s">
        <v>1388</v>
      </c>
      <c r="Q37" s="77" t="s">
        <v>89</v>
      </c>
      <c r="R37" s="77" t="s">
        <v>272</v>
      </c>
      <c r="S37" s="77" t="s">
        <v>963</v>
      </c>
      <c r="T37" s="77" t="s">
        <v>491</v>
      </c>
      <c r="U37" s="77" t="s">
        <v>964</v>
      </c>
      <c r="V37" s="80" t="s">
        <v>1265</v>
      </c>
      <c r="W37" s="73" t="s">
        <v>959</v>
      </c>
      <c r="X37" s="5">
        <v>1</v>
      </c>
      <c r="Y37" s="5">
        <v>1</v>
      </c>
      <c r="Z37" s="5">
        <v>1</v>
      </c>
      <c r="AA37" s="5">
        <v>1</v>
      </c>
      <c r="AB37" s="5">
        <v>1</v>
      </c>
      <c r="AC37" s="80">
        <v>2</v>
      </c>
      <c r="AD37" s="2"/>
      <c r="AE37" s="2"/>
      <c r="AF37" s="2"/>
      <c r="AG37" s="2"/>
      <c r="AH37" s="2"/>
      <c r="AI37" s="2"/>
      <c r="AJ37" s="2"/>
      <c r="AK37" s="2"/>
      <c r="AL37" s="73" t="s">
        <v>871</v>
      </c>
      <c r="AM37" s="5">
        <v>1</v>
      </c>
      <c r="AN37" s="5">
        <v>1</v>
      </c>
      <c r="AO37" s="5">
        <v>1</v>
      </c>
      <c r="AP37" s="5">
        <v>1</v>
      </c>
      <c r="AQ37" s="5">
        <v>1</v>
      </c>
      <c r="AR37" s="2">
        <v>2</v>
      </c>
      <c r="AS37" s="17" t="s">
        <v>758</v>
      </c>
      <c r="AT37" s="18">
        <v>1</v>
      </c>
      <c r="AU37" s="18">
        <v>1</v>
      </c>
      <c r="AV37" s="18">
        <v>1</v>
      </c>
      <c r="AW37" s="18">
        <v>1</v>
      </c>
      <c r="AX37" s="18">
        <v>1</v>
      </c>
      <c r="AY37" s="29">
        <v>2</v>
      </c>
      <c r="AZ37" s="17" t="s">
        <v>247</v>
      </c>
      <c r="BA37" s="5">
        <v>1</v>
      </c>
      <c r="BB37" s="5">
        <v>1</v>
      </c>
      <c r="BC37" s="5">
        <v>1</v>
      </c>
      <c r="BD37" s="5">
        <v>1</v>
      </c>
      <c r="BE37" s="5">
        <v>1</v>
      </c>
      <c r="BF37" s="205">
        <v>2</v>
      </c>
    </row>
    <row r="38" spans="1:58" ht="14.25" customHeight="1">
      <c r="A38" s="2"/>
      <c r="B38" s="2"/>
      <c r="C38" s="2"/>
      <c r="D38" s="2"/>
      <c r="E38" s="2"/>
      <c r="F38" s="2"/>
      <c r="G38" s="2"/>
      <c r="H38" s="30"/>
      <c r="I38" s="5" t="s">
        <v>965</v>
      </c>
      <c r="J38" s="5" t="s">
        <v>966</v>
      </c>
      <c r="K38" s="5">
        <v>1</v>
      </c>
      <c r="L38" s="5">
        <v>1</v>
      </c>
      <c r="M38" s="5">
        <v>1</v>
      </c>
      <c r="N38" s="5">
        <v>1</v>
      </c>
      <c r="O38" s="5">
        <v>1</v>
      </c>
      <c r="P38" s="124" t="s">
        <v>348</v>
      </c>
      <c r="Q38" s="77" t="s">
        <v>94</v>
      </c>
      <c r="R38" s="226" t="s">
        <v>606</v>
      </c>
      <c r="S38" s="226" t="s">
        <v>1389</v>
      </c>
      <c r="T38" s="77">
        <v>1</v>
      </c>
      <c r="U38" s="77">
        <v>1</v>
      </c>
      <c r="V38" s="5">
        <v>1</v>
      </c>
      <c r="W38" s="5">
        <v>37</v>
      </c>
      <c r="X38" s="5">
        <v>1</v>
      </c>
      <c r="Y38" s="5">
        <v>1</v>
      </c>
      <c r="Z38" s="5">
        <v>1</v>
      </c>
      <c r="AA38" s="5">
        <v>1</v>
      </c>
      <c r="AB38" s="5">
        <v>1</v>
      </c>
      <c r="AC38" s="80">
        <v>2</v>
      </c>
      <c r="AD38" s="2"/>
      <c r="AE38" s="2"/>
      <c r="AF38" s="2"/>
      <c r="AG38" s="2"/>
      <c r="AH38" s="2"/>
      <c r="AI38" s="2"/>
      <c r="AJ38" s="2"/>
      <c r="AK38" s="2"/>
      <c r="AL38" s="5">
        <v>37</v>
      </c>
      <c r="AM38" s="5">
        <v>1</v>
      </c>
      <c r="AN38" s="5">
        <v>1</v>
      </c>
      <c r="AO38" s="5">
        <v>1</v>
      </c>
      <c r="AP38" s="5">
        <v>1</v>
      </c>
      <c r="AQ38" s="5">
        <v>1</v>
      </c>
      <c r="AR38" s="2">
        <v>2</v>
      </c>
      <c r="AS38" s="18">
        <v>37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29">
        <v>2</v>
      </c>
      <c r="AZ38" s="18">
        <v>37</v>
      </c>
      <c r="BA38" s="5">
        <v>1</v>
      </c>
      <c r="BB38" s="5">
        <v>1</v>
      </c>
      <c r="BC38" s="5">
        <v>1</v>
      </c>
      <c r="BD38" s="5">
        <v>1</v>
      </c>
      <c r="BE38" s="5">
        <v>1</v>
      </c>
      <c r="BF38" s="205">
        <v>2</v>
      </c>
    </row>
    <row r="39" spans="1:58" ht="14.25" customHeight="1">
      <c r="A39" s="2"/>
      <c r="B39" s="2"/>
      <c r="C39" s="2"/>
      <c r="D39" s="2"/>
      <c r="E39" s="2"/>
      <c r="F39" s="2"/>
      <c r="G39" s="2"/>
      <c r="H39" s="30"/>
      <c r="I39" s="5" t="s">
        <v>967</v>
      </c>
      <c r="J39" s="5" t="s">
        <v>272</v>
      </c>
      <c r="K39" s="5">
        <v>1</v>
      </c>
      <c r="L39" s="5">
        <v>1</v>
      </c>
      <c r="M39" s="5">
        <v>1</v>
      </c>
      <c r="N39" s="5">
        <v>1</v>
      </c>
      <c r="O39" s="5">
        <v>1</v>
      </c>
      <c r="P39" s="124" t="s">
        <v>177</v>
      </c>
      <c r="Q39" s="77">
        <v>1</v>
      </c>
      <c r="R39" s="77">
        <v>1</v>
      </c>
      <c r="S39" s="77">
        <v>1</v>
      </c>
      <c r="T39" s="77">
        <v>1</v>
      </c>
      <c r="U39" s="77">
        <v>1</v>
      </c>
      <c r="V39" s="5">
        <v>1</v>
      </c>
      <c r="W39" s="5">
        <v>38</v>
      </c>
      <c r="X39" s="5">
        <v>1</v>
      </c>
      <c r="Y39" s="5">
        <v>1</v>
      </c>
      <c r="Z39" s="5">
        <v>1</v>
      </c>
      <c r="AA39" s="5">
        <v>1</v>
      </c>
      <c r="AB39" s="5">
        <v>1</v>
      </c>
      <c r="AC39" s="80">
        <v>2</v>
      </c>
      <c r="AD39" s="2"/>
      <c r="AE39" s="2"/>
      <c r="AF39" s="2"/>
      <c r="AG39" s="2"/>
      <c r="AH39" s="2"/>
      <c r="AI39" s="2"/>
      <c r="AJ39" s="2"/>
      <c r="AK39" s="2"/>
      <c r="AL39" s="5">
        <v>38</v>
      </c>
      <c r="AM39" s="5">
        <v>1</v>
      </c>
      <c r="AN39" s="5">
        <v>1</v>
      </c>
      <c r="AO39" s="5">
        <v>1</v>
      </c>
      <c r="AP39" s="5">
        <v>1</v>
      </c>
      <c r="AQ39" s="5">
        <v>1</v>
      </c>
      <c r="AR39" s="2">
        <v>2</v>
      </c>
      <c r="AS39" s="18">
        <v>38</v>
      </c>
      <c r="AT39" s="18">
        <v>1</v>
      </c>
      <c r="AU39" s="18">
        <v>1</v>
      </c>
      <c r="AV39" s="18">
        <v>1</v>
      </c>
      <c r="AW39" s="18">
        <v>1</v>
      </c>
      <c r="AX39" s="18">
        <v>1</v>
      </c>
      <c r="AY39" s="29">
        <v>2</v>
      </c>
      <c r="AZ39" s="18">
        <v>38</v>
      </c>
      <c r="BA39" s="5">
        <v>1</v>
      </c>
      <c r="BB39" s="5">
        <v>1</v>
      </c>
      <c r="BC39" s="5">
        <v>1</v>
      </c>
      <c r="BD39" s="5">
        <v>1</v>
      </c>
      <c r="BE39" s="5">
        <v>1</v>
      </c>
      <c r="BF39" s="205">
        <v>2</v>
      </c>
    </row>
    <row r="40" spans="1:58" ht="14.25" customHeight="1">
      <c r="A40" s="2"/>
      <c r="B40" s="2"/>
      <c r="C40" s="2"/>
      <c r="D40" s="2"/>
      <c r="E40" s="2"/>
      <c r="F40" s="2"/>
      <c r="G40" s="2"/>
      <c r="H40" s="30"/>
      <c r="I40" s="5" t="s">
        <v>968</v>
      </c>
      <c r="J40" s="5" t="s">
        <v>969</v>
      </c>
      <c r="K40" s="5" t="s">
        <v>955</v>
      </c>
      <c r="L40" s="5">
        <v>1</v>
      </c>
      <c r="M40" s="5">
        <v>1</v>
      </c>
      <c r="N40" s="5">
        <v>1</v>
      </c>
      <c r="O40" s="5">
        <v>1</v>
      </c>
      <c r="P40" s="224" t="s">
        <v>112</v>
      </c>
      <c r="Q40" s="77" t="s">
        <v>143</v>
      </c>
      <c r="R40" s="226" t="s">
        <v>1384</v>
      </c>
      <c r="S40" s="77">
        <v>1</v>
      </c>
      <c r="T40" s="77">
        <v>1</v>
      </c>
      <c r="U40" s="77">
        <v>1</v>
      </c>
      <c r="V40" s="5">
        <v>1</v>
      </c>
      <c r="W40" s="5">
        <v>39</v>
      </c>
      <c r="X40" s="5">
        <v>1</v>
      </c>
      <c r="Y40" s="5">
        <v>1</v>
      </c>
      <c r="Z40" s="5">
        <v>1</v>
      </c>
      <c r="AA40" s="5">
        <v>1</v>
      </c>
      <c r="AB40" s="5">
        <v>1</v>
      </c>
      <c r="AC40" s="80">
        <v>2</v>
      </c>
      <c r="AD40" s="2"/>
      <c r="AE40" s="2"/>
      <c r="AF40" s="2"/>
      <c r="AG40" s="2"/>
      <c r="AH40" s="2"/>
      <c r="AI40" s="2"/>
      <c r="AJ40" s="2"/>
      <c r="AK40" s="2"/>
      <c r="AL40" s="5">
        <v>39</v>
      </c>
      <c r="AM40" s="5">
        <v>1</v>
      </c>
      <c r="AN40" s="5">
        <v>1</v>
      </c>
      <c r="AO40" s="5">
        <v>1</v>
      </c>
      <c r="AP40" s="5">
        <v>1</v>
      </c>
      <c r="AQ40" s="5">
        <v>1</v>
      </c>
      <c r="AR40" s="2">
        <v>2</v>
      </c>
      <c r="AS40" s="18">
        <v>39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29">
        <v>2</v>
      </c>
      <c r="AZ40" s="18">
        <v>39</v>
      </c>
      <c r="BA40" s="5">
        <v>1</v>
      </c>
      <c r="BB40" s="5">
        <v>1</v>
      </c>
      <c r="BC40" s="5">
        <v>1</v>
      </c>
      <c r="BD40" s="5">
        <v>1</v>
      </c>
      <c r="BE40" s="5">
        <v>1</v>
      </c>
      <c r="BF40" s="205">
        <v>2</v>
      </c>
    </row>
    <row r="41" spans="1:58" ht="14.25" customHeight="1">
      <c r="A41" s="2"/>
      <c r="B41" s="2"/>
      <c r="C41" s="2"/>
      <c r="D41" s="2"/>
      <c r="E41" s="2"/>
      <c r="F41" s="2"/>
      <c r="G41" s="2"/>
      <c r="H41" s="30"/>
      <c r="I41" s="5" t="s">
        <v>386</v>
      </c>
      <c r="J41" s="5" t="s">
        <v>970</v>
      </c>
      <c r="K41" s="5">
        <v>1</v>
      </c>
      <c r="L41" s="5">
        <v>1</v>
      </c>
      <c r="M41" s="5">
        <v>1</v>
      </c>
      <c r="N41" s="5">
        <v>1</v>
      </c>
      <c r="O41" s="5">
        <v>1</v>
      </c>
      <c r="P41" s="34" t="s">
        <v>142</v>
      </c>
      <c r="Q41" s="120" t="s">
        <v>164</v>
      </c>
      <c r="R41" s="18">
        <v>1</v>
      </c>
      <c r="S41" s="18">
        <v>1</v>
      </c>
      <c r="T41" s="18">
        <v>1</v>
      </c>
      <c r="U41" s="18">
        <v>1</v>
      </c>
      <c r="V41" s="5">
        <v>1</v>
      </c>
      <c r="W41" s="5">
        <v>40</v>
      </c>
      <c r="X41" s="5">
        <v>1</v>
      </c>
      <c r="Y41" s="5">
        <v>1</v>
      </c>
      <c r="Z41" s="5">
        <v>1</v>
      </c>
      <c r="AA41" s="5">
        <v>1</v>
      </c>
      <c r="AB41" s="5">
        <v>1</v>
      </c>
      <c r="AC41" s="80">
        <v>2</v>
      </c>
      <c r="AD41" s="2"/>
      <c r="AE41" s="2"/>
      <c r="AF41" s="2"/>
      <c r="AG41" s="2"/>
      <c r="AH41" s="2"/>
      <c r="AI41" s="2"/>
      <c r="AJ41" s="2"/>
      <c r="AK41" s="2"/>
      <c r="AL41" s="5">
        <v>40</v>
      </c>
      <c r="AM41" s="5">
        <v>1</v>
      </c>
      <c r="AN41" s="5">
        <v>1</v>
      </c>
      <c r="AO41" s="5">
        <v>1</v>
      </c>
      <c r="AP41" s="5">
        <v>1</v>
      </c>
      <c r="AQ41" s="5">
        <v>1</v>
      </c>
      <c r="AR41" s="2">
        <v>2</v>
      </c>
      <c r="AS41" s="18">
        <v>40</v>
      </c>
      <c r="AT41" s="18">
        <v>1</v>
      </c>
      <c r="AU41" s="18">
        <v>1</v>
      </c>
      <c r="AV41" s="18">
        <v>1</v>
      </c>
      <c r="AW41" s="18">
        <v>1</v>
      </c>
      <c r="AX41" s="18">
        <v>1</v>
      </c>
      <c r="AY41" s="29">
        <v>2</v>
      </c>
      <c r="AZ41" s="18">
        <v>40</v>
      </c>
      <c r="BA41" s="5">
        <v>1</v>
      </c>
      <c r="BB41" s="5">
        <v>1</v>
      </c>
      <c r="BC41" s="5">
        <v>1</v>
      </c>
      <c r="BD41" s="5">
        <v>1</v>
      </c>
      <c r="BE41" s="5">
        <v>1</v>
      </c>
      <c r="BF41" s="205">
        <v>2</v>
      </c>
    </row>
    <row r="42" spans="1:58" ht="14.25" customHeight="1">
      <c r="A42" s="2"/>
      <c r="B42" s="2"/>
      <c r="C42" s="2"/>
      <c r="D42" s="2"/>
      <c r="E42" s="2"/>
      <c r="F42" s="2"/>
      <c r="G42" s="2"/>
      <c r="H42" s="30"/>
      <c r="I42" s="73" t="s">
        <v>922</v>
      </c>
      <c r="J42" s="5" t="s">
        <v>53</v>
      </c>
      <c r="K42" s="5">
        <v>1</v>
      </c>
      <c r="L42" s="5">
        <v>1</v>
      </c>
      <c r="M42" s="5">
        <v>1</v>
      </c>
      <c r="N42" s="5">
        <v>1</v>
      </c>
      <c r="O42" s="80" t="s">
        <v>1432</v>
      </c>
      <c r="P42" s="122" t="s">
        <v>949</v>
      </c>
      <c r="Q42" s="5" t="s">
        <v>272</v>
      </c>
      <c r="R42" s="5" t="s">
        <v>971</v>
      </c>
      <c r="S42" s="5">
        <v>1</v>
      </c>
      <c r="T42" s="5">
        <v>1</v>
      </c>
      <c r="U42" s="5">
        <v>1</v>
      </c>
      <c r="V42" s="80" t="s">
        <v>1266</v>
      </c>
      <c r="W42" s="73" t="s">
        <v>960</v>
      </c>
      <c r="X42" s="5">
        <v>1</v>
      </c>
      <c r="Y42" s="5">
        <v>1</v>
      </c>
      <c r="Z42" s="5">
        <v>1</v>
      </c>
      <c r="AA42" s="5">
        <v>1</v>
      </c>
      <c r="AB42" s="5">
        <v>1</v>
      </c>
      <c r="AC42" s="80">
        <v>2</v>
      </c>
      <c r="AD42" s="2"/>
      <c r="AE42" s="2"/>
      <c r="AF42" s="2"/>
      <c r="AG42" s="2"/>
      <c r="AH42" s="2"/>
      <c r="AI42" s="2"/>
      <c r="AJ42" s="2"/>
      <c r="AK42" s="2"/>
      <c r="AL42" s="73" t="s">
        <v>881</v>
      </c>
      <c r="AM42" s="5">
        <v>1</v>
      </c>
      <c r="AN42" s="5">
        <v>1</v>
      </c>
      <c r="AO42" s="5">
        <v>1</v>
      </c>
      <c r="AP42" s="5">
        <v>1</v>
      </c>
      <c r="AQ42" s="5">
        <v>1</v>
      </c>
      <c r="AR42" s="2">
        <v>2</v>
      </c>
      <c r="AS42" s="17" t="s">
        <v>765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29">
        <v>2</v>
      </c>
      <c r="AZ42" s="17" t="s">
        <v>270</v>
      </c>
      <c r="BA42" s="5">
        <v>1</v>
      </c>
      <c r="BB42" s="5">
        <v>1</v>
      </c>
      <c r="BC42" s="5">
        <v>1</v>
      </c>
      <c r="BD42" s="5">
        <v>1</v>
      </c>
      <c r="BE42" s="5">
        <v>1</v>
      </c>
      <c r="BF42" s="205">
        <v>2</v>
      </c>
    </row>
    <row r="43" spans="1:58" ht="14.25" customHeight="1">
      <c r="A43" s="2"/>
      <c r="B43" s="2"/>
      <c r="C43" s="2"/>
      <c r="D43" s="2"/>
      <c r="E43" s="2"/>
      <c r="F43" s="2"/>
      <c r="G43" s="2"/>
      <c r="H43" s="30"/>
      <c r="I43" s="5" t="s">
        <v>972</v>
      </c>
      <c r="J43" s="5" t="s">
        <v>459</v>
      </c>
      <c r="K43" s="5">
        <v>1</v>
      </c>
      <c r="L43" s="5">
        <v>1</v>
      </c>
      <c r="M43" s="5">
        <v>1</v>
      </c>
      <c r="N43" s="5">
        <v>1</v>
      </c>
      <c r="O43" s="5">
        <v>1</v>
      </c>
      <c r="P43" s="123" t="s">
        <v>194</v>
      </c>
      <c r="Q43" s="5" t="s">
        <v>491</v>
      </c>
      <c r="R43" s="5">
        <v>1</v>
      </c>
      <c r="S43" s="5">
        <v>1</v>
      </c>
      <c r="T43" s="5">
        <v>1</v>
      </c>
      <c r="U43" s="5">
        <v>1</v>
      </c>
      <c r="V43" s="5">
        <v>1</v>
      </c>
      <c r="W43" s="5">
        <v>42</v>
      </c>
      <c r="X43" s="5">
        <v>1</v>
      </c>
      <c r="Y43" s="5">
        <v>1</v>
      </c>
      <c r="Z43" s="5">
        <v>1</v>
      </c>
      <c r="AA43" s="5">
        <v>1</v>
      </c>
      <c r="AB43" s="5">
        <v>1</v>
      </c>
      <c r="AC43" s="80">
        <v>2</v>
      </c>
      <c r="AD43" s="2"/>
      <c r="AE43" s="2"/>
      <c r="AF43" s="2"/>
      <c r="AG43" s="2"/>
      <c r="AH43" s="2"/>
      <c r="AI43" s="2"/>
      <c r="AJ43" s="2"/>
      <c r="AK43" s="2"/>
      <c r="AL43" s="5">
        <v>42</v>
      </c>
      <c r="AM43" s="5">
        <v>1</v>
      </c>
      <c r="AN43" s="5">
        <v>1</v>
      </c>
      <c r="AO43" s="5">
        <v>1</v>
      </c>
      <c r="AP43" s="5">
        <v>1</v>
      </c>
      <c r="AQ43" s="5">
        <v>1</v>
      </c>
      <c r="AR43" s="2">
        <v>2</v>
      </c>
      <c r="AS43" s="18">
        <v>42</v>
      </c>
      <c r="AT43" s="18">
        <v>1</v>
      </c>
      <c r="AU43" s="18">
        <v>1</v>
      </c>
      <c r="AV43" s="18">
        <v>1</v>
      </c>
      <c r="AW43" s="18">
        <v>1</v>
      </c>
      <c r="AX43" s="18">
        <v>1</v>
      </c>
      <c r="AY43" s="29">
        <v>2</v>
      </c>
      <c r="AZ43" s="18">
        <v>42</v>
      </c>
      <c r="BA43" s="5">
        <v>1</v>
      </c>
      <c r="BB43" s="5">
        <v>1</v>
      </c>
      <c r="BC43" s="5">
        <v>1</v>
      </c>
      <c r="BD43" s="5">
        <v>1</v>
      </c>
      <c r="BE43" s="5">
        <v>1</v>
      </c>
      <c r="BF43" s="205">
        <v>2</v>
      </c>
    </row>
    <row r="44" spans="1:58" ht="14.25" customHeight="1">
      <c r="A44" s="2"/>
      <c r="B44" s="2"/>
      <c r="C44" s="2"/>
      <c r="D44" s="2"/>
      <c r="E44" s="2"/>
      <c r="F44" s="2"/>
      <c r="G44" s="2"/>
      <c r="H44" s="30"/>
      <c r="I44" s="5">
        <v>43</v>
      </c>
      <c r="J44" s="5">
        <v>1</v>
      </c>
      <c r="K44" s="5">
        <v>1</v>
      </c>
      <c r="L44" s="5">
        <v>1</v>
      </c>
      <c r="M44" s="5">
        <v>1</v>
      </c>
      <c r="N44" s="5">
        <v>1</v>
      </c>
      <c r="O44" s="5">
        <v>1</v>
      </c>
      <c r="P44" s="123">
        <v>43</v>
      </c>
      <c r="Q44" s="5">
        <v>1</v>
      </c>
      <c r="R44" s="5">
        <v>1</v>
      </c>
      <c r="S44" s="5">
        <v>1</v>
      </c>
      <c r="T44" s="5">
        <v>1</v>
      </c>
      <c r="U44" s="5">
        <v>1</v>
      </c>
      <c r="V44" s="5">
        <v>1</v>
      </c>
      <c r="W44" s="5">
        <v>43</v>
      </c>
      <c r="X44" s="5">
        <v>1</v>
      </c>
      <c r="Y44" s="5">
        <v>1</v>
      </c>
      <c r="Z44" s="5">
        <v>1</v>
      </c>
      <c r="AA44" s="5">
        <v>1</v>
      </c>
      <c r="AB44" s="5">
        <v>1</v>
      </c>
      <c r="AC44" s="80">
        <v>2</v>
      </c>
      <c r="AD44" s="2"/>
      <c r="AE44" s="2"/>
      <c r="AF44" s="2"/>
      <c r="AG44" s="2"/>
      <c r="AH44" s="2"/>
      <c r="AI44" s="2"/>
      <c r="AJ44" s="2"/>
      <c r="AK44" s="2"/>
      <c r="AL44" s="5">
        <v>43</v>
      </c>
      <c r="AM44" s="5">
        <v>1</v>
      </c>
      <c r="AN44" s="5">
        <v>1</v>
      </c>
      <c r="AO44" s="5">
        <v>1</v>
      </c>
      <c r="AP44" s="5">
        <v>1</v>
      </c>
      <c r="AQ44" s="5">
        <v>1</v>
      </c>
      <c r="AR44" s="2">
        <v>2</v>
      </c>
      <c r="AS44" s="18">
        <v>43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29">
        <v>2</v>
      </c>
      <c r="AZ44" s="18">
        <v>43</v>
      </c>
      <c r="BA44" s="5">
        <v>1</v>
      </c>
      <c r="BB44" s="5">
        <v>1</v>
      </c>
      <c r="BC44" s="5">
        <v>1</v>
      </c>
      <c r="BD44" s="5">
        <v>1</v>
      </c>
      <c r="BE44" s="5">
        <v>1</v>
      </c>
      <c r="BF44" s="205">
        <v>2</v>
      </c>
    </row>
    <row r="45" spans="1:58" ht="14.25" customHeight="1">
      <c r="A45" s="2"/>
      <c r="B45" s="2"/>
      <c r="C45" s="2"/>
      <c r="D45" s="2"/>
      <c r="E45" s="2"/>
      <c r="F45" s="2"/>
      <c r="G45" s="2"/>
      <c r="H45" s="30"/>
      <c r="I45" s="5">
        <v>44</v>
      </c>
      <c r="J45" s="5">
        <v>1</v>
      </c>
      <c r="K45" s="5">
        <v>1</v>
      </c>
      <c r="L45" s="5">
        <v>1</v>
      </c>
      <c r="M45" s="5">
        <v>1</v>
      </c>
      <c r="N45" s="5">
        <v>1</v>
      </c>
      <c r="O45" s="5">
        <v>1</v>
      </c>
      <c r="P45" s="123">
        <v>44</v>
      </c>
      <c r="Q45" s="5">
        <v>1</v>
      </c>
      <c r="R45" s="5">
        <v>1</v>
      </c>
      <c r="S45" s="5">
        <v>1</v>
      </c>
      <c r="T45" s="5">
        <v>1</v>
      </c>
      <c r="U45" s="5">
        <v>1</v>
      </c>
      <c r="V45" s="5">
        <v>1</v>
      </c>
      <c r="W45" s="5">
        <v>44</v>
      </c>
      <c r="X45" s="5">
        <v>1</v>
      </c>
      <c r="Y45" s="5">
        <v>1</v>
      </c>
      <c r="Z45" s="5">
        <v>1</v>
      </c>
      <c r="AA45" s="5">
        <v>1</v>
      </c>
      <c r="AB45" s="5">
        <v>1</v>
      </c>
      <c r="AC45" s="80">
        <v>2</v>
      </c>
      <c r="AD45" s="2"/>
      <c r="AE45" s="2"/>
      <c r="AF45" s="2"/>
      <c r="AG45" s="2"/>
      <c r="AH45" s="2"/>
      <c r="AI45" s="2"/>
      <c r="AJ45" s="2"/>
      <c r="AK45" s="2"/>
      <c r="AL45" s="5">
        <v>44</v>
      </c>
      <c r="AM45" s="5">
        <v>1</v>
      </c>
      <c r="AN45" s="5">
        <v>1</v>
      </c>
      <c r="AO45" s="5">
        <v>1</v>
      </c>
      <c r="AP45" s="5">
        <v>1</v>
      </c>
      <c r="AQ45" s="5">
        <v>1</v>
      </c>
      <c r="AR45" s="2">
        <v>2</v>
      </c>
      <c r="AS45" s="18">
        <v>44</v>
      </c>
      <c r="AT45" s="18">
        <v>1</v>
      </c>
      <c r="AU45" s="18">
        <v>1</v>
      </c>
      <c r="AV45" s="18">
        <v>1</v>
      </c>
      <c r="AW45" s="18">
        <v>1</v>
      </c>
      <c r="AX45" s="18">
        <v>1</v>
      </c>
      <c r="AY45" s="29">
        <v>2</v>
      </c>
      <c r="AZ45" s="18">
        <v>44</v>
      </c>
      <c r="BA45" s="5">
        <v>1</v>
      </c>
      <c r="BB45" s="5">
        <v>1</v>
      </c>
      <c r="BC45" s="5">
        <v>1</v>
      </c>
      <c r="BD45" s="5">
        <v>1</v>
      </c>
      <c r="BE45" s="5">
        <v>1</v>
      </c>
      <c r="BF45" s="205">
        <v>2</v>
      </c>
    </row>
    <row r="46" spans="1:58" ht="14.25" customHeight="1">
      <c r="A46" s="2"/>
      <c r="B46" s="2"/>
      <c r="C46" s="2"/>
      <c r="D46" s="2"/>
      <c r="E46" s="2"/>
      <c r="F46" s="2"/>
      <c r="G46" s="2"/>
      <c r="H46" s="30"/>
      <c r="I46" s="5">
        <v>45</v>
      </c>
      <c r="J46" s="5">
        <v>1</v>
      </c>
      <c r="K46" s="5">
        <v>1</v>
      </c>
      <c r="L46" s="5">
        <v>1</v>
      </c>
      <c r="M46" s="5">
        <v>1</v>
      </c>
      <c r="N46" s="5">
        <v>1</v>
      </c>
      <c r="O46" s="5">
        <v>1</v>
      </c>
      <c r="P46" s="123">
        <v>45</v>
      </c>
      <c r="Q46" s="5">
        <v>1</v>
      </c>
      <c r="R46" s="5">
        <v>1</v>
      </c>
      <c r="S46" s="5">
        <v>1</v>
      </c>
      <c r="T46" s="5">
        <v>1</v>
      </c>
      <c r="U46" s="5">
        <v>1</v>
      </c>
      <c r="V46" s="5">
        <v>1</v>
      </c>
      <c r="W46" s="5">
        <v>45</v>
      </c>
      <c r="X46" s="5">
        <v>1</v>
      </c>
      <c r="Y46" s="5">
        <v>1</v>
      </c>
      <c r="Z46" s="5">
        <v>1</v>
      </c>
      <c r="AA46" s="5">
        <v>1</v>
      </c>
      <c r="AB46" s="5">
        <v>1</v>
      </c>
      <c r="AC46" s="80">
        <v>2</v>
      </c>
      <c r="AD46" s="2"/>
      <c r="AE46" s="2"/>
      <c r="AF46" s="2"/>
      <c r="AG46" s="2"/>
      <c r="AH46" s="2"/>
      <c r="AI46" s="2"/>
      <c r="AJ46" s="2"/>
      <c r="AK46" s="2"/>
      <c r="AL46" s="5">
        <v>45</v>
      </c>
      <c r="AM46" s="5">
        <v>1</v>
      </c>
      <c r="AN46" s="5">
        <v>1</v>
      </c>
      <c r="AO46" s="5">
        <v>1</v>
      </c>
      <c r="AP46" s="5">
        <v>1</v>
      </c>
      <c r="AQ46" s="5">
        <v>1</v>
      </c>
      <c r="AR46" s="2">
        <v>2</v>
      </c>
      <c r="AS46" s="18">
        <v>45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29">
        <v>2</v>
      </c>
      <c r="AZ46" s="18">
        <v>45</v>
      </c>
      <c r="BA46" s="5">
        <v>1</v>
      </c>
      <c r="BB46" s="5">
        <v>1</v>
      </c>
      <c r="BC46" s="5">
        <v>1</v>
      </c>
      <c r="BD46" s="5">
        <v>1</v>
      </c>
      <c r="BE46" s="5">
        <v>1</v>
      </c>
      <c r="BF46" s="205">
        <v>2</v>
      </c>
    </row>
    <row r="47" spans="1:58" ht="14.25" customHeight="1">
      <c r="A47" s="2"/>
      <c r="B47" s="2"/>
      <c r="C47" s="2"/>
      <c r="D47" s="2"/>
      <c r="E47" s="2"/>
      <c r="F47" s="2"/>
      <c r="G47" s="2"/>
      <c r="H47" s="30"/>
      <c r="I47" s="73" t="s">
        <v>924</v>
      </c>
      <c r="J47" s="5" t="s">
        <v>973</v>
      </c>
      <c r="K47" s="5">
        <v>1</v>
      </c>
      <c r="L47" s="5">
        <v>1</v>
      </c>
      <c r="M47" s="5">
        <v>1</v>
      </c>
      <c r="N47" s="5">
        <v>1</v>
      </c>
      <c r="O47" s="80" t="s">
        <v>1431</v>
      </c>
      <c r="P47" s="122" t="s">
        <v>952</v>
      </c>
      <c r="Q47" s="5" t="s">
        <v>272</v>
      </c>
      <c r="R47" s="5" t="s">
        <v>974</v>
      </c>
      <c r="S47" s="5">
        <v>1</v>
      </c>
      <c r="T47" s="5">
        <v>1</v>
      </c>
      <c r="U47" s="5">
        <v>1</v>
      </c>
      <c r="V47" s="80" t="s">
        <v>1267</v>
      </c>
      <c r="W47" s="73" t="s">
        <v>961</v>
      </c>
      <c r="X47" s="5">
        <v>1</v>
      </c>
      <c r="Y47" s="5">
        <v>1</v>
      </c>
      <c r="Z47" s="5">
        <v>1</v>
      </c>
      <c r="AA47" s="5">
        <v>1</v>
      </c>
      <c r="AB47" s="5">
        <v>1</v>
      </c>
      <c r="AC47" s="80">
        <v>2</v>
      </c>
      <c r="AD47" s="2"/>
      <c r="AE47" s="2"/>
      <c r="AF47" s="2"/>
      <c r="AG47" s="2"/>
      <c r="AH47" s="2"/>
      <c r="AI47" s="2"/>
      <c r="AJ47" s="2"/>
      <c r="AK47" s="2"/>
      <c r="AL47" s="73" t="s">
        <v>885</v>
      </c>
      <c r="AM47" s="5">
        <v>1</v>
      </c>
      <c r="AN47" s="5">
        <v>1</v>
      </c>
      <c r="AO47" s="5">
        <v>1</v>
      </c>
      <c r="AP47" s="5">
        <v>1</v>
      </c>
      <c r="AQ47" s="5">
        <v>1</v>
      </c>
      <c r="AR47" s="2">
        <v>2</v>
      </c>
      <c r="AS47" s="17" t="s">
        <v>772</v>
      </c>
      <c r="AT47" s="18">
        <v>1</v>
      </c>
      <c r="AU47" s="18">
        <v>1</v>
      </c>
      <c r="AV47" s="18">
        <v>1</v>
      </c>
      <c r="AW47" s="18">
        <v>1</v>
      </c>
      <c r="AX47" s="18">
        <v>1</v>
      </c>
      <c r="AY47" s="29">
        <v>2</v>
      </c>
      <c r="AZ47" s="17" t="s">
        <v>298</v>
      </c>
      <c r="BA47" s="5">
        <v>1</v>
      </c>
      <c r="BB47" s="5">
        <v>1</v>
      </c>
      <c r="BC47" s="5">
        <v>1</v>
      </c>
      <c r="BD47" s="5">
        <v>1</v>
      </c>
      <c r="BE47" s="5">
        <v>1</v>
      </c>
      <c r="BF47" s="205">
        <v>2</v>
      </c>
    </row>
    <row r="48" spans="1:58" ht="14.25" customHeight="1">
      <c r="A48" s="2"/>
      <c r="B48" s="2"/>
      <c r="C48" s="2"/>
      <c r="D48" s="2"/>
      <c r="E48" s="2"/>
      <c r="F48" s="2"/>
      <c r="G48" s="2"/>
      <c r="H48" s="30"/>
      <c r="I48" s="5" t="s">
        <v>633</v>
      </c>
      <c r="J48" s="5">
        <v>1</v>
      </c>
      <c r="K48" s="5">
        <v>1</v>
      </c>
      <c r="L48" s="5">
        <v>1</v>
      </c>
      <c r="M48" s="5">
        <v>1</v>
      </c>
      <c r="N48" s="5">
        <v>1</v>
      </c>
      <c r="O48" s="5">
        <v>1</v>
      </c>
      <c r="P48" s="123" t="s">
        <v>877</v>
      </c>
      <c r="Q48" s="5">
        <v>1</v>
      </c>
      <c r="R48" s="5">
        <v>1</v>
      </c>
      <c r="S48" s="5">
        <v>1</v>
      </c>
      <c r="T48" s="5">
        <v>1</v>
      </c>
      <c r="U48" s="5">
        <v>1</v>
      </c>
      <c r="V48" s="5">
        <v>1</v>
      </c>
      <c r="W48" s="5">
        <v>47</v>
      </c>
      <c r="X48" s="5">
        <v>1</v>
      </c>
      <c r="Y48" s="5">
        <v>1</v>
      </c>
      <c r="Z48" s="5">
        <v>1</v>
      </c>
      <c r="AA48" s="5">
        <v>1</v>
      </c>
      <c r="AB48" s="5">
        <v>1</v>
      </c>
      <c r="AC48" s="80">
        <v>2</v>
      </c>
      <c r="AD48" s="2"/>
      <c r="AE48" s="2"/>
      <c r="AF48" s="2"/>
      <c r="AG48" s="2"/>
      <c r="AH48" s="2"/>
      <c r="AI48" s="2"/>
      <c r="AJ48" s="2"/>
      <c r="AK48" s="2"/>
      <c r="AL48" s="5">
        <v>47</v>
      </c>
      <c r="AM48" s="5">
        <v>1</v>
      </c>
      <c r="AN48" s="5">
        <v>1</v>
      </c>
      <c r="AO48" s="5">
        <v>1</v>
      </c>
      <c r="AP48" s="5">
        <v>1</v>
      </c>
      <c r="AQ48" s="5">
        <v>1</v>
      </c>
      <c r="AR48" s="2">
        <v>2</v>
      </c>
      <c r="AS48" s="18">
        <v>47</v>
      </c>
      <c r="AT48" s="18">
        <v>1</v>
      </c>
      <c r="AU48" s="18">
        <v>1</v>
      </c>
      <c r="AV48" s="18">
        <v>1</v>
      </c>
      <c r="AW48" s="18">
        <v>1</v>
      </c>
      <c r="AX48" s="18">
        <v>1</v>
      </c>
      <c r="AY48" s="29">
        <v>2</v>
      </c>
      <c r="AZ48" s="18">
        <v>47</v>
      </c>
      <c r="BA48" s="5">
        <v>1</v>
      </c>
      <c r="BB48" s="5">
        <v>1</v>
      </c>
      <c r="BC48" s="5">
        <v>1</v>
      </c>
      <c r="BD48" s="5">
        <v>1</v>
      </c>
      <c r="BE48" s="5">
        <v>1</v>
      </c>
      <c r="BF48" s="205">
        <v>2</v>
      </c>
    </row>
    <row r="49" spans="1:58" ht="14.25" customHeight="1">
      <c r="A49" s="2"/>
      <c r="B49" s="2"/>
      <c r="C49" s="2"/>
      <c r="D49" s="2"/>
      <c r="E49" s="2"/>
      <c r="F49" s="2"/>
      <c r="G49" s="2"/>
      <c r="H49" s="30"/>
      <c r="I49" s="5">
        <v>48</v>
      </c>
      <c r="J49" s="5">
        <v>1</v>
      </c>
      <c r="K49" s="5">
        <v>1</v>
      </c>
      <c r="L49" s="5">
        <v>1</v>
      </c>
      <c r="M49" s="5">
        <v>1</v>
      </c>
      <c r="N49" s="5">
        <v>1</v>
      </c>
      <c r="O49" s="5">
        <v>1</v>
      </c>
      <c r="P49" s="123">
        <v>48</v>
      </c>
      <c r="Q49" s="5">
        <v>1</v>
      </c>
      <c r="R49" s="5">
        <v>1</v>
      </c>
      <c r="S49" s="5">
        <v>1</v>
      </c>
      <c r="T49" s="5">
        <v>1</v>
      </c>
      <c r="U49" s="5">
        <v>1</v>
      </c>
      <c r="V49" s="5">
        <v>1</v>
      </c>
      <c r="W49" s="5">
        <v>48</v>
      </c>
      <c r="X49" s="5">
        <v>1</v>
      </c>
      <c r="Y49" s="5">
        <v>1</v>
      </c>
      <c r="Z49" s="5">
        <v>1</v>
      </c>
      <c r="AA49" s="5">
        <v>1</v>
      </c>
      <c r="AB49" s="5">
        <v>1</v>
      </c>
      <c r="AC49" s="80">
        <v>2</v>
      </c>
      <c r="AD49" s="2"/>
      <c r="AE49" s="2"/>
      <c r="AF49" s="2"/>
      <c r="AG49" s="2"/>
      <c r="AH49" s="2"/>
      <c r="AI49" s="2"/>
      <c r="AJ49" s="2"/>
      <c r="AK49" s="2"/>
      <c r="AL49" s="5">
        <v>48</v>
      </c>
      <c r="AM49" s="5">
        <v>1</v>
      </c>
      <c r="AN49" s="5">
        <v>1</v>
      </c>
      <c r="AO49" s="5">
        <v>1</v>
      </c>
      <c r="AP49" s="5">
        <v>1</v>
      </c>
      <c r="AQ49" s="5">
        <v>1</v>
      </c>
      <c r="AR49" s="2">
        <v>2</v>
      </c>
      <c r="AS49" s="18">
        <v>48</v>
      </c>
      <c r="AT49" s="18">
        <v>1</v>
      </c>
      <c r="AU49" s="18">
        <v>1</v>
      </c>
      <c r="AV49" s="18">
        <v>1</v>
      </c>
      <c r="AW49" s="18">
        <v>1</v>
      </c>
      <c r="AX49" s="18">
        <v>1</v>
      </c>
      <c r="AY49" s="29">
        <v>2</v>
      </c>
      <c r="AZ49" s="18">
        <v>48</v>
      </c>
      <c r="BA49" s="5">
        <v>1</v>
      </c>
      <c r="BB49" s="5">
        <v>1</v>
      </c>
      <c r="BC49" s="5">
        <v>1</v>
      </c>
      <c r="BD49" s="5">
        <v>1</v>
      </c>
      <c r="BE49" s="5">
        <v>1</v>
      </c>
      <c r="BF49" s="205">
        <v>2</v>
      </c>
    </row>
    <row r="50" spans="1:58" ht="14.25" customHeight="1">
      <c r="A50" s="2"/>
      <c r="B50" s="2"/>
      <c r="C50" s="2"/>
      <c r="D50" s="2"/>
      <c r="E50" s="2"/>
      <c r="F50" s="2"/>
      <c r="G50" s="2"/>
      <c r="H50" s="30"/>
      <c r="I50" s="5">
        <v>49</v>
      </c>
      <c r="J50" s="5">
        <v>1</v>
      </c>
      <c r="K50" s="5">
        <v>1</v>
      </c>
      <c r="L50" s="5">
        <v>1</v>
      </c>
      <c r="M50" s="5">
        <v>1</v>
      </c>
      <c r="N50" s="5">
        <v>1</v>
      </c>
      <c r="O50" s="5">
        <v>1</v>
      </c>
      <c r="P50" s="123">
        <v>49</v>
      </c>
      <c r="Q50" s="5">
        <v>1</v>
      </c>
      <c r="R50" s="5">
        <v>1</v>
      </c>
      <c r="S50" s="5">
        <v>1</v>
      </c>
      <c r="T50" s="5">
        <v>1</v>
      </c>
      <c r="U50" s="5">
        <v>1</v>
      </c>
      <c r="V50" s="5">
        <v>1</v>
      </c>
      <c r="W50" s="5">
        <v>49</v>
      </c>
      <c r="X50" s="5">
        <v>1</v>
      </c>
      <c r="Y50" s="5">
        <v>1</v>
      </c>
      <c r="Z50" s="5">
        <v>1</v>
      </c>
      <c r="AA50" s="5">
        <v>1</v>
      </c>
      <c r="AB50" s="5">
        <v>1</v>
      </c>
      <c r="AC50" s="80">
        <v>2</v>
      </c>
      <c r="AD50" s="2"/>
      <c r="AE50" s="2"/>
      <c r="AF50" s="2"/>
      <c r="AG50" s="2"/>
      <c r="AH50" s="2"/>
      <c r="AI50" s="2"/>
      <c r="AJ50" s="2"/>
      <c r="AK50" s="2"/>
      <c r="AL50" s="5">
        <v>49</v>
      </c>
      <c r="AM50" s="5">
        <v>1</v>
      </c>
      <c r="AN50" s="5">
        <v>1</v>
      </c>
      <c r="AO50" s="5">
        <v>1</v>
      </c>
      <c r="AP50" s="5">
        <v>1</v>
      </c>
      <c r="AQ50" s="5">
        <v>1</v>
      </c>
      <c r="AR50" s="2">
        <v>2</v>
      </c>
      <c r="AS50" s="18">
        <v>49</v>
      </c>
      <c r="AT50" s="18">
        <v>1</v>
      </c>
      <c r="AU50" s="18">
        <v>1</v>
      </c>
      <c r="AV50" s="18">
        <v>1</v>
      </c>
      <c r="AW50" s="18">
        <v>1</v>
      </c>
      <c r="AX50" s="18">
        <v>1</v>
      </c>
      <c r="AY50" s="29">
        <v>2</v>
      </c>
      <c r="AZ50" s="18">
        <v>49</v>
      </c>
      <c r="BA50" s="5">
        <v>1</v>
      </c>
      <c r="BB50" s="5">
        <v>1</v>
      </c>
      <c r="BC50" s="5">
        <v>1</v>
      </c>
      <c r="BD50" s="5">
        <v>1</v>
      </c>
      <c r="BE50" s="5">
        <v>1</v>
      </c>
      <c r="BF50" s="205">
        <v>2</v>
      </c>
    </row>
    <row r="51" spans="1:58" ht="14.25" customHeight="1">
      <c r="A51" s="2"/>
      <c r="B51" s="2"/>
      <c r="C51" s="2"/>
      <c r="D51" s="2"/>
      <c r="E51" s="2"/>
      <c r="F51" s="2"/>
      <c r="G51" s="2"/>
      <c r="H51" s="30"/>
      <c r="I51" s="5">
        <v>50</v>
      </c>
      <c r="J51" s="5">
        <v>1</v>
      </c>
      <c r="K51" s="5">
        <v>1</v>
      </c>
      <c r="L51" s="5">
        <v>1</v>
      </c>
      <c r="M51" s="5">
        <v>1</v>
      </c>
      <c r="N51" s="5">
        <v>1</v>
      </c>
      <c r="O51" s="5">
        <v>1</v>
      </c>
      <c r="P51" s="123">
        <v>50</v>
      </c>
      <c r="Q51" s="5">
        <v>1</v>
      </c>
      <c r="R51" s="5">
        <v>1</v>
      </c>
      <c r="S51" s="5">
        <v>1</v>
      </c>
      <c r="T51" s="5">
        <v>1</v>
      </c>
      <c r="U51" s="5">
        <v>1</v>
      </c>
      <c r="V51" s="5">
        <v>1</v>
      </c>
      <c r="W51" s="5">
        <v>50</v>
      </c>
      <c r="X51" s="5">
        <v>1</v>
      </c>
      <c r="Y51" s="5">
        <v>1</v>
      </c>
      <c r="Z51" s="5">
        <v>1</v>
      </c>
      <c r="AA51" s="5">
        <v>1</v>
      </c>
      <c r="AB51" s="5">
        <v>1</v>
      </c>
      <c r="AC51" s="80">
        <v>2</v>
      </c>
      <c r="AD51" s="2"/>
      <c r="AE51" s="2"/>
      <c r="AF51" s="2"/>
      <c r="AG51" s="2"/>
      <c r="AH51" s="2"/>
      <c r="AI51" s="2"/>
      <c r="AJ51" s="2"/>
      <c r="AK51" s="2"/>
      <c r="AL51" s="5">
        <v>50</v>
      </c>
      <c r="AM51" s="5">
        <v>1</v>
      </c>
      <c r="AN51" s="5">
        <v>1</v>
      </c>
      <c r="AO51" s="5">
        <v>1</v>
      </c>
      <c r="AP51" s="5">
        <v>1</v>
      </c>
      <c r="AQ51" s="5">
        <v>1</v>
      </c>
      <c r="AR51" s="2">
        <v>2</v>
      </c>
      <c r="AS51" s="18">
        <v>50</v>
      </c>
      <c r="AT51" s="18">
        <v>1</v>
      </c>
      <c r="AU51" s="18">
        <v>1</v>
      </c>
      <c r="AV51" s="18">
        <v>1</v>
      </c>
      <c r="AW51" s="18">
        <v>1</v>
      </c>
      <c r="AX51" s="18">
        <v>1</v>
      </c>
      <c r="AY51" s="29">
        <v>2</v>
      </c>
      <c r="AZ51" s="18">
        <v>50</v>
      </c>
      <c r="BA51" s="5">
        <v>1</v>
      </c>
      <c r="BB51" s="5">
        <v>1</v>
      </c>
      <c r="BC51" s="5">
        <v>1</v>
      </c>
      <c r="BD51" s="5">
        <v>1</v>
      </c>
      <c r="BE51" s="5">
        <v>1</v>
      </c>
      <c r="BF51" s="205">
        <v>2</v>
      </c>
    </row>
    <row r="52" spans="1:58" ht="14.25" customHeight="1">
      <c r="A52" s="2"/>
      <c r="B52" s="2"/>
      <c r="C52" s="2"/>
      <c r="D52" s="2"/>
      <c r="E52" s="2"/>
      <c r="F52" s="2"/>
      <c r="G52" s="2"/>
      <c r="H52" s="30"/>
      <c r="I52" s="2"/>
      <c r="J52" s="2"/>
      <c r="K52" s="2"/>
      <c r="L52" s="2"/>
      <c r="M52" s="2"/>
      <c r="N52" s="2"/>
      <c r="O52" s="80"/>
      <c r="P52" s="80"/>
      <c r="Q52" s="2"/>
      <c r="R52" s="2"/>
      <c r="S52" s="2"/>
      <c r="T52" s="2"/>
      <c r="U52" s="2"/>
      <c r="V52" s="80"/>
      <c r="W52" s="2"/>
      <c r="X52" s="2"/>
      <c r="Y52" s="2"/>
      <c r="Z52" s="2"/>
      <c r="AA52" s="2"/>
      <c r="AB52" s="2"/>
      <c r="AC52" s="80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</row>
    <row r="53" spans="1:58" ht="14.25" customHeight="1">
      <c r="A53" s="2"/>
      <c r="B53" s="2"/>
      <c r="C53" s="2"/>
      <c r="D53" s="2"/>
      <c r="E53" s="2"/>
      <c r="F53" s="2"/>
      <c r="G53" s="2"/>
      <c r="H53" s="30"/>
      <c r="I53" s="2"/>
      <c r="J53" s="2"/>
      <c r="K53" s="2"/>
      <c r="L53" s="2"/>
      <c r="M53" s="2"/>
      <c r="N53" s="2"/>
      <c r="O53" s="80"/>
      <c r="P53" s="80"/>
      <c r="Q53" s="2"/>
      <c r="R53" s="2"/>
      <c r="S53" s="2"/>
      <c r="T53" s="2"/>
      <c r="U53" s="2"/>
      <c r="V53" s="80"/>
      <c r="W53" s="2"/>
      <c r="X53" s="2"/>
      <c r="Y53" s="2"/>
      <c r="Z53" s="2"/>
      <c r="AA53" s="2"/>
      <c r="AB53" s="2"/>
      <c r="AC53" s="80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</row>
    <row r="54" spans="1:58" ht="14.25" customHeight="1">
      <c r="A54" s="2"/>
      <c r="B54" s="2"/>
      <c r="C54" s="2"/>
      <c r="D54" s="2"/>
      <c r="E54" s="2"/>
      <c r="F54" s="2"/>
      <c r="G54" s="2"/>
      <c r="H54" s="30"/>
      <c r="I54" s="2"/>
      <c r="J54" s="2"/>
      <c r="K54" s="2"/>
      <c r="L54" s="2"/>
      <c r="M54" s="2"/>
      <c r="N54" s="2"/>
      <c r="O54" s="80"/>
      <c r="P54" s="80"/>
      <c r="Q54" s="2"/>
      <c r="R54" s="2"/>
      <c r="S54" s="2"/>
      <c r="T54" s="2"/>
      <c r="U54" s="2"/>
      <c r="V54" s="80"/>
      <c r="W54" s="2"/>
      <c r="X54" s="2"/>
      <c r="Y54" s="2"/>
      <c r="Z54" s="2"/>
      <c r="AA54" s="2"/>
      <c r="AB54" s="2"/>
      <c r="AC54" s="80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</row>
    <row r="55" spans="1:58" ht="14.25" customHeight="1">
      <c r="A55" s="2"/>
      <c r="B55" s="2"/>
      <c r="C55" s="2"/>
      <c r="D55" s="2"/>
      <c r="E55" s="2"/>
      <c r="F55" s="2"/>
      <c r="G55" s="2"/>
      <c r="H55" s="30"/>
      <c r="I55" s="2"/>
      <c r="J55" s="2"/>
      <c r="K55" s="2"/>
      <c r="L55" s="2"/>
      <c r="M55" s="2"/>
      <c r="N55" s="2"/>
      <c r="O55" s="80"/>
      <c r="P55" s="80"/>
      <c r="Q55" s="2"/>
      <c r="R55" s="2"/>
      <c r="S55" s="2"/>
      <c r="T55" s="2"/>
      <c r="U55" s="2"/>
      <c r="V55" s="80"/>
      <c r="W55" s="2"/>
      <c r="X55" s="2"/>
      <c r="Y55" s="2"/>
      <c r="Z55" s="2"/>
      <c r="AA55" s="2"/>
      <c r="AB55" s="2"/>
      <c r="AC55" s="80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</row>
    <row r="56" spans="1:58" ht="14.25" customHeight="1">
      <c r="A56" s="2"/>
      <c r="B56" s="2"/>
      <c r="C56" s="2"/>
      <c r="D56" s="2"/>
      <c r="E56" s="2"/>
      <c r="F56" s="2"/>
      <c r="G56" s="2"/>
      <c r="H56" s="30"/>
      <c r="I56" s="2"/>
      <c r="J56" s="2"/>
      <c r="K56" s="2"/>
      <c r="L56" s="2"/>
      <c r="M56" s="2"/>
      <c r="N56" s="2"/>
      <c r="O56" s="80"/>
      <c r="P56" s="80"/>
      <c r="Q56" s="2"/>
      <c r="R56" s="2"/>
      <c r="S56" s="2"/>
      <c r="T56" s="2"/>
      <c r="U56" s="2"/>
      <c r="V56" s="80"/>
      <c r="W56" s="2"/>
      <c r="X56" s="2"/>
      <c r="Y56" s="2"/>
      <c r="Z56" s="2"/>
      <c r="AA56" s="2"/>
      <c r="AB56" s="2"/>
      <c r="AC56" s="80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</row>
    <row r="57" spans="1:58" ht="14.25" customHeight="1">
      <c r="A57" s="2"/>
      <c r="B57" s="2"/>
      <c r="C57" s="2"/>
      <c r="D57" s="2"/>
      <c r="E57" s="2"/>
      <c r="F57" s="2"/>
      <c r="G57" s="2"/>
      <c r="H57" s="30"/>
      <c r="I57" s="2"/>
      <c r="J57" s="2"/>
      <c r="K57" s="2"/>
      <c r="L57" s="2"/>
      <c r="M57" s="2"/>
      <c r="N57" s="2"/>
      <c r="O57" s="80"/>
      <c r="P57" s="80"/>
      <c r="Q57" s="2"/>
      <c r="R57" s="2"/>
      <c r="S57" s="2"/>
      <c r="T57" s="2"/>
      <c r="U57" s="2"/>
      <c r="V57" s="80"/>
      <c r="W57" s="2"/>
      <c r="X57" s="2"/>
      <c r="Y57" s="2"/>
      <c r="Z57" s="2"/>
      <c r="AA57" s="2"/>
      <c r="AB57" s="2"/>
      <c r="AC57" s="80"/>
      <c r="AD57" s="2"/>
      <c r="AE57" s="2" t="str">
        <f>IF($AE$1=$AK$2,AL2,IF($AE$1=$AK$3,AL7,IF($AE$1=$AK$4,AL12,IF($AE$1=$AK$5,AL17,IF($AE$1=$AK$6,AL22,IF($AE$1=$AK$7,AL27,IF($AE$1=$AK$8,AL32,IF($AE$1=$AK$9,AL37,IF($AE$1=$AK$10,AL42,IF($AE$1=$AK$11,AL47,IF($AE$1=$AK$12,AS2,IF($AE$1=$AK$13,AS7,IF($AE$1=$AK$14,AS12,IF($AE$1=$AK$15,AS17,IF($AE$1=$AK$16,AS22,IF($AE$1=$AK$17,AS27,IF($AE$1=$AK$18,AS32,IF($AE$1=$AK$19,AS37,IF($AE$1=$AK$20,AS42,IF($AE$1=$AK$21,AS47,IF($AE$1=$AK$22,AS52,IF($AE$1=$AK$22,AZ2,IF($AE$1=$AK$23,AZ7,IF($AE$1=$AK$24,AZ12,IF($AE$1=$AK$25,AZ17,IF($AE$1=$AK$26,AZ22,IF($AE$1=$AK$27,AZ27,IF($AE$1=$AK$28,AZ32,IF($AE$1=$AK$29,AZ37,IF($AE$1=$AK$30,AZ42,IF($AE$1=$AK$31,AZ47)))))))))))))))))))))))))))))))</f>
        <v>31 one</v>
      </c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</row>
    <row r="58" spans="1:58" ht="14.25" customHeight="1">
      <c r="A58" s="2"/>
      <c r="B58" s="2"/>
      <c r="C58" s="2"/>
      <c r="D58" s="2"/>
      <c r="E58" s="2"/>
      <c r="F58" s="2"/>
      <c r="G58" s="2"/>
      <c r="H58" s="30"/>
      <c r="I58" s="2"/>
      <c r="J58" s="2"/>
      <c r="K58" s="2"/>
      <c r="L58" s="2"/>
      <c r="M58" s="2"/>
      <c r="N58" s="2"/>
      <c r="O58" s="80"/>
      <c r="P58" s="80"/>
      <c r="Q58" s="2"/>
      <c r="R58" s="2"/>
      <c r="S58" s="2"/>
      <c r="T58" s="2"/>
      <c r="U58" s="2"/>
      <c r="V58" s="80"/>
      <c r="W58" s="2"/>
      <c r="X58" s="2"/>
      <c r="Y58" s="2"/>
      <c r="Z58" s="2"/>
      <c r="AA58" s="2"/>
      <c r="AB58" s="2"/>
      <c r="AC58" s="80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</row>
    <row r="59" spans="1:58" ht="14.25" customHeight="1">
      <c r="A59" s="2"/>
      <c r="B59" s="2"/>
      <c r="C59" s="2"/>
      <c r="D59" s="2"/>
      <c r="E59" s="2"/>
      <c r="F59" s="2"/>
      <c r="G59" s="2"/>
      <c r="H59" s="30"/>
      <c r="I59" s="2"/>
      <c r="J59" s="2"/>
      <c r="K59" s="2"/>
      <c r="L59" s="2"/>
      <c r="M59" s="2"/>
      <c r="N59" s="2"/>
      <c r="O59" s="80"/>
      <c r="P59" s="80"/>
      <c r="Q59" s="2"/>
      <c r="R59" s="2"/>
      <c r="S59" s="2"/>
      <c r="T59" s="2"/>
      <c r="U59" s="2"/>
      <c r="V59" s="80"/>
      <c r="W59" s="2"/>
      <c r="X59" s="2"/>
      <c r="Y59" s="2"/>
      <c r="Z59" s="2"/>
      <c r="AA59" s="2"/>
      <c r="AB59" s="2"/>
      <c r="AC59" s="80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</row>
    <row r="60" spans="1:58" ht="14.25" customHeight="1">
      <c r="A60" s="2"/>
      <c r="B60" s="2"/>
      <c r="C60" s="2"/>
      <c r="D60" s="2"/>
      <c r="E60" s="2"/>
      <c r="F60" s="2"/>
      <c r="G60" s="2"/>
      <c r="H60" s="30"/>
      <c r="I60" s="2"/>
      <c r="J60" s="2"/>
      <c r="K60" s="2"/>
      <c r="L60" s="2"/>
      <c r="M60" s="2"/>
      <c r="N60" s="2"/>
      <c r="O60" s="80"/>
      <c r="P60" s="80"/>
      <c r="Q60" s="2"/>
      <c r="R60" s="2"/>
      <c r="S60" s="2"/>
      <c r="T60" s="2"/>
      <c r="U60" s="2"/>
      <c r="V60" s="80"/>
      <c r="W60" s="2"/>
      <c r="X60" s="2"/>
      <c r="Y60" s="2"/>
      <c r="Z60" s="2"/>
      <c r="AA60" s="2"/>
      <c r="AB60" s="2"/>
      <c r="AC60" s="80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</row>
    <row r="61" spans="1:58" ht="14.25" customHeight="1">
      <c r="A61" s="2"/>
      <c r="B61" s="2"/>
      <c r="C61" s="2"/>
      <c r="D61" s="2"/>
      <c r="E61" s="2"/>
      <c r="F61" s="2"/>
      <c r="G61" s="2"/>
      <c r="H61" s="30"/>
      <c r="I61" s="2"/>
      <c r="J61" s="2"/>
      <c r="K61" s="2"/>
      <c r="L61" s="2"/>
      <c r="M61" s="2"/>
      <c r="N61" s="2"/>
      <c r="O61" s="80"/>
      <c r="P61" s="80"/>
      <c r="Q61" s="2"/>
      <c r="R61" s="2"/>
      <c r="S61" s="2"/>
      <c r="T61" s="2"/>
      <c r="U61" s="2"/>
      <c r="V61" s="80"/>
      <c r="W61" s="2"/>
      <c r="X61" s="2"/>
      <c r="Y61" s="2"/>
      <c r="Z61" s="2"/>
      <c r="AA61" s="2"/>
      <c r="AB61" s="2"/>
      <c r="AC61" s="80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</row>
    <row r="62" spans="1:58" ht="14.25" customHeight="1">
      <c r="A62" s="2"/>
      <c r="B62" s="2"/>
      <c r="C62" s="2"/>
      <c r="D62" s="2"/>
      <c r="E62" s="2"/>
      <c r="F62" s="2"/>
      <c r="G62" s="2"/>
      <c r="H62" s="30"/>
      <c r="I62" s="2"/>
      <c r="J62" s="2"/>
      <c r="K62" s="2"/>
      <c r="L62" s="2"/>
      <c r="M62" s="2"/>
      <c r="N62" s="2"/>
      <c r="O62" s="80"/>
      <c r="P62" s="80"/>
      <c r="Q62" s="2"/>
      <c r="R62" s="2"/>
      <c r="S62" s="2"/>
      <c r="T62" s="2"/>
      <c r="U62" s="2"/>
      <c r="V62" s="80"/>
      <c r="W62" s="2"/>
      <c r="X62" s="2"/>
      <c r="Y62" s="2"/>
      <c r="Z62" s="2"/>
      <c r="AA62" s="2"/>
      <c r="AB62" s="2"/>
      <c r="AC62" s="80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</row>
    <row r="63" spans="1:58" ht="14.25" customHeight="1">
      <c r="A63" s="2"/>
      <c r="B63" s="2"/>
      <c r="C63" s="2"/>
      <c r="D63" s="2"/>
      <c r="E63" s="2"/>
      <c r="F63" s="2"/>
      <c r="G63" s="2"/>
      <c r="H63" s="30"/>
      <c r="I63" s="2"/>
      <c r="J63" s="2"/>
      <c r="K63" s="2"/>
      <c r="L63" s="2"/>
      <c r="M63" s="2"/>
      <c r="N63" s="2"/>
      <c r="O63" s="80"/>
      <c r="P63" s="80"/>
      <c r="Q63" s="2"/>
      <c r="R63" s="2"/>
      <c r="S63" s="2"/>
      <c r="T63" s="2"/>
      <c r="U63" s="2"/>
      <c r="V63" s="80"/>
      <c r="W63" s="2"/>
      <c r="X63" s="2"/>
      <c r="Y63" s="2"/>
      <c r="Z63" s="2"/>
      <c r="AA63" s="2"/>
      <c r="AB63" s="2"/>
      <c r="AC63" s="80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</row>
    <row r="64" spans="1:58" ht="14.25" customHeight="1">
      <c r="A64" s="2"/>
      <c r="B64" s="2"/>
      <c r="C64" s="2"/>
      <c r="D64" s="2"/>
      <c r="E64" s="2"/>
      <c r="F64" s="2"/>
      <c r="G64" s="2"/>
      <c r="H64" s="30"/>
      <c r="I64" s="2"/>
      <c r="J64" s="2"/>
      <c r="K64" s="2"/>
      <c r="L64" s="2"/>
      <c r="M64" s="2"/>
      <c r="N64" s="2"/>
      <c r="O64" s="80"/>
      <c r="P64" s="80"/>
      <c r="Q64" s="2"/>
      <c r="R64" s="2"/>
      <c r="S64" s="2"/>
      <c r="T64" s="2"/>
      <c r="U64" s="2"/>
      <c r="V64" s="80"/>
      <c r="W64" s="2"/>
      <c r="X64" s="2"/>
      <c r="Y64" s="2"/>
      <c r="Z64" s="2"/>
      <c r="AA64" s="2"/>
      <c r="AB64" s="2"/>
      <c r="AC64" s="80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</row>
    <row r="65" spans="1:57" ht="14.25" customHeight="1">
      <c r="A65" s="2"/>
      <c r="B65" s="2"/>
      <c r="C65" s="2"/>
      <c r="D65" s="2"/>
      <c r="E65" s="2"/>
      <c r="F65" s="2"/>
      <c r="G65" s="2"/>
      <c r="H65" s="30"/>
      <c r="I65" s="2"/>
      <c r="J65" s="2"/>
      <c r="K65" s="2"/>
      <c r="L65" s="2"/>
      <c r="M65" s="2"/>
      <c r="N65" s="2"/>
      <c r="O65" s="80"/>
      <c r="P65" s="80"/>
      <c r="Q65" s="2"/>
      <c r="R65" s="2"/>
      <c r="S65" s="2"/>
      <c r="T65" s="2"/>
      <c r="U65" s="2"/>
      <c r="V65" s="80"/>
      <c r="W65" s="2"/>
      <c r="X65" s="2"/>
      <c r="Y65" s="2"/>
      <c r="Z65" s="2"/>
      <c r="AA65" s="2"/>
      <c r="AB65" s="2"/>
      <c r="AC65" s="80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</row>
    <row r="66" spans="1:57" ht="14.25" customHeight="1">
      <c r="A66" s="2"/>
      <c r="B66" s="2"/>
      <c r="C66" s="2"/>
      <c r="D66" s="2"/>
      <c r="E66" s="2"/>
      <c r="F66" s="2"/>
      <c r="G66" s="2"/>
      <c r="H66" s="30"/>
      <c r="I66" s="2"/>
      <c r="J66" s="2"/>
      <c r="K66" s="2"/>
      <c r="L66" s="2"/>
      <c r="M66" s="2"/>
      <c r="N66" s="2"/>
      <c r="O66" s="80"/>
      <c r="P66" s="80"/>
      <c r="Q66" s="2"/>
      <c r="R66" s="2"/>
      <c r="S66" s="2"/>
      <c r="T66" s="2"/>
      <c r="U66" s="2"/>
      <c r="V66" s="80"/>
      <c r="W66" s="2"/>
      <c r="X66" s="2"/>
      <c r="Y66" s="2"/>
      <c r="Z66" s="2"/>
      <c r="AA66" s="2"/>
      <c r="AB66" s="2"/>
      <c r="AC66" s="80"/>
      <c r="AD66" s="2"/>
      <c r="AE66" s="6"/>
      <c r="AF66" s="6"/>
      <c r="AG66" s="6"/>
      <c r="AH66" s="6"/>
      <c r="AI66" s="6"/>
      <c r="AJ66" s="6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</row>
    <row r="67" spans="1:57" ht="14.25" customHeight="1">
      <c r="A67" s="2"/>
      <c r="B67" s="2"/>
      <c r="C67" s="2"/>
      <c r="D67" s="2"/>
      <c r="E67" s="2"/>
      <c r="F67" s="2"/>
      <c r="G67" s="2"/>
      <c r="H67" s="30"/>
      <c r="I67" s="2"/>
      <c r="J67" s="2"/>
      <c r="K67" s="2"/>
      <c r="L67" s="2"/>
      <c r="M67" s="2"/>
      <c r="N67" s="2"/>
      <c r="O67" s="80"/>
      <c r="P67" s="80"/>
      <c r="Q67" s="2"/>
      <c r="R67" s="2"/>
      <c r="S67" s="2"/>
      <c r="T67" s="2"/>
      <c r="U67" s="2"/>
      <c r="V67" s="80"/>
      <c r="W67" s="2"/>
      <c r="X67" s="2"/>
      <c r="Y67" s="2"/>
      <c r="Z67" s="2"/>
      <c r="AA67" s="2"/>
      <c r="AB67" s="2"/>
      <c r="AC67" s="80"/>
      <c r="AD67" s="2"/>
      <c r="AE67" s="6"/>
      <c r="AF67" s="6"/>
      <c r="AG67" s="6"/>
      <c r="AH67" s="6"/>
      <c r="AI67" s="6"/>
      <c r="AJ67" s="6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</row>
    <row r="68" spans="1:57" ht="14.25" customHeight="1">
      <c r="A68" s="6"/>
      <c r="B68" s="6"/>
      <c r="C68" s="6"/>
      <c r="D68" s="6"/>
      <c r="E68" s="6"/>
      <c r="F68" s="6"/>
      <c r="G68" s="6"/>
      <c r="H68" s="30"/>
      <c r="I68" s="2"/>
      <c r="J68" s="2"/>
      <c r="K68" s="2"/>
      <c r="L68" s="2"/>
      <c r="M68" s="2"/>
      <c r="N68" s="2"/>
      <c r="O68" s="80"/>
      <c r="P68" s="80"/>
      <c r="Q68" s="2"/>
      <c r="R68" s="2"/>
      <c r="S68" s="2"/>
      <c r="T68" s="2"/>
      <c r="U68" s="2"/>
      <c r="V68" s="80"/>
      <c r="W68" s="2"/>
      <c r="X68" s="2"/>
      <c r="Y68" s="2"/>
      <c r="Z68" s="2"/>
      <c r="AA68" s="2"/>
      <c r="AB68" s="2"/>
      <c r="AC68" s="80"/>
      <c r="AD68" s="2"/>
      <c r="AE68" s="6"/>
      <c r="AF68" s="6"/>
      <c r="AG68" s="6"/>
      <c r="AH68" s="6"/>
      <c r="AI68" s="6"/>
      <c r="AJ68" s="6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</row>
    <row r="69" spans="1:57" ht="14.25" customHeight="1">
      <c r="A69" s="6"/>
      <c r="B69" s="6"/>
      <c r="C69" s="6"/>
      <c r="D69" s="6"/>
      <c r="E69" s="6"/>
      <c r="F69" s="6"/>
      <c r="G69" s="6"/>
      <c r="H69" s="30"/>
      <c r="I69" s="2"/>
      <c r="J69" s="2"/>
      <c r="K69" s="2"/>
      <c r="L69" s="2"/>
      <c r="M69" s="2"/>
      <c r="N69" s="2"/>
      <c r="O69" s="80"/>
      <c r="P69" s="80"/>
      <c r="Q69" s="2"/>
      <c r="R69" s="2"/>
      <c r="S69" s="2"/>
      <c r="T69" s="2"/>
      <c r="U69" s="2"/>
      <c r="V69" s="80"/>
      <c r="W69" s="2"/>
      <c r="X69" s="2"/>
      <c r="Y69" s="2"/>
      <c r="Z69" s="2"/>
      <c r="AA69" s="2"/>
      <c r="AB69" s="2"/>
      <c r="AC69" s="80"/>
      <c r="AD69" s="2"/>
      <c r="AE69" s="6"/>
      <c r="AF69" s="6"/>
      <c r="AG69" s="6"/>
      <c r="AH69" s="6"/>
      <c r="AI69" s="6"/>
      <c r="AJ69" s="6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</row>
    <row r="70" spans="1:57" ht="14.25" customHeight="1">
      <c r="A70" s="6"/>
      <c r="B70" s="6"/>
      <c r="C70" s="6"/>
      <c r="D70" s="6"/>
      <c r="E70" s="6"/>
      <c r="F70" s="6"/>
      <c r="G70" s="6"/>
      <c r="H70" s="30"/>
      <c r="I70" s="2"/>
      <c r="J70" s="2"/>
      <c r="K70" s="2"/>
      <c r="L70" s="2"/>
      <c r="M70" s="2"/>
      <c r="N70" s="2"/>
      <c r="O70" s="80"/>
      <c r="P70" s="80"/>
      <c r="Q70" s="2"/>
      <c r="R70" s="2"/>
      <c r="S70" s="2"/>
      <c r="T70" s="2"/>
      <c r="U70" s="2"/>
      <c r="V70" s="80"/>
      <c r="W70" s="2"/>
      <c r="X70" s="2"/>
      <c r="Y70" s="2"/>
      <c r="Z70" s="2"/>
      <c r="AA70" s="2"/>
      <c r="AB70" s="2"/>
      <c r="AC70" s="80"/>
      <c r="AD70" s="2"/>
      <c r="AE70" s="6"/>
      <c r="AF70" s="6"/>
      <c r="AG70" s="6"/>
      <c r="AH70" s="6"/>
      <c r="AI70" s="6"/>
      <c r="AJ70" s="6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</row>
    <row r="71" spans="1:57" ht="14.25" customHeight="1">
      <c r="A71" s="6"/>
      <c r="B71" s="6"/>
      <c r="C71" s="6"/>
      <c r="D71" s="6"/>
      <c r="E71" s="6"/>
      <c r="F71" s="6"/>
      <c r="G71" s="6"/>
      <c r="H71" s="30"/>
      <c r="I71" s="2"/>
      <c r="J71" s="2"/>
      <c r="K71" s="2"/>
      <c r="L71" s="2"/>
      <c r="M71" s="2"/>
      <c r="N71" s="2"/>
      <c r="O71" s="80"/>
      <c r="P71" s="80"/>
      <c r="Q71" s="2"/>
      <c r="R71" s="2"/>
      <c r="S71" s="2"/>
      <c r="T71" s="2"/>
      <c r="U71" s="2"/>
      <c r="V71" s="80"/>
      <c r="W71" s="2"/>
      <c r="X71" s="2"/>
      <c r="Y71" s="2"/>
      <c r="Z71" s="2"/>
      <c r="AA71" s="2"/>
      <c r="AB71" s="2"/>
      <c r="AC71" s="80"/>
      <c r="AD71" s="2"/>
      <c r="AE71" s="6"/>
      <c r="AF71" s="6"/>
      <c r="AG71" s="6"/>
      <c r="AH71" s="6"/>
      <c r="AI71" s="6"/>
      <c r="AJ71" s="6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</row>
    <row r="72" spans="1:57" ht="14.25" customHeight="1">
      <c r="A72" s="6"/>
      <c r="B72" s="6"/>
      <c r="C72" s="6"/>
      <c r="D72" s="6"/>
      <c r="E72" s="6"/>
      <c r="F72" s="6"/>
      <c r="G72" s="6"/>
      <c r="H72" s="30"/>
      <c r="I72" s="2"/>
      <c r="J72" s="2"/>
      <c r="K72" s="2"/>
      <c r="L72" s="2"/>
      <c r="M72" s="2"/>
      <c r="N72" s="2"/>
      <c r="O72" s="80"/>
      <c r="P72" s="80"/>
      <c r="Q72" s="2"/>
      <c r="R72" s="2"/>
      <c r="S72" s="2"/>
      <c r="T72" s="2"/>
      <c r="U72" s="2"/>
      <c r="V72" s="80"/>
      <c r="W72" s="2"/>
      <c r="X72" s="2"/>
      <c r="Y72" s="2"/>
      <c r="Z72" s="2"/>
      <c r="AA72" s="2"/>
      <c r="AB72" s="2"/>
      <c r="AC72" s="80"/>
      <c r="AD72" s="2"/>
      <c r="AE72" s="6"/>
      <c r="AF72" s="6"/>
      <c r="AG72" s="6"/>
      <c r="AH72" s="6"/>
      <c r="AI72" s="6"/>
      <c r="AJ72" s="6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</row>
    <row r="73" spans="1:57" ht="14.25" customHeight="1">
      <c r="A73" s="6"/>
      <c r="B73" s="6"/>
      <c r="C73" s="6"/>
      <c r="D73" s="6"/>
      <c r="E73" s="6"/>
      <c r="F73" s="6"/>
      <c r="G73" s="6"/>
      <c r="H73" s="30"/>
      <c r="I73" s="2"/>
      <c r="J73" s="2"/>
      <c r="K73" s="2"/>
      <c r="L73" s="2"/>
      <c r="M73" s="2"/>
      <c r="N73" s="2"/>
      <c r="O73" s="80"/>
      <c r="P73" s="80"/>
      <c r="Q73" s="2"/>
      <c r="R73" s="2"/>
      <c r="S73" s="2"/>
      <c r="T73" s="2"/>
      <c r="U73" s="2"/>
      <c r="V73" s="80"/>
      <c r="W73" s="2"/>
      <c r="X73" s="2"/>
      <c r="Y73" s="2"/>
      <c r="Z73" s="2"/>
      <c r="AA73" s="2"/>
      <c r="AB73" s="2"/>
      <c r="AC73" s="80"/>
      <c r="AD73" s="2"/>
      <c r="AE73" s="6"/>
      <c r="AF73" s="6"/>
      <c r="AG73" s="6"/>
      <c r="AH73" s="6"/>
      <c r="AI73" s="6"/>
      <c r="AJ73" s="6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</row>
    <row r="74" spans="1:57" ht="14.25" customHeight="1">
      <c r="A74" s="6"/>
      <c r="B74" s="6"/>
      <c r="C74" s="6"/>
      <c r="D74" s="6"/>
      <c r="E74" s="6"/>
      <c r="F74" s="6"/>
      <c r="G74" s="6"/>
      <c r="H74" s="30"/>
      <c r="I74" s="2"/>
      <c r="J74" s="2"/>
      <c r="K74" s="2"/>
      <c r="L74" s="2"/>
      <c r="M74" s="2"/>
      <c r="N74" s="2"/>
      <c r="O74" s="80"/>
      <c r="P74" s="80"/>
      <c r="Q74" s="2"/>
      <c r="R74" s="2"/>
      <c r="S74" s="2"/>
      <c r="T74" s="2"/>
      <c r="U74" s="2"/>
      <c r="V74" s="80"/>
      <c r="W74" s="2"/>
      <c r="X74" s="2"/>
      <c r="Y74" s="2"/>
      <c r="Z74" s="2"/>
      <c r="AA74" s="2"/>
      <c r="AB74" s="2"/>
      <c r="AC74" s="80"/>
      <c r="AD74" s="2"/>
      <c r="AE74" s="6"/>
      <c r="AF74" s="6"/>
      <c r="AG74" s="6"/>
      <c r="AH74" s="6"/>
      <c r="AI74" s="6"/>
      <c r="AJ74" s="6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</row>
    <row r="75" spans="1:57" ht="14.25" customHeight="1">
      <c r="A75" s="6"/>
      <c r="B75" s="6"/>
      <c r="C75" s="6"/>
      <c r="D75" s="6"/>
      <c r="E75" s="6"/>
      <c r="F75" s="6"/>
      <c r="G75" s="6"/>
      <c r="H75" s="30"/>
      <c r="I75" s="2"/>
      <c r="J75" s="2"/>
      <c r="K75" s="2"/>
      <c r="L75" s="2"/>
      <c r="M75" s="2"/>
      <c r="N75" s="2"/>
      <c r="O75" s="80"/>
      <c r="P75" s="80"/>
      <c r="Q75" s="2"/>
      <c r="R75" s="2"/>
      <c r="S75" s="2"/>
      <c r="T75" s="2"/>
      <c r="U75" s="2"/>
      <c r="V75" s="80"/>
      <c r="W75" s="2"/>
      <c r="X75" s="2"/>
      <c r="Y75" s="2"/>
      <c r="Z75" s="2"/>
      <c r="AA75" s="2"/>
      <c r="AB75" s="2"/>
      <c r="AC75" s="80"/>
      <c r="AD75" s="2"/>
      <c r="AE75" s="6"/>
      <c r="AF75" s="6"/>
      <c r="AG75" s="6"/>
      <c r="AH75" s="6"/>
      <c r="AI75" s="6"/>
      <c r="AJ75" s="6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</row>
    <row r="76" spans="1:57" ht="14.25" customHeight="1">
      <c r="A76" s="6"/>
      <c r="B76" s="6"/>
      <c r="C76" s="6"/>
      <c r="D76" s="6"/>
      <c r="E76" s="6"/>
      <c r="F76" s="6"/>
      <c r="G76" s="6"/>
      <c r="H76" s="30"/>
      <c r="I76" s="2"/>
      <c r="J76" s="2"/>
      <c r="K76" s="2"/>
      <c r="L76" s="2"/>
      <c r="M76" s="2"/>
      <c r="N76" s="2"/>
      <c r="O76" s="80"/>
      <c r="P76" s="80"/>
      <c r="Q76" s="2"/>
      <c r="R76" s="2"/>
      <c r="S76" s="2"/>
      <c r="T76" s="2"/>
      <c r="U76" s="2"/>
      <c r="V76" s="80"/>
      <c r="W76" s="2"/>
      <c r="X76" s="2"/>
      <c r="Y76" s="2"/>
      <c r="Z76" s="2"/>
      <c r="AA76" s="2"/>
      <c r="AB76" s="2"/>
      <c r="AC76" s="80"/>
      <c r="AD76" s="2"/>
      <c r="AE76" s="6"/>
      <c r="AF76" s="6"/>
      <c r="AG76" s="6"/>
      <c r="AH76" s="6"/>
      <c r="AI76" s="6"/>
      <c r="AJ76" s="6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</row>
    <row r="77" spans="1:57" ht="14.25" customHeight="1">
      <c r="A77" s="6"/>
      <c r="B77" s="6"/>
      <c r="C77" s="6"/>
      <c r="D77" s="6"/>
      <c r="E77" s="6"/>
      <c r="F77" s="6"/>
      <c r="G77" s="6"/>
      <c r="H77" s="30"/>
      <c r="I77" s="2"/>
      <c r="J77" s="2"/>
      <c r="K77" s="2"/>
      <c r="L77" s="2"/>
      <c r="M77" s="2"/>
      <c r="N77" s="2"/>
      <c r="O77" s="80"/>
      <c r="P77" s="80"/>
      <c r="Q77" s="2"/>
      <c r="R77" s="2"/>
      <c r="S77" s="2"/>
      <c r="T77" s="2"/>
      <c r="U77" s="2"/>
      <c r="V77" s="80"/>
      <c r="W77" s="2"/>
      <c r="X77" s="2"/>
      <c r="Y77" s="2"/>
      <c r="Z77" s="2"/>
      <c r="AA77" s="2"/>
      <c r="AB77" s="2"/>
      <c r="AC77" s="80"/>
      <c r="AD77" s="2"/>
      <c r="AE77" s="6"/>
      <c r="AF77" s="6"/>
      <c r="AG77" s="6"/>
      <c r="AH77" s="6"/>
      <c r="AI77" s="6"/>
      <c r="AJ77" s="6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</row>
    <row r="78" spans="1:57" ht="14.25" customHeight="1">
      <c r="A78" s="6">
        <f>IF(A1=H12,P2,IF(A1=H13,P7,IF(A1=H14,P12,IF(A1=H15,P17,IF(A1=H16,P22,IF(A1=H17,P27,IF(A1=H18,P32,IF(A1=H19,P37,IF(A1=H20,P42,IF(A1=H21,P47,IF(A1=H22,P52)))))))))))</f>
        <v>0</v>
      </c>
      <c r="B78" s="6"/>
      <c r="C78" s="6"/>
      <c r="D78" s="6"/>
      <c r="E78" s="6"/>
      <c r="F78" s="6"/>
      <c r="G78" s="6"/>
      <c r="H78" s="30"/>
      <c r="I78" s="2"/>
      <c r="J78" s="2"/>
      <c r="K78" s="2"/>
      <c r="L78" s="2"/>
      <c r="M78" s="2"/>
      <c r="N78" s="2"/>
      <c r="O78" s="80"/>
      <c r="P78" s="80"/>
      <c r="Q78" s="2"/>
      <c r="R78" s="2"/>
      <c r="S78" s="2"/>
      <c r="T78" s="2"/>
      <c r="U78" s="2"/>
      <c r="V78" s="80"/>
      <c r="W78" s="2"/>
      <c r="X78" s="2"/>
      <c r="Y78" s="2"/>
      <c r="Z78" s="2"/>
      <c r="AA78" s="2"/>
      <c r="AB78" s="2"/>
      <c r="AC78" s="80"/>
      <c r="AD78" s="2"/>
      <c r="AE78" s="6"/>
      <c r="AF78" s="6"/>
      <c r="AG78" s="6"/>
      <c r="AH78" s="6"/>
      <c r="AI78" s="6"/>
      <c r="AJ78" s="6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</row>
    <row r="79" spans="1:57" ht="14.25" customHeight="1">
      <c r="A79" s="6" t="str">
        <f>IF(A1=H22,W2,IF(A1=H23,W7,IF(A1=H24,W12,IF(A1=H25,W17,IF(A1=H26,W22,IF(A1=H27,W27,IF(A1=H28,W32,IF(A1=H29,W37,IF(A1=H30,W42,IF(A1=H31,W47))))))))))</f>
        <v>21 ਕੋਟ ਚੰਦ</v>
      </c>
      <c r="B79" s="6"/>
      <c r="C79" s="6"/>
      <c r="D79" s="6"/>
      <c r="E79" s="6"/>
      <c r="F79" s="6"/>
      <c r="G79" s="6"/>
      <c r="H79" s="30"/>
      <c r="I79" s="2"/>
      <c r="J79" s="2"/>
      <c r="K79" s="2"/>
      <c r="L79" s="2"/>
      <c r="M79" s="2"/>
      <c r="N79" s="2"/>
      <c r="O79" s="80"/>
      <c r="P79" s="80"/>
      <c r="Q79" s="2"/>
      <c r="R79" s="2"/>
      <c r="S79" s="2"/>
      <c r="T79" s="2"/>
      <c r="U79" s="2"/>
      <c r="V79" s="80"/>
      <c r="W79" s="2"/>
      <c r="X79" s="2"/>
      <c r="Y79" s="2"/>
      <c r="Z79" s="2"/>
      <c r="AA79" s="2"/>
      <c r="AB79" s="2"/>
      <c r="AC79" s="80"/>
      <c r="AD79" s="2"/>
      <c r="AE79" s="6"/>
      <c r="AF79" s="6"/>
      <c r="AG79" s="6"/>
      <c r="AH79" s="6"/>
      <c r="AI79" s="6"/>
      <c r="AJ79" s="6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</row>
    <row r="80" spans="1:57" ht="14.25" customHeight="1">
      <c r="A80" s="6"/>
      <c r="B80" s="6"/>
      <c r="C80" s="6"/>
      <c r="D80" s="6"/>
      <c r="E80" s="6"/>
      <c r="F80" s="6"/>
      <c r="G80" s="6"/>
      <c r="H80" s="30"/>
      <c r="I80" s="2"/>
      <c r="J80" s="2"/>
      <c r="K80" s="2"/>
      <c r="L80" s="2"/>
      <c r="M80" s="2"/>
      <c r="N80" s="2"/>
      <c r="O80" s="80"/>
      <c r="P80" s="80"/>
      <c r="Q80" s="2"/>
      <c r="R80" s="2"/>
      <c r="S80" s="2"/>
      <c r="T80" s="2"/>
      <c r="U80" s="2"/>
      <c r="V80" s="80"/>
      <c r="W80" s="2"/>
      <c r="X80" s="2"/>
      <c r="Y80" s="2"/>
      <c r="Z80" s="2"/>
      <c r="AA80" s="2"/>
      <c r="AB80" s="2"/>
      <c r="AC80" s="80"/>
      <c r="AD80" s="2"/>
      <c r="AE80" s="6"/>
      <c r="AF80" s="6"/>
      <c r="AG80" s="6"/>
      <c r="AH80" s="6"/>
      <c r="AI80" s="6"/>
      <c r="AJ80" s="6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</row>
    <row r="81" spans="1:57" ht="14.25" customHeight="1">
      <c r="A81" s="6"/>
      <c r="B81" s="6"/>
      <c r="C81" s="6"/>
      <c r="D81" s="6"/>
      <c r="E81" s="6"/>
      <c r="F81" s="6"/>
      <c r="G81" s="6"/>
      <c r="H81" s="30"/>
      <c r="I81" s="2"/>
      <c r="J81" s="2"/>
      <c r="K81" s="2"/>
      <c r="L81" s="2"/>
      <c r="M81" s="2"/>
      <c r="N81" s="2"/>
      <c r="O81" s="80"/>
      <c r="P81" s="80"/>
      <c r="Q81" s="2"/>
      <c r="R81" s="2"/>
      <c r="S81" s="2"/>
      <c r="T81" s="2"/>
      <c r="U81" s="2"/>
      <c r="V81" s="80"/>
      <c r="W81" s="2"/>
      <c r="X81" s="2"/>
      <c r="Y81" s="2"/>
      <c r="Z81" s="2"/>
      <c r="AA81" s="2"/>
      <c r="AB81" s="2"/>
      <c r="AC81" s="80"/>
      <c r="AD81" s="2"/>
      <c r="AE81" s="6"/>
      <c r="AF81" s="6"/>
      <c r="AG81" s="6"/>
      <c r="AH81" s="6"/>
      <c r="AI81" s="6"/>
      <c r="AJ81" s="6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</row>
    <row r="82" spans="1:57" ht="14.25" customHeight="1">
      <c r="A82" s="6"/>
      <c r="B82" s="6"/>
      <c r="C82" s="6"/>
      <c r="D82" s="6"/>
      <c r="E82" s="6"/>
      <c r="F82" s="6"/>
      <c r="G82" s="6"/>
      <c r="H82" s="30"/>
      <c r="I82" s="2"/>
      <c r="J82" s="2"/>
      <c r="K82" s="2"/>
      <c r="L82" s="2"/>
      <c r="M82" s="2"/>
      <c r="N82" s="2"/>
      <c r="O82" s="80"/>
      <c r="P82" s="80"/>
      <c r="Q82" s="2"/>
      <c r="R82" s="2"/>
      <c r="S82" s="2"/>
      <c r="T82" s="2"/>
      <c r="U82" s="2"/>
      <c r="V82" s="80"/>
      <c r="W82" s="2"/>
      <c r="X82" s="2"/>
      <c r="Y82" s="2"/>
      <c r="Z82" s="2"/>
      <c r="AA82" s="2"/>
      <c r="AB82" s="2"/>
      <c r="AC82" s="80"/>
      <c r="AD82" s="2"/>
      <c r="AE82" s="6"/>
      <c r="AF82" s="6"/>
      <c r="AG82" s="6"/>
      <c r="AH82" s="6"/>
      <c r="AI82" s="6"/>
      <c r="AJ82" s="6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</row>
    <row r="83" spans="1:57" ht="14.25" customHeight="1">
      <c r="A83" s="6"/>
      <c r="B83" s="6"/>
      <c r="C83" s="6"/>
      <c r="D83" s="6"/>
      <c r="E83" s="6"/>
      <c r="F83" s="6"/>
      <c r="G83" s="6"/>
      <c r="H83" s="30"/>
      <c r="I83" s="2"/>
      <c r="J83" s="2"/>
      <c r="K83" s="2"/>
      <c r="L83" s="2"/>
      <c r="M83" s="2"/>
      <c r="N83" s="2"/>
      <c r="O83" s="80"/>
      <c r="P83" s="80"/>
      <c r="Q83" s="2"/>
      <c r="R83" s="2"/>
      <c r="S83" s="2"/>
      <c r="T83" s="2"/>
      <c r="U83" s="2"/>
      <c r="V83" s="80"/>
      <c r="W83" s="2"/>
      <c r="X83" s="2"/>
      <c r="Y83" s="2"/>
      <c r="Z83" s="2"/>
      <c r="AA83" s="2"/>
      <c r="AB83" s="2"/>
      <c r="AC83" s="80"/>
      <c r="AD83" s="2"/>
      <c r="AE83" s="6"/>
      <c r="AF83" s="6"/>
      <c r="AG83" s="6"/>
      <c r="AH83" s="6"/>
      <c r="AI83" s="6"/>
      <c r="AJ83" s="6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</row>
    <row r="84" spans="1:57" ht="14.25" customHeight="1">
      <c r="A84" s="6"/>
      <c r="B84" s="6"/>
      <c r="C84" s="6"/>
      <c r="D84" s="6"/>
      <c r="E84" s="6"/>
      <c r="F84" s="6"/>
      <c r="G84" s="6"/>
      <c r="H84" s="30"/>
      <c r="I84" s="2"/>
      <c r="J84" s="2"/>
      <c r="K84" s="2"/>
      <c r="L84" s="2"/>
      <c r="M84" s="2"/>
      <c r="N84" s="2"/>
      <c r="O84" s="80"/>
      <c r="P84" s="80"/>
      <c r="Q84" s="2"/>
      <c r="R84" s="2"/>
      <c r="S84" s="2"/>
      <c r="T84" s="2"/>
      <c r="U84" s="2"/>
      <c r="V84" s="80"/>
      <c r="W84" s="2"/>
      <c r="X84" s="2"/>
      <c r="Y84" s="2"/>
      <c r="Z84" s="2"/>
      <c r="AA84" s="2"/>
      <c r="AB84" s="2"/>
      <c r="AC84" s="80"/>
      <c r="AD84" s="2"/>
      <c r="AE84" s="6"/>
      <c r="AF84" s="6"/>
      <c r="AG84" s="6"/>
      <c r="AH84" s="6"/>
      <c r="AI84" s="6"/>
      <c r="AJ84" s="6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</row>
    <row r="85" spans="1:57" ht="14.25" customHeight="1">
      <c r="A85" s="6"/>
      <c r="B85" s="6"/>
      <c r="C85" s="6"/>
      <c r="D85" s="6"/>
      <c r="E85" s="6"/>
      <c r="F85" s="6"/>
      <c r="G85" s="6"/>
      <c r="H85" s="30"/>
      <c r="I85" s="2"/>
      <c r="J85" s="2"/>
      <c r="K85" s="2"/>
      <c r="L85" s="2"/>
      <c r="M85" s="2"/>
      <c r="N85" s="2"/>
      <c r="O85" s="80"/>
      <c r="P85" s="80"/>
      <c r="Q85" s="2"/>
      <c r="R85" s="2"/>
      <c r="S85" s="2"/>
      <c r="T85" s="2"/>
      <c r="U85" s="2"/>
      <c r="V85" s="80"/>
      <c r="W85" s="2"/>
      <c r="X85" s="2"/>
      <c r="Y85" s="2"/>
      <c r="Z85" s="2"/>
      <c r="AA85" s="2"/>
      <c r="AB85" s="2"/>
      <c r="AC85" s="80"/>
      <c r="AD85" s="2"/>
      <c r="AE85" s="6"/>
      <c r="AF85" s="6"/>
      <c r="AG85" s="6"/>
      <c r="AH85" s="6"/>
      <c r="AI85" s="6"/>
      <c r="AJ85" s="6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</row>
    <row r="86" spans="1:57" ht="14.25" customHeight="1">
      <c r="A86" s="6"/>
      <c r="B86" s="6"/>
      <c r="C86" s="6"/>
      <c r="D86" s="6"/>
      <c r="E86" s="6"/>
      <c r="F86" s="6"/>
      <c r="G86" s="6"/>
      <c r="H86" s="30"/>
      <c r="I86" s="2"/>
      <c r="J86" s="2"/>
      <c r="K86" s="2"/>
      <c r="L86" s="2"/>
      <c r="M86" s="2"/>
      <c r="N86" s="2"/>
      <c r="O86" s="80"/>
      <c r="P86" s="80"/>
      <c r="Q86" s="2"/>
      <c r="R86" s="2"/>
      <c r="S86" s="2"/>
      <c r="T86" s="2"/>
      <c r="U86" s="2"/>
      <c r="V86" s="80"/>
      <c r="W86" s="2"/>
      <c r="X86" s="2"/>
      <c r="Y86" s="2"/>
      <c r="Z86" s="2"/>
      <c r="AA86" s="2"/>
      <c r="AB86" s="2"/>
      <c r="AC86" s="80"/>
      <c r="AD86" s="2"/>
      <c r="AE86" s="6"/>
      <c r="AF86" s="6"/>
      <c r="AG86" s="6"/>
      <c r="AH86" s="6"/>
      <c r="AI86" s="6"/>
      <c r="AJ86" s="6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</row>
    <row r="87" spans="1:57" ht="14.25" customHeight="1">
      <c r="A87" s="6"/>
      <c r="B87" s="6"/>
      <c r="C87" s="6"/>
      <c r="D87" s="6"/>
      <c r="E87" s="6"/>
      <c r="F87" s="6"/>
      <c r="G87" s="6"/>
      <c r="H87" s="30"/>
      <c r="I87" s="2"/>
      <c r="J87" s="2"/>
      <c r="K87" s="2"/>
      <c r="L87" s="2"/>
      <c r="M87" s="2"/>
      <c r="N87" s="2"/>
      <c r="O87" s="80"/>
      <c r="P87" s="80"/>
      <c r="Q87" s="2"/>
      <c r="R87" s="2"/>
      <c r="S87" s="2"/>
      <c r="T87" s="2"/>
      <c r="U87" s="2"/>
      <c r="V87" s="80"/>
      <c r="W87" s="2"/>
      <c r="X87" s="2"/>
      <c r="Y87" s="2"/>
      <c r="Z87" s="2"/>
      <c r="AA87" s="2"/>
      <c r="AB87" s="2"/>
      <c r="AC87" s="80"/>
      <c r="AD87" s="2"/>
      <c r="AE87" s="6"/>
      <c r="AF87" s="6"/>
      <c r="AG87" s="6"/>
      <c r="AH87" s="6"/>
      <c r="AI87" s="6"/>
      <c r="AJ87" s="6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</row>
    <row r="88" spans="1:57" ht="14.25" customHeight="1">
      <c r="A88" s="6"/>
      <c r="B88" s="6"/>
      <c r="C88" s="6"/>
      <c r="D88" s="6"/>
      <c r="E88" s="6"/>
      <c r="F88" s="6"/>
      <c r="G88" s="6"/>
      <c r="H88" s="30"/>
      <c r="I88" s="2"/>
      <c r="J88" s="2"/>
      <c r="K88" s="2"/>
      <c r="L88" s="2"/>
      <c r="M88" s="2"/>
      <c r="N88" s="2"/>
      <c r="O88" s="80"/>
      <c r="P88" s="80"/>
      <c r="Q88" s="2"/>
      <c r="R88" s="2"/>
      <c r="S88" s="2"/>
      <c r="T88" s="2"/>
      <c r="U88" s="2"/>
      <c r="V88" s="80"/>
      <c r="W88" s="2"/>
      <c r="X88" s="2"/>
      <c r="Y88" s="2"/>
      <c r="Z88" s="2"/>
      <c r="AA88" s="2"/>
      <c r="AB88" s="2"/>
      <c r="AC88" s="80"/>
      <c r="AD88" s="2"/>
      <c r="AE88" s="6"/>
      <c r="AF88" s="6"/>
      <c r="AG88" s="6"/>
      <c r="AH88" s="6"/>
      <c r="AI88" s="6"/>
      <c r="AJ88" s="6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</row>
    <row r="89" spans="1:57" ht="14.25" customHeight="1">
      <c r="A89" s="6"/>
      <c r="B89" s="6"/>
      <c r="C89" s="6"/>
      <c r="D89" s="6"/>
      <c r="E89" s="6"/>
      <c r="F89" s="6"/>
      <c r="G89" s="6"/>
      <c r="H89" s="30"/>
      <c r="I89" s="2"/>
      <c r="J89" s="2"/>
      <c r="K89" s="2"/>
      <c r="L89" s="2"/>
      <c r="M89" s="2"/>
      <c r="N89" s="2"/>
      <c r="O89" s="80"/>
      <c r="P89" s="80"/>
      <c r="Q89" s="2"/>
      <c r="R89" s="2"/>
      <c r="S89" s="2"/>
      <c r="T89" s="2"/>
      <c r="U89" s="2"/>
      <c r="V89" s="80"/>
      <c r="W89" s="2"/>
      <c r="X89" s="2"/>
      <c r="Y89" s="2"/>
      <c r="Z89" s="2"/>
      <c r="AA89" s="2"/>
      <c r="AB89" s="2"/>
      <c r="AC89" s="80"/>
      <c r="AD89" s="2"/>
      <c r="AE89" s="6"/>
      <c r="AF89" s="6"/>
      <c r="AG89" s="6"/>
      <c r="AH89" s="6"/>
      <c r="AI89" s="6"/>
      <c r="AJ89" s="6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</row>
    <row r="90" spans="1:57" ht="14.25" customHeight="1">
      <c r="A90" s="6"/>
      <c r="B90" s="6"/>
      <c r="C90" s="6"/>
      <c r="D90" s="6"/>
      <c r="E90" s="6"/>
      <c r="F90" s="6"/>
      <c r="G90" s="6"/>
      <c r="H90" s="30"/>
      <c r="I90" s="2"/>
      <c r="J90" s="2"/>
      <c r="K90" s="2"/>
      <c r="L90" s="2"/>
      <c r="M90" s="2"/>
      <c r="N90" s="2"/>
      <c r="O90" s="80"/>
      <c r="P90" s="80"/>
      <c r="Q90" s="2"/>
      <c r="R90" s="2"/>
      <c r="S90" s="2"/>
      <c r="T90" s="2"/>
      <c r="U90" s="2"/>
      <c r="V90" s="80"/>
      <c r="W90" s="2"/>
      <c r="X90" s="2"/>
      <c r="Y90" s="2"/>
      <c r="Z90" s="2"/>
      <c r="AA90" s="2"/>
      <c r="AB90" s="2"/>
      <c r="AC90" s="80"/>
      <c r="AD90" s="2"/>
      <c r="AE90" s="6"/>
      <c r="AF90" s="6"/>
      <c r="AG90" s="6"/>
      <c r="AH90" s="6"/>
      <c r="AI90" s="6"/>
      <c r="AJ90" s="6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</row>
    <row r="91" spans="1:57" ht="14.25" customHeight="1">
      <c r="A91" s="6"/>
      <c r="B91" s="6"/>
      <c r="C91" s="6"/>
      <c r="D91" s="6"/>
      <c r="E91" s="6"/>
      <c r="F91" s="6"/>
      <c r="G91" s="6"/>
      <c r="H91" s="30"/>
      <c r="I91" s="2"/>
      <c r="J91" s="2"/>
      <c r="K91" s="2"/>
      <c r="L91" s="2"/>
      <c r="M91" s="2"/>
      <c r="N91" s="2"/>
      <c r="O91" s="80"/>
      <c r="P91" s="80"/>
      <c r="Q91" s="2"/>
      <c r="R91" s="2"/>
      <c r="S91" s="2"/>
      <c r="T91" s="2"/>
      <c r="U91" s="2"/>
      <c r="V91" s="80"/>
      <c r="W91" s="2"/>
      <c r="X91" s="2"/>
      <c r="Y91" s="2"/>
      <c r="Z91" s="2"/>
      <c r="AA91" s="2"/>
      <c r="AB91" s="2"/>
      <c r="AC91" s="80"/>
      <c r="AD91" s="2"/>
      <c r="AE91" s="6"/>
      <c r="AF91" s="6"/>
      <c r="AG91" s="6"/>
      <c r="AH91" s="6"/>
      <c r="AI91" s="6"/>
      <c r="AJ91" s="6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</row>
    <row r="92" spans="1:57" ht="14.25" customHeight="1">
      <c r="A92" s="6"/>
      <c r="B92" s="6"/>
      <c r="C92" s="6"/>
      <c r="D92" s="6"/>
      <c r="E92" s="6"/>
      <c r="F92" s="6"/>
      <c r="G92" s="6"/>
      <c r="H92" s="30"/>
      <c r="I92" s="2"/>
      <c r="J92" s="2"/>
      <c r="K92" s="2"/>
      <c r="L92" s="2"/>
      <c r="M92" s="2"/>
      <c r="N92" s="2"/>
      <c r="O92" s="80"/>
      <c r="P92" s="80"/>
      <c r="Q92" s="2"/>
      <c r="R92" s="2"/>
      <c r="S92" s="2"/>
      <c r="T92" s="2"/>
      <c r="U92" s="2"/>
      <c r="V92" s="80"/>
      <c r="W92" s="2"/>
      <c r="X92" s="2"/>
      <c r="Y92" s="2"/>
      <c r="Z92" s="2"/>
      <c r="AA92" s="2"/>
      <c r="AB92" s="2"/>
      <c r="AC92" s="80"/>
      <c r="AD92" s="2"/>
      <c r="AE92" s="6"/>
      <c r="AF92" s="6"/>
      <c r="AG92" s="6"/>
      <c r="AH92" s="6"/>
      <c r="AI92" s="6"/>
      <c r="AJ92" s="6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</row>
    <row r="93" spans="1:57" ht="14.25" customHeight="1">
      <c r="A93" s="6"/>
      <c r="B93" s="6"/>
      <c r="C93" s="6"/>
      <c r="D93" s="6"/>
      <c r="E93" s="6"/>
      <c r="F93" s="6"/>
      <c r="G93" s="6"/>
      <c r="H93" s="30"/>
      <c r="I93" s="2"/>
      <c r="J93" s="2"/>
      <c r="K93" s="2"/>
      <c r="L93" s="2"/>
      <c r="M93" s="2"/>
      <c r="N93" s="2"/>
      <c r="O93" s="80"/>
      <c r="P93" s="80"/>
      <c r="Q93" s="2"/>
      <c r="R93" s="2"/>
      <c r="S93" s="2"/>
      <c r="T93" s="2"/>
      <c r="U93" s="2"/>
      <c r="V93" s="80"/>
      <c r="W93" s="2"/>
      <c r="X93" s="2"/>
      <c r="Y93" s="2"/>
      <c r="Z93" s="2"/>
      <c r="AA93" s="2"/>
      <c r="AB93" s="2"/>
      <c r="AC93" s="80"/>
      <c r="AD93" s="2"/>
      <c r="AE93" s="6"/>
      <c r="AF93" s="6"/>
      <c r="AG93" s="6"/>
      <c r="AH93" s="6"/>
      <c r="AI93" s="6"/>
      <c r="AJ93" s="6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</row>
    <row r="94" spans="1:57" ht="14.25" customHeight="1">
      <c r="A94" s="6"/>
      <c r="B94" s="6"/>
      <c r="C94" s="6"/>
      <c r="D94" s="6"/>
      <c r="E94" s="6"/>
      <c r="F94" s="6"/>
      <c r="G94" s="6"/>
      <c r="H94" s="30"/>
      <c r="I94" s="2"/>
      <c r="J94" s="2"/>
      <c r="K94" s="2"/>
      <c r="L94" s="2"/>
      <c r="M94" s="2"/>
      <c r="N94" s="2"/>
      <c r="O94" s="80"/>
      <c r="P94" s="80"/>
      <c r="Q94" s="2"/>
      <c r="R94" s="2"/>
      <c r="S94" s="2"/>
      <c r="T94" s="2"/>
      <c r="U94" s="2"/>
      <c r="V94" s="80"/>
      <c r="W94" s="2"/>
      <c r="X94" s="2"/>
      <c r="Y94" s="2"/>
      <c r="Z94" s="2"/>
      <c r="AA94" s="2"/>
      <c r="AB94" s="2"/>
      <c r="AC94" s="80"/>
      <c r="AD94" s="2"/>
      <c r="AE94" s="6"/>
      <c r="AF94" s="6"/>
      <c r="AG94" s="6"/>
      <c r="AH94" s="6"/>
      <c r="AI94" s="6"/>
      <c r="AJ94" s="6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</row>
    <row r="95" spans="1:57" ht="14.25" customHeight="1">
      <c r="A95" s="6"/>
      <c r="B95" s="6"/>
      <c r="C95" s="6"/>
      <c r="D95" s="6"/>
      <c r="E95" s="6"/>
      <c r="F95" s="6"/>
      <c r="G95" s="6"/>
      <c r="H95" s="30"/>
      <c r="I95" s="2"/>
      <c r="J95" s="2"/>
      <c r="K95" s="2"/>
      <c r="L95" s="2"/>
      <c r="M95" s="2"/>
      <c r="N95" s="2"/>
      <c r="O95" s="80"/>
      <c r="P95" s="80"/>
      <c r="Q95" s="2"/>
      <c r="R95" s="2"/>
      <c r="S95" s="2"/>
      <c r="T95" s="2"/>
      <c r="U95" s="2"/>
      <c r="V95" s="80"/>
      <c r="W95" s="2"/>
      <c r="X95" s="2"/>
      <c r="Y95" s="2"/>
      <c r="Z95" s="2"/>
      <c r="AA95" s="2"/>
      <c r="AB95" s="2"/>
      <c r="AC95" s="80"/>
      <c r="AD95" s="2"/>
      <c r="AE95" s="6"/>
      <c r="AF95" s="6"/>
      <c r="AG95" s="6"/>
      <c r="AH95" s="6"/>
      <c r="AI95" s="6"/>
      <c r="AJ95" s="6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</row>
    <row r="96" spans="1:57" ht="14.25" customHeight="1">
      <c r="A96" s="6"/>
      <c r="B96" s="6"/>
      <c r="C96" s="6"/>
      <c r="D96" s="6"/>
      <c r="E96" s="6"/>
      <c r="F96" s="6"/>
      <c r="G96" s="6"/>
      <c r="H96" s="30"/>
      <c r="I96" s="2"/>
      <c r="J96" s="2"/>
      <c r="K96" s="2"/>
      <c r="L96" s="2"/>
      <c r="M96" s="2"/>
      <c r="N96" s="2"/>
      <c r="O96" s="80"/>
      <c r="P96" s="80"/>
      <c r="Q96" s="2"/>
      <c r="R96" s="2"/>
      <c r="S96" s="2"/>
      <c r="T96" s="2"/>
      <c r="U96" s="2"/>
      <c r="V96" s="80"/>
      <c r="W96" s="2"/>
      <c r="X96" s="2"/>
      <c r="Y96" s="2"/>
      <c r="Z96" s="2"/>
      <c r="AA96" s="2"/>
      <c r="AB96" s="2"/>
      <c r="AC96" s="80"/>
      <c r="AD96" s="2"/>
      <c r="AE96" s="6"/>
      <c r="AF96" s="6"/>
      <c r="AG96" s="6"/>
      <c r="AH96" s="6"/>
      <c r="AI96" s="6"/>
      <c r="AJ96" s="6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</row>
    <row r="97" spans="1:57" ht="14.25" customHeight="1">
      <c r="A97" s="6"/>
      <c r="B97" s="6"/>
      <c r="C97" s="6"/>
      <c r="D97" s="6"/>
      <c r="E97" s="6"/>
      <c r="F97" s="6"/>
      <c r="G97" s="6"/>
      <c r="H97" s="30"/>
      <c r="I97" s="2"/>
      <c r="J97" s="2"/>
      <c r="K97" s="2"/>
      <c r="L97" s="2"/>
      <c r="M97" s="2"/>
      <c r="N97" s="2"/>
      <c r="O97" s="80"/>
      <c r="P97" s="80"/>
      <c r="Q97" s="2"/>
      <c r="R97" s="2"/>
      <c r="S97" s="2"/>
      <c r="T97" s="2"/>
      <c r="U97" s="2"/>
      <c r="V97" s="80"/>
      <c r="W97" s="2"/>
      <c r="X97" s="2"/>
      <c r="Y97" s="2"/>
      <c r="Z97" s="2"/>
      <c r="AA97" s="2"/>
      <c r="AB97" s="2"/>
      <c r="AC97" s="80"/>
      <c r="AD97" s="2"/>
      <c r="AE97" s="6"/>
      <c r="AF97" s="6"/>
      <c r="AG97" s="6"/>
      <c r="AH97" s="6"/>
      <c r="AI97" s="6"/>
      <c r="AJ97" s="6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</row>
    <row r="98" spans="1:57" ht="14.25" customHeight="1">
      <c r="A98" s="6"/>
      <c r="B98" s="6"/>
      <c r="C98" s="6"/>
      <c r="D98" s="6"/>
      <c r="E98" s="6"/>
      <c r="F98" s="6"/>
      <c r="G98" s="6"/>
      <c r="H98" s="30"/>
      <c r="I98" s="2"/>
      <c r="J98" s="2"/>
      <c r="K98" s="2"/>
      <c r="L98" s="2"/>
      <c r="M98" s="2"/>
      <c r="N98" s="2"/>
      <c r="O98" s="80"/>
      <c r="P98" s="80"/>
      <c r="Q98" s="2"/>
      <c r="R98" s="2"/>
      <c r="S98" s="2"/>
      <c r="T98" s="2"/>
      <c r="U98" s="2"/>
      <c r="V98" s="80"/>
      <c r="W98" s="2"/>
      <c r="X98" s="2"/>
      <c r="Y98" s="2"/>
      <c r="Z98" s="2"/>
      <c r="AA98" s="2"/>
      <c r="AB98" s="2"/>
      <c r="AC98" s="80"/>
      <c r="AD98" s="2"/>
      <c r="AE98" s="6"/>
      <c r="AF98" s="6"/>
      <c r="AG98" s="6"/>
      <c r="AH98" s="6"/>
      <c r="AI98" s="6"/>
      <c r="AJ98" s="6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</row>
    <row r="99" spans="1:57" ht="14.25" customHeight="1">
      <c r="A99" s="6"/>
      <c r="B99" s="6"/>
      <c r="C99" s="6"/>
      <c r="D99" s="6"/>
      <c r="E99" s="6"/>
      <c r="F99" s="6"/>
      <c r="G99" s="6"/>
      <c r="H99" s="30"/>
      <c r="I99" s="2"/>
      <c r="J99" s="2"/>
      <c r="K99" s="2"/>
      <c r="L99" s="2"/>
      <c r="M99" s="2"/>
      <c r="N99" s="2"/>
      <c r="O99" s="80"/>
      <c r="P99" s="80"/>
      <c r="Q99" s="2"/>
      <c r="R99" s="2"/>
      <c r="S99" s="2"/>
      <c r="T99" s="2"/>
      <c r="U99" s="2"/>
      <c r="V99" s="80"/>
      <c r="W99" s="2"/>
      <c r="X99" s="2"/>
      <c r="Y99" s="2"/>
      <c r="Z99" s="2"/>
      <c r="AA99" s="2"/>
      <c r="AB99" s="2"/>
      <c r="AC99" s="80"/>
      <c r="AD99" s="2"/>
      <c r="AE99" s="6"/>
      <c r="AF99" s="6"/>
      <c r="AG99" s="6"/>
      <c r="AH99" s="6"/>
      <c r="AI99" s="6"/>
      <c r="AJ99" s="6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</row>
    <row r="100" spans="1:57" ht="14.25" customHeight="1">
      <c r="A100" s="6"/>
      <c r="B100" s="6"/>
      <c r="C100" s="6"/>
      <c r="D100" s="6"/>
      <c r="E100" s="6"/>
      <c r="F100" s="6"/>
      <c r="G100" s="6"/>
      <c r="H100" s="30"/>
      <c r="I100" s="2"/>
      <c r="J100" s="2"/>
      <c r="K100" s="2"/>
      <c r="L100" s="2"/>
      <c r="M100" s="2"/>
      <c r="N100" s="2"/>
      <c r="O100" s="80"/>
      <c r="P100" s="80"/>
      <c r="Q100" s="2"/>
      <c r="R100" s="2"/>
      <c r="S100" s="2"/>
      <c r="T100" s="2"/>
      <c r="U100" s="2"/>
      <c r="V100" s="80"/>
      <c r="W100" s="2"/>
      <c r="X100" s="2"/>
      <c r="Y100" s="2"/>
      <c r="Z100" s="2"/>
      <c r="AA100" s="2"/>
      <c r="AB100" s="2"/>
      <c r="AC100" s="80"/>
      <c r="AD100" s="2"/>
      <c r="AE100" s="6"/>
      <c r="AF100" s="6"/>
      <c r="AG100" s="6"/>
      <c r="AH100" s="6"/>
      <c r="AI100" s="6"/>
      <c r="AJ100" s="6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</row>
  </sheetData>
  <dataValidations count="2">
    <dataValidation type="list" allowBlank="1" showErrorMessage="1" sqref="A1">
      <formula1>$H$2:$H$31</formula1>
    </dataValidation>
    <dataValidation type="list" allowBlank="1" showErrorMessage="1" sqref="AE1">
      <formula1>$AK$2:$AK$31</formula1>
    </dataValidation>
  </dataValidations>
  <pageMargins left="0.7" right="0.7" top="0.75" bottom="0.75" header="0" footer="0"/>
  <pageSetup orientation="portrait" useFirstPageNumber="1"/>
  <headerFooter>
    <oddHeader>&amp;L&amp;C&amp;R</oddHeader>
    <oddFooter>&amp;L&amp;C&amp;R</oddFooter>
  </headerFooter>
  <extLst/>
</worksheet>
</file>

<file path=xl/worksheets/sheet7.xml><?xml version="1.0" encoding="utf-8"?>
<worksheet xmlns="http://schemas.openxmlformats.org/spreadsheetml/2006/main" xmlns:r="http://schemas.openxmlformats.org/officeDocument/2006/relationships">
  <dimension ref="A1:BE100"/>
  <sheetViews>
    <sheetView workbookViewId="0"/>
  </sheetViews>
  <sheetFormatPr defaultColWidth="11.5703125" defaultRowHeight="15" customHeight="1"/>
  <cols>
    <col min="1" max="1" width="27.42578125" customWidth="1"/>
    <col min="7" max="7" width="15.42578125" hidden="1" customWidth="1"/>
    <col min="8" max="8" width="30.42578125" style="58" hidden="1" customWidth="1"/>
    <col min="9" max="9" width="24.42578125" style="9" hidden="1" customWidth="1"/>
    <col min="10" max="14" width="11.5703125" style="9" hidden="1" customWidth="1"/>
    <col min="15" max="15" width="11.5703125" style="82" hidden="1" customWidth="1"/>
    <col min="16" max="22" width="11.5703125" style="9" hidden="1" customWidth="1"/>
    <col min="23" max="23" width="19" style="9" hidden="1" customWidth="1"/>
    <col min="24" max="30" width="11.5703125" style="9" hidden="1" customWidth="1"/>
    <col min="31" max="36" width="0" hidden="1" customWidth="1"/>
    <col min="37" max="57" width="11.5703125" style="9" hidden="1" customWidth="1"/>
  </cols>
  <sheetData>
    <row r="1" spans="1:57" ht="24" customHeight="1" thickBot="1">
      <c r="A1" s="1" t="s">
        <v>980</v>
      </c>
      <c r="B1" s="2"/>
      <c r="C1" s="2"/>
      <c r="D1" s="2"/>
      <c r="E1" s="2"/>
      <c r="F1" s="2"/>
      <c r="G1" s="2"/>
      <c r="H1" s="30"/>
      <c r="I1" s="2"/>
      <c r="J1" s="2"/>
      <c r="K1" s="2"/>
      <c r="L1" s="2"/>
      <c r="M1" s="2"/>
      <c r="N1" s="2"/>
      <c r="O1" s="80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900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</row>
    <row r="2" spans="1:57" ht="15" hidden="1" customHeight="1" thickBot="1">
      <c r="A2" s="3" t="str">
        <f t="shared" ref="A2:G2" si="0">IF($A$1=$H$2,I2,IF($A$1=$H$3,I7,IF($A$1=$H$4,I12,IF($A$1=$H$5,I17,IF($A$1=$H$6,I22,IF($A$1=$H$7,I27,IF($A$1=$H$8,I32,IF($A$1=$H$9,I37,IF($A$1=$H$10,I42,IF($A$1=$H$11,I47,IF($A$1=$H$12,P2,IF($A$1=$H$13,P7,IF($A$1=$H$14,P12,IF($A$1=$H$15,P17,IF($A$1=$H$16,P22,IF($A$1=$H$17,P27,IF($A$1=$H$18,P32,IF($A$1=$H$19,P37,IF($A$1=$H$20,P42,IF($A$1=$H$21,P47,IF($A$1=$H$21,P52,IF($A$1=$H$22,W2,IF($A$1=$H$23,W7,IF($A$1=$H$24,W12,IF($A$1=$H$25,W17,IF($A$1=$H$26,W22,IF($A$1=$H$27,W27,IF($A$1=$H$28,W32,IF($A$1=$H$29,W37,IF($A$1=$H$30,W42,IF($A$1=$H$31,W47)))))))))))))))))))))))))))))))</f>
        <v>2 ਭਗਵਾਨ ਦਾਸ ਬਘੇਲਾ ਰਾਮ</v>
      </c>
      <c r="B2" s="3" t="str">
        <f t="shared" si="0"/>
        <v>ਪ੍ਰਕਾਸ਼ ਰਾਣੀ</v>
      </c>
      <c r="C2" s="3">
        <f t="shared" si="0"/>
        <v>1</v>
      </c>
      <c r="D2" s="3">
        <f t="shared" si="0"/>
        <v>1</v>
      </c>
      <c r="E2" s="3">
        <f t="shared" si="0"/>
        <v>1</v>
      </c>
      <c r="F2" s="108">
        <f t="shared" si="0"/>
        <v>1</v>
      </c>
      <c r="G2" s="126" t="str">
        <f t="shared" si="0"/>
        <v>https://serving.photos.photobox.com/14033149aad024782ef4cec8626ea354ed385a3132fe1bd4b5ac50d7df2a127a2e23c338.jpg</v>
      </c>
      <c r="H2" s="45" t="str">
        <f>I2</f>
        <v>1 ਹਾਕਮ ਚੰਦ ਬਘੇਲਾ ਰਾਮ</v>
      </c>
      <c r="I2" s="73" t="s">
        <v>975</v>
      </c>
      <c r="J2" s="5">
        <v>1</v>
      </c>
      <c r="K2" s="5" t="s">
        <v>976</v>
      </c>
      <c r="L2" s="5" t="s">
        <v>977</v>
      </c>
      <c r="M2" s="5" t="s">
        <v>978</v>
      </c>
      <c r="N2" s="5">
        <v>1</v>
      </c>
      <c r="O2" s="80" t="s">
        <v>1273</v>
      </c>
      <c r="P2" s="73" t="s">
        <v>979</v>
      </c>
      <c r="Q2" s="5">
        <v>1</v>
      </c>
      <c r="R2" s="5">
        <v>1</v>
      </c>
      <c r="S2" s="5">
        <v>1</v>
      </c>
      <c r="T2" s="5">
        <v>1</v>
      </c>
      <c r="U2" s="5">
        <v>1</v>
      </c>
      <c r="V2" s="2">
        <v>2</v>
      </c>
      <c r="W2" s="73" t="s">
        <v>904</v>
      </c>
      <c r="X2" s="5">
        <v>1</v>
      </c>
      <c r="Y2" s="5">
        <v>1</v>
      </c>
      <c r="Z2" s="5">
        <v>1</v>
      </c>
      <c r="AA2" s="5">
        <v>1</v>
      </c>
      <c r="AB2" s="5">
        <v>1</v>
      </c>
      <c r="AC2" s="2">
        <v>2</v>
      </c>
      <c r="AD2" s="2"/>
      <c r="AE2" s="3" t="str">
        <f t="shared" ref="AE2:AJ6" si="1">IF($AE$1=$AK$2,AL2,IF($AE$1=$AK$3,AL7,IF($AE$1=$AK$4,AL12,IF($AE$1=$AK$5,AL17,IF($AE$1=$AK$6,AL22,IF($AE$1=$AK$7,AL27,IF($AE$1=$AK$8,AL32,IF($AE$1=$AK$9,AL37,IF($AE$1=$AK$10,AL42,IF($AE$1=$AK$11,AL47,IF($AE$1=$AK$12,AS2,IF($AE$1=$AK$13,AS7,IF($AE$1=$AK$14,AS12,IF($AE$1=$AK$15,AS17,IF($AE$1=$AK$16,AS22,IF($AE$1=$AK$17,AS27,IF($AE$1=$AK$18,AS32,IF($AE$1=$AK$19,AS37,IF($AE$1=$AK$20,AS42,IF($AE$1=$AK$21,AS47,IF($AE$1=$AK$21,AS52,IF($AE$1=$AK$22,AZ2,IF($AE$1=$AK$23,AZ7,IF($AE$1=$AK$24,AZ12,IF($AE$1=$AK$25,AZ17,IF($AE$1=$AK$26,AZ22,IF($AE$1=$AK$27,AZ27,IF($AE$1=$AK$28,AZ32,IF($AE$1=$AK$29,AZ37,IF($AE$1=$AK$30,AZ42,IF($AE$1=$AK$31,AZ47)))))))))))))))))))))))))))))))</f>
        <v>31 one</v>
      </c>
      <c r="AF2" s="3">
        <f t="shared" si="1"/>
        <v>1</v>
      </c>
      <c r="AG2" s="3">
        <f t="shared" si="1"/>
        <v>1</v>
      </c>
      <c r="AH2" s="3">
        <f t="shared" si="1"/>
        <v>1</v>
      </c>
      <c r="AI2" s="3">
        <f t="shared" si="1"/>
        <v>1</v>
      </c>
      <c r="AJ2" s="3">
        <f t="shared" si="1"/>
        <v>1</v>
      </c>
      <c r="AK2" s="4" t="str">
        <f>AL2</f>
        <v>31 one</v>
      </c>
      <c r="AL2" s="73" t="s">
        <v>900</v>
      </c>
      <c r="AM2" s="5">
        <v>1</v>
      </c>
      <c r="AN2" s="5">
        <v>1</v>
      </c>
      <c r="AO2" s="5">
        <v>1</v>
      </c>
      <c r="AP2" s="5">
        <v>1</v>
      </c>
      <c r="AQ2" s="5">
        <v>1</v>
      </c>
      <c r="AR2" s="2"/>
      <c r="AS2" s="17" t="s">
        <v>785</v>
      </c>
      <c r="AT2" s="18">
        <v>1</v>
      </c>
      <c r="AU2" s="18">
        <v>1</v>
      </c>
      <c r="AV2" s="18">
        <v>1</v>
      </c>
      <c r="AW2" s="18">
        <v>1</v>
      </c>
      <c r="AX2" s="18">
        <v>1</v>
      </c>
      <c r="AY2" s="29"/>
      <c r="AZ2" s="17" t="s">
        <v>51</v>
      </c>
      <c r="BA2" s="5">
        <v>1</v>
      </c>
      <c r="BB2" s="5">
        <v>1</v>
      </c>
      <c r="BC2" s="5">
        <v>1</v>
      </c>
      <c r="BD2" s="5">
        <v>1</v>
      </c>
      <c r="BE2" s="5">
        <v>1</v>
      </c>
    </row>
    <row r="3" spans="1:57" ht="14.25" hidden="1" customHeight="1">
      <c r="A3" s="3" t="str">
        <f t="shared" ref="A3:F6" si="2">IF($A$1=$H$2,I3,IF($A$1=$H$3,I8,IF($A$1=$H$4,I13,IF($A$1=$H$5,I18,IF($A$1=$H$6,I23,IF($A$1=$H$7,I28,IF($A$1=$H$8,I33,IF($A$1=$H$9,I38,IF($A$1=$H$10,I43,IF($A$1=$H$11,I48,IF($A$1=$H$12,P3,IF($A$1=$H$13,P8,IF($A$1=$H$14,P13,IF($A$1=$H$15,P18,IF($A$1=$H$16,P23,IF($A$1=$H$17,P28,IF($A$1=$H$18,P33,IF($A$1=$H$19,P38,IF($A$1=$H$20,P43,IF($A$1=$H$21,P48,IF($A$1=$H$21,P53,IF($A$1=$H$22,W3,IF($A$1=$H$23,W8,IF($A$1=$H$24,W13,IF($A$1=$H$25,W18,IF($A$1=$H$26,W23,IF($A$1=$H$27,W28,IF($A$1=$H$28,W33,IF($A$1=$H$29,W38,IF($A$1=$H$30,W43,IF($A$1=$H$31,W48)))))))))))))))))))))))))))))))</f>
        <v>ਕ੍ਰਿਸ਼ਨ ਲਾਲ</v>
      </c>
      <c r="B3" s="3" t="str">
        <f t="shared" si="2"/>
        <v>ਗੁਰਮੀਤ ਰਾਣੀ</v>
      </c>
      <c r="C3" s="3" t="str">
        <f t="shared" si="2"/>
        <v>ਗੁਰਪ੍ਰੀਤ ਕੰਬੋਜ</v>
      </c>
      <c r="D3" s="3">
        <f t="shared" si="2"/>
        <v>1</v>
      </c>
      <c r="E3" s="3">
        <f t="shared" si="2"/>
        <v>1</v>
      </c>
      <c r="F3" s="3">
        <f t="shared" si="2"/>
        <v>1</v>
      </c>
      <c r="G3" s="105"/>
      <c r="H3" s="76" t="str">
        <f>I7</f>
        <v>2 ਭਗਵਾਨ ਦਾਸ ਬਘੇਲਾ ਰਾਮ</v>
      </c>
      <c r="I3" s="5" t="s">
        <v>177</v>
      </c>
      <c r="J3" s="5" t="s">
        <v>75</v>
      </c>
      <c r="K3" s="5" t="s">
        <v>1317</v>
      </c>
      <c r="L3" s="5" t="s">
        <v>271</v>
      </c>
      <c r="M3" s="5">
        <v>1</v>
      </c>
      <c r="N3" s="5">
        <v>1</v>
      </c>
      <c r="O3" s="5">
        <v>1</v>
      </c>
      <c r="P3" s="5">
        <v>2</v>
      </c>
      <c r="Q3" s="5">
        <v>1</v>
      </c>
      <c r="R3" s="5">
        <v>1</v>
      </c>
      <c r="S3" s="5">
        <v>1</v>
      </c>
      <c r="T3" s="5">
        <v>1</v>
      </c>
      <c r="U3" s="5">
        <v>1</v>
      </c>
      <c r="V3" s="2">
        <v>2</v>
      </c>
      <c r="W3" s="5">
        <v>2</v>
      </c>
      <c r="X3" s="5">
        <v>1</v>
      </c>
      <c r="Y3" s="5">
        <v>1</v>
      </c>
      <c r="Z3" s="5">
        <v>1</v>
      </c>
      <c r="AA3" s="5">
        <v>1</v>
      </c>
      <c r="AB3" s="5">
        <v>1</v>
      </c>
      <c r="AC3" s="2">
        <v>2</v>
      </c>
      <c r="AD3" s="2"/>
      <c r="AE3" s="3">
        <f t="shared" si="1"/>
        <v>2</v>
      </c>
      <c r="AF3" s="3">
        <f t="shared" si="1"/>
        <v>1</v>
      </c>
      <c r="AG3" s="3">
        <f t="shared" si="1"/>
        <v>1</v>
      </c>
      <c r="AH3" s="3">
        <f t="shared" si="1"/>
        <v>1</v>
      </c>
      <c r="AI3" s="3">
        <f t="shared" si="1"/>
        <v>1</v>
      </c>
      <c r="AJ3" s="3">
        <f t="shared" si="1"/>
        <v>1</v>
      </c>
      <c r="AK3" s="4" t="str">
        <f>AL7</f>
        <v>32 two</v>
      </c>
      <c r="AL3" s="5">
        <v>2</v>
      </c>
      <c r="AM3" s="5">
        <v>1</v>
      </c>
      <c r="AN3" s="5">
        <v>1</v>
      </c>
      <c r="AO3" s="5">
        <v>1</v>
      </c>
      <c r="AP3" s="5">
        <v>1</v>
      </c>
      <c r="AQ3" s="5">
        <v>1</v>
      </c>
      <c r="AR3" s="2"/>
      <c r="AS3" s="18">
        <v>2</v>
      </c>
      <c r="AT3" s="18">
        <v>1</v>
      </c>
      <c r="AU3" s="18">
        <v>1</v>
      </c>
      <c r="AV3" s="18">
        <v>1</v>
      </c>
      <c r="AW3" s="18">
        <v>1</v>
      </c>
      <c r="AX3" s="18">
        <v>1</v>
      </c>
      <c r="AY3" s="29"/>
      <c r="AZ3" s="18">
        <v>2</v>
      </c>
      <c r="BA3" s="5">
        <v>1</v>
      </c>
      <c r="BB3" s="5">
        <v>1</v>
      </c>
      <c r="BC3" s="5">
        <v>1</v>
      </c>
      <c r="BD3" s="5">
        <v>1</v>
      </c>
      <c r="BE3" s="5">
        <v>1</v>
      </c>
    </row>
    <row r="4" spans="1:57" ht="14.25" hidden="1" customHeight="1">
      <c r="A4" s="3" t="str">
        <f t="shared" si="2"/>
        <v>ਚੰਦਰ ਪ੍ਰਕਾਸ਼</v>
      </c>
      <c r="B4" s="3" t="str">
        <f t="shared" si="2"/>
        <v>ਪ੍ਰਵੀਨ ਰਾਣੀ</v>
      </c>
      <c r="C4" s="3">
        <f t="shared" si="2"/>
        <v>1</v>
      </c>
      <c r="D4" s="3">
        <f t="shared" si="2"/>
        <v>1</v>
      </c>
      <c r="E4" s="3">
        <f t="shared" si="2"/>
        <v>1</v>
      </c>
      <c r="F4" s="3">
        <f t="shared" si="2"/>
        <v>1</v>
      </c>
      <c r="G4" s="105"/>
      <c r="H4" s="76" t="str">
        <f>I12</f>
        <v>3 ਹੁਕਮ ਚੰਦ ਰਾਮ ਚੰਦ</v>
      </c>
      <c r="I4" s="5" t="s">
        <v>106</v>
      </c>
      <c r="J4" s="5" t="s">
        <v>311</v>
      </c>
      <c r="K4" s="5">
        <v>1</v>
      </c>
      <c r="L4" s="5">
        <v>1</v>
      </c>
      <c r="M4" s="5">
        <v>1</v>
      </c>
      <c r="N4" s="5">
        <v>1</v>
      </c>
      <c r="O4" s="5">
        <v>1</v>
      </c>
      <c r="P4" s="5">
        <v>3</v>
      </c>
      <c r="Q4" s="5">
        <v>1</v>
      </c>
      <c r="R4" s="5">
        <v>1</v>
      </c>
      <c r="S4" s="5">
        <v>1</v>
      </c>
      <c r="T4" s="5">
        <v>1</v>
      </c>
      <c r="U4" s="5">
        <v>1</v>
      </c>
      <c r="V4" s="2">
        <v>2</v>
      </c>
      <c r="W4" s="5">
        <v>3</v>
      </c>
      <c r="X4" s="5">
        <v>1</v>
      </c>
      <c r="Y4" s="5">
        <v>1</v>
      </c>
      <c r="Z4" s="5">
        <v>1</v>
      </c>
      <c r="AA4" s="5">
        <v>1</v>
      </c>
      <c r="AB4" s="5">
        <v>1</v>
      </c>
      <c r="AC4" s="2">
        <v>2</v>
      </c>
      <c r="AD4" s="2"/>
      <c r="AE4" s="3">
        <f t="shared" si="1"/>
        <v>3</v>
      </c>
      <c r="AF4" s="3">
        <f t="shared" si="1"/>
        <v>1</v>
      </c>
      <c r="AG4" s="3">
        <f t="shared" si="1"/>
        <v>1</v>
      </c>
      <c r="AH4" s="3">
        <f t="shared" si="1"/>
        <v>1</v>
      </c>
      <c r="AI4" s="3">
        <f t="shared" si="1"/>
        <v>1</v>
      </c>
      <c r="AJ4" s="3">
        <f t="shared" si="1"/>
        <v>1</v>
      </c>
      <c r="AK4" s="4" t="str">
        <f>AL12</f>
        <v>33 three</v>
      </c>
      <c r="AL4" s="5">
        <v>3</v>
      </c>
      <c r="AM4" s="5">
        <v>1</v>
      </c>
      <c r="AN4" s="5">
        <v>1</v>
      </c>
      <c r="AO4" s="5">
        <v>1</v>
      </c>
      <c r="AP4" s="5">
        <v>1</v>
      </c>
      <c r="AQ4" s="5">
        <v>1</v>
      </c>
      <c r="AR4" s="2"/>
      <c r="AS4" s="18">
        <v>3</v>
      </c>
      <c r="AT4" s="18">
        <v>1</v>
      </c>
      <c r="AU4" s="18">
        <v>1</v>
      </c>
      <c r="AV4" s="18">
        <v>1</v>
      </c>
      <c r="AW4" s="18">
        <v>1</v>
      </c>
      <c r="AX4" s="18">
        <v>1</v>
      </c>
      <c r="AY4" s="29"/>
      <c r="AZ4" s="18">
        <v>3</v>
      </c>
      <c r="BA4" s="5">
        <v>1</v>
      </c>
      <c r="BB4" s="5">
        <v>1</v>
      </c>
      <c r="BC4" s="5">
        <v>1</v>
      </c>
      <c r="BD4" s="5">
        <v>1</v>
      </c>
      <c r="BE4" s="5">
        <v>1</v>
      </c>
    </row>
    <row r="5" spans="1:57" ht="14.25" hidden="1" customHeight="1">
      <c r="A5" s="3">
        <f t="shared" si="2"/>
        <v>9</v>
      </c>
      <c r="B5" s="3">
        <f t="shared" si="2"/>
        <v>1</v>
      </c>
      <c r="C5" s="3">
        <f t="shared" si="2"/>
        <v>1</v>
      </c>
      <c r="D5" s="3">
        <f t="shared" si="2"/>
        <v>1</v>
      </c>
      <c r="E5" s="3">
        <f t="shared" si="2"/>
        <v>1</v>
      </c>
      <c r="F5" s="3">
        <f t="shared" si="2"/>
        <v>1</v>
      </c>
      <c r="G5" s="105"/>
      <c r="H5" s="76" t="str">
        <f>I17</f>
        <v>4 ਹਰਭਜਨ ਲਾਲ ਰਾਮ ਚੰਦ</v>
      </c>
      <c r="I5" s="5" t="s">
        <v>279</v>
      </c>
      <c r="J5" s="5">
        <v>1</v>
      </c>
      <c r="K5" s="5">
        <v>1</v>
      </c>
      <c r="L5" s="5">
        <v>1</v>
      </c>
      <c r="M5" s="5">
        <v>1</v>
      </c>
      <c r="N5" s="5">
        <v>1</v>
      </c>
      <c r="O5" s="5">
        <v>1</v>
      </c>
      <c r="P5" s="5">
        <v>4</v>
      </c>
      <c r="Q5" s="5">
        <v>1</v>
      </c>
      <c r="R5" s="5">
        <v>1</v>
      </c>
      <c r="S5" s="5">
        <v>1</v>
      </c>
      <c r="T5" s="5">
        <v>1</v>
      </c>
      <c r="U5" s="5">
        <v>1</v>
      </c>
      <c r="V5" s="2">
        <v>2</v>
      </c>
      <c r="W5" s="5">
        <v>4</v>
      </c>
      <c r="X5" s="5">
        <v>1</v>
      </c>
      <c r="Y5" s="5">
        <v>1</v>
      </c>
      <c r="Z5" s="5">
        <v>1</v>
      </c>
      <c r="AA5" s="5">
        <v>1</v>
      </c>
      <c r="AB5" s="5">
        <v>1</v>
      </c>
      <c r="AC5" s="2">
        <v>2</v>
      </c>
      <c r="AD5" s="2"/>
      <c r="AE5" s="3">
        <f t="shared" si="1"/>
        <v>4</v>
      </c>
      <c r="AF5" s="3">
        <f t="shared" si="1"/>
        <v>1</v>
      </c>
      <c r="AG5" s="3">
        <f t="shared" si="1"/>
        <v>1</v>
      </c>
      <c r="AH5" s="3">
        <f t="shared" si="1"/>
        <v>1</v>
      </c>
      <c r="AI5" s="3">
        <f t="shared" si="1"/>
        <v>1</v>
      </c>
      <c r="AJ5" s="3">
        <f t="shared" si="1"/>
        <v>1</v>
      </c>
      <c r="AK5" s="4" t="str">
        <f>AL17</f>
        <v>34 four</v>
      </c>
      <c r="AL5" s="5">
        <v>4</v>
      </c>
      <c r="AM5" s="5">
        <v>1</v>
      </c>
      <c r="AN5" s="5">
        <v>1</v>
      </c>
      <c r="AO5" s="5">
        <v>1</v>
      </c>
      <c r="AP5" s="5">
        <v>1</v>
      </c>
      <c r="AQ5" s="5">
        <v>1</v>
      </c>
      <c r="AR5" s="2"/>
      <c r="AS5" s="18">
        <v>4</v>
      </c>
      <c r="AT5" s="18">
        <v>1</v>
      </c>
      <c r="AU5" s="18">
        <v>1</v>
      </c>
      <c r="AV5" s="18">
        <v>1</v>
      </c>
      <c r="AW5" s="18">
        <v>1</v>
      </c>
      <c r="AX5" s="18">
        <v>1</v>
      </c>
      <c r="AY5" s="29"/>
      <c r="AZ5" s="18">
        <v>4</v>
      </c>
      <c r="BA5" s="5">
        <v>1</v>
      </c>
      <c r="BB5" s="5">
        <v>1</v>
      </c>
      <c r="BC5" s="5">
        <v>1</v>
      </c>
      <c r="BD5" s="5">
        <v>1</v>
      </c>
      <c r="BE5" s="5">
        <v>1</v>
      </c>
    </row>
    <row r="6" spans="1:57" ht="14.25" hidden="1" customHeight="1">
      <c r="A6" s="3">
        <f t="shared" si="2"/>
        <v>10</v>
      </c>
      <c r="B6" s="3">
        <f t="shared" si="2"/>
        <v>1</v>
      </c>
      <c r="C6" s="3">
        <f t="shared" si="2"/>
        <v>1</v>
      </c>
      <c r="D6" s="3">
        <f t="shared" si="2"/>
        <v>1</v>
      </c>
      <c r="E6" s="3">
        <f t="shared" si="2"/>
        <v>1</v>
      </c>
      <c r="F6" s="3">
        <f t="shared" si="2"/>
        <v>1</v>
      </c>
      <c r="G6" s="105"/>
      <c r="H6" s="76" t="str">
        <f>I22</f>
        <v>5 ਹਰਕ੍ਰਿਸ਼ਨ ਲਾਲ ਰਾਮ ਚੰਦ</v>
      </c>
      <c r="I6" s="5">
        <v>5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5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2">
        <v>2</v>
      </c>
      <c r="W6" s="5">
        <v>5</v>
      </c>
      <c r="X6" s="5">
        <v>1</v>
      </c>
      <c r="Y6" s="5">
        <v>1</v>
      </c>
      <c r="Z6" s="5">
        <v>1</v>
      </c>
      <c r="AA6" s="5">
        <v>1</v>
      </c>
      <c r="AB6" s="5">
        <v>1</v>
      </c>
      <c r="AC6" s="2">
        <v>2</v>
      </c>
      <c r="AD6" s="2"/>
      <c r="AE6" s="3">
        <f t="shared" si="1"/>
        <v>5</v>
      </c>
      <c r="AF6" s="3">
        <f t="shared" si="1"/>
        <v>1</v>
      </c>
      <c r="AG6" s="3">
        <f t="shared" si="1"/>
        <v>1</v>
      </c>
      <c r="AH6" s="3">
        <f t="shared" si="1"/>
        <v>1</v>
      </c>
      <c r="AI6" s="3">
        <f t="shared" si="1"/>
        <v>1</v>
      </c>
      <c r="AJ6" s="3">
        <f t="shared" si="1"/>
        <v>1</v>
      </c>
      <c r="AK6" s="4" t="str">
        <f>AL22</f>
        <v>35 five</v>
      </c>
      <c r="AL6" s="5">
        <v>5</v>
      </c>
      <c r="AM6" s="5">
        <v>1</v>
      </c>
      <c r="AN6" s="5">
        <v>1</v>
      </c>
      <c r="AO6" s="5">
        <v>1</v>
      </c>
      <c r="AP6" s="5">
        <v>1</v>
      </c>
      <c r="AQ6" s="5">
        <v>1</v>
      </c>
      <c r="AR6" s="2"/>
      <c r="AS6" s="18">
        <v>5</v>
      </c>
      <c r="AT6" s="18">
        <v>1</v>
      </c>
      <c r="AU6" s="18">
        <v>1</v>
      </c>
      <c r="AV6" s="18">
        <v>1</v>
      </c>
      <c r="AW6" s="18">
        <v>1</v>
      </c>
      <c r="AX6" s="18">
        <v>1</v>
      </c>
      <c r="AY6" s="29"/>
      <c r="AZ6" s="18">
        <v>5</v>
      </c>
      <c r="BA6" s="5">
        <v>1</v>
      </c>
      <c r="BB6" s="5">
        <v>1</v>
      </c>
      <c r="BC6" s="5">
        <v>1</v>
      </c>
      <c r="BD6" s="5">
        <v>1</v>
      </c>
      <c r="BE6" s="5">
        <v>1</v>
      </c>
    </row>
    <row r="7" spans="1:57" ht="14.25" hidden="1" customHeight="1">
      <c r="A7" s="6"/>
      <c r="B7" s="6"/>
      <c r="C7" s="6"/>
      <c r="D7" s="6"/>
      <c r="E7" s="6"/>
      <c r="F7" s="6"/>
      <c r="G7" s="106"/>
      <c r="H7" s="76" t="str">
        <f>I27</f>
        <v>6 ਚੰਬਾ ਰਾਮ ਚਤਰੱਥ</v>
      </c>
      <c r="I7" s="73" t="s">
        <v>980</v>
      </c>
      <c r="J7" s="5" t="s">
        <v>311</v>
      </c>
      <c r="K7" s="5">
        <v>1</v>
      </c>
      <c r="L7" s="5">
        <v>1</v>
      </c>
      <c r="M7" s="5">
        <v>1</v>
      </c>
      <c r="N7" s="5">
        <v>1</v>
      </c>
      <c r="O7" s="80" t="s">
        <v>1274</v>
      </c>
      <c r="P7" s="73" t="s">
        <v>985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2">
        <v>2</v>
      </c>
      <c r="W7" s="73" t="s">
        <v>986</v>
      </c>
      <c r="X7" s="5">
        <v>1</v>
      </c>
      <c r="Y7" s="5">
        <v>1</v>
      </c>
      <c r="Z7" s="5">
        <v>1</v>
      </c>
      <c r="AA7" s="5">
        <v>1</v>
      </c>
      <c r="AB7" s="5">
        <v>1</v>
      </c>
      <c r="AC7" s="2">
        <v>2</v>
      </c>
      <c r="AD7" s="2"/>
      <c r="AE7" s="6"/>
      <c r="AF7" s="6"/>
      <c r="AG7" s="6"/>
      <c r="AH7" s="6"/>
      <c r="AI7" s="6"/>
      <c r="AJ7" s="6"/>
      <c r="AK7" s="4" t="str">
        <f>AL27</f>
        <v>36 six</v>
      </c>
      <c r="AL7" s="73" t="s">
        <v>907</v>
      </c>
      <c r="AM7" s="5">
        <v>1</v>
      </c>
      <c r="AN7" s="5">
        <v>1</v>
      </c>
      <c r="AO7" s="5">
        <v>1</v>
      </c>
      <c r="AP7" s="5">
        <v>1</v>
      </c>
      <c r="AQ7" s="5">
        <v>1</v>
      </c>
      <c r="AR7" s="2"/>
      <c r="AS7" s="17" t="s">
        <v>680</v>
      </c>
      <c r="AT7" s="18">
        <v>1</v>
      </c>
      <c r="AU7" s="18">
        <v>1</v>
      </c>
      <c r="AV7" s="18">
        <v>1</v>
      </c>
      <c r="AW7" s="18">
        <v>1</v>
      </c>
      <c r="AX7" s="18">
        <v>1</v>
      </c>
      <c r="AY7" s="29"/>
      <c r="AZ7" s="17" t="s">
        <v>85</v>
      </c>
      <c r="BA7" s="5">
        <v>1</v>
      </c>
      <c r="BB7" s="5">
        <v>1</v>
      </c>
      <c r="BC7" s="5">
        <v>1</v>
      </c>
      <c r="BD7" s="5">
        <v>1</v>
      </c>
      <c r="BE7" s="5">
        <v>1</v>
      </c>
    </row>
    <row r="8" spans="1:57" ht="14.25" hidden="1" customHeight="1">
      <c r="A8" s="6"/>
      <c r="B8" s="6"/>
      <c r="C8" s="6"/>
      <c r="D8" s="6"/>
      <c r="E8" s="6"/>
      <c r="F8" s="6"/>
      <c r="G8" s="106"/>
      <c r="H8" s="76" t="str">
        <f>I32</f>
        <v>7 ਓਮ ਪ੍ਰਕਾਸ ਚਤਰੱਥ</v>
      </c>
      <c r="I8" s="5" t="s">
        <v>988</v>
      </c>
      <c r="J8" s="5" t="s">
        <v>989</v>
      </c>
      <c r="K8" s="5" t="s">
        <v>423</v>
      </c>
      <c r="L8" s="5">
        <v>1</v>
      </c>
      <c r="M8" s="5">
        <v>1</v>
      </c>
      <c r="N8" s="5">
        <v>1</v>
      </c>
      <c r="O8" s="5">
        <v>1</v>
      </c>
      <c r="P8" s="5">
        <v>7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2">
        <v>2</v>
      </c>
      <c r="W8" s="5">
        <v>7</v>
      </c>
      <c r="X8" s="5">
        <v>1</v>
      </c>
      <c r="Y8" s="5">
        <v>1</v>
      </c>
      <c r="Z8" s="5">
        <v>1</v>
      </c>
      <c r="AA8" s="5">
        <v>1</v>
      </c>
      <c r="AB8" s="5">
        <v>1</v>
      </c>
      <c r="AC8" s="2">
        <v>2</v>
      </c>
      <c r="AD8" s="2"/>
      <c r="AE8" s="6"/>
      <c r="AF8" s="6"/>
      <c r="AG8" s="6"/>
      <c r="AH8" s="6"/>
      <c r="AI8" s="6"/>
      <c r="AJ8" s="6"/>
      <c r="AK8" s="4" t="str">
        <f>AL32</f>
        <v>37 seven</v>
      </c>
      <c r="AL8" s="5">
        <v>7</v>
      </c>
      <c r="AM8" s="5">
        <v>1</v>
      </c>
      <c r="AN8" s="5">
        <v>1</v>
      </c>
      <c r="AO8" s="5">
        <v>1</v>
      </c>
      <c r="AP8" s="5">
        <v>1</v>
      </c>
      <c r="AQ8" s="5">
        <v>1</v>
      </c>
      <c r="AR8" s="2"/>
      <c r="AS8" s="18">
        <v>7</v>
      </c>
      <c r="AT8" s="18">
        <v>1</v>
      </c>
      <c r="AU8" s="18">
        <v>1</v>
      </c>
      <c r="AV8" s="18">
        <v>1</v>
      </c>
      <c r="AW8" s="18">
        <v>1</v>
      </c>
      <c r="AX8" s="18">
        <v>1</v>
      </c>
      <c r="AY8" s="29"/>
      <c r="AZ8" s="18">
        <v>7</v>
      </c>
      <c r="BA8" s="5">
        <v>1</v>
      </c>
      <c r="BB8" s="5">
        <v>1</v>
      </c>
      <c r="BC8" s="5">
        <v>1</v>
      </c>
      <c r="BD8" s="5">
        <v>1</v>
      </c>
      <c r="BE8" s="5">
        <v>1</v>
      </c>
    </row>
    <row r="9" spans="1:57" ht="14.25" hidden="1" customHeight="1">
      <c r="A9" s="6"/>
      <c r="B9" s="6"/>
      <c r="C9" s="6"/>
      <c r="D9" s="6"/>
      <c r="E9" s="6"/>
      <c r="F9" s="6"/>
      <c r="G9" s="106"/>
      <c r="H9" s="76" t="str">
        <f>I37</f>
        <v>8 ਹਰੀ ਚੰਦ ਵਿਸਾਖਾ ਰਾਮ</v>
      </c>
      <c r="I9" s="5" t="s">
        <v>124</v>
      </c>
      <c r="J9" s="5" t="s">
        <v>491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8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2">
        <v>2</v>
      </c>
      <c r="W9" s="5">
        <v>8</v>
      </c>
      <c r="X9" s="5">
        <v>1</v>
      </c>
      <c r="Y9" s="5">
        <v>1</v>
      </c>
      <c r="Z9" s="5">
        <v>1</v>
      </c>
      <c r="AA9" s="5">
        <v>1</v>
      </c>
      <c r="AB9" s="5">
        <v>1</v>
      </c>
      <c r="AC9" s="2">
        <v>2</v>
      </c>
      <c r="AD9" s="2"/>
      <c r="AE9" s="6"/>
      <c r="AF9" s="6"/>
      <c r="AG9" s="6"/>
      <c r="AH9" s="6"/>
      <c r="AI9" s="6"/>
      <c r="AJ9" s="6"/>
      <c r="AK9" s="4" t="str">
        <f>AL37</f>
        <v>38 eight</v>
      </c>
      <c r="AL9" s="5">
        <v>8</v>
      </c>
      <c r="AM9" s="5">
        <v>1</v>
      </c>
      <c r="AN9" s="5">
        <v>1</v>
      </c>
      <c r="AO9" s="5">
        <v>1</v>
      </c>
      <c r="AP9" s="5">
        <v>1</v>
      </c>
      <c r="AQ9" s="5">
        <v>1</v>
      </c>
      <c r="AR9" s="2"/>
      <c r="AS9" s="18">
        <v>8</v>
      </c>
      <c r="AT9" s="18">
        <v>1</v>
      </c>
      <c r="AU9" s="18">
        <v>1</v>
      </c>
      <c r="AV9" s="18">
        <v>1</v>
      </c>
      <c r="AW9" s="18">
        <v>1</v>
      </c>
      <c r="AX9" s="18">
        <v>1</v>
      </c>
      <c r="AY9" s="29"/>
      <c r="AZ9" s="18">
        <v>8</v>
      </c>
      <c r="BA9" s="5">
        <v>1</v>
      </c>
      <c r="BB9" s="5">
        <v>1</v>
      </c>
      <c r="BC9" s="5">
        <v>1</v>
      </c>
      <c r="BD9" s="5">
        <v>1</v>
      </c>
      <c r="BE9" s="5">
        <v>1</v>
      </c>
    </row>
    <row r="10" spans="1:57" ht="14.25" customHeight="1">
      <c r="A10" s="6"/>
      <c r="B10" s="6"/>
      <c r="C10" s="6"/>
      <c r="D10" s="6"/>
      <c r="E10" s="6"/>
      <c r="F10" s="6"/>
      <c r="G10" s="106"/>
      <c r="H10" s="76" t="str">
        <f>I42</f>
        <v>9 nine</v>
      </c>
      <c r="I10" s="5">
        <v>9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9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2">
        <v>2</v>
      </c>
      <c r="W10" s="5">
        <v>9</v>
      </c>
      <c r="X10" s="5">
        <v>1</v>
      </c>
      <c r="Y10" s="5">
        <v>1</v>
      </c>
      <c r="Z10" s="5">
        <v>1</v>
      </c>
      <c r="AA10" s="5">
        <v>1</v>
      </c>
      <c r="AB10" s="5">
        <v>1</v>
      </c>
      <c r="AC10" s="2">
        <v>2</v>
      </c>
      <c r="AD10" s="2"/>
      <c r="AE10" s="6"/>
      <c r="AF10" s="6"/>
      <c r="AG10" s="6"/>
      <c r="AH10" s="6"/>
      <c r="AI10" s="6"/>
      <c r="AJ10" s="6"/>
      <c r="AK10" s="4" t="str">
        <f>AL42</f>
        <v>39 nine</v>
      </c>
      <c r="AL10" s="5">
        <v>9</v>
      </c>
      <c r="AM10" s="5">
        <v>1</v>
      </c>
      <c r="AN10" s="5">
        <v>1</v>
      </c>
      <c r="AO10" s="5">
        <v>1</v>
      </c>
      <c r="AP10" s="5">
        <v>1</v>
      </c>
      <c r="AQ10" s="5">
        <v>1</v>
      </c>
      <c r="AR10" s="2"/>
      <c r="AS10" s="18">
        <v>9</v>
      </c>
      <c r="AT10" s="18">
        <v>1</v>
      </c>
      <c r="AU10" s="18">
        <v>1</v>
      </c>
      <c r="AV10" s="18">
        <v>1</v>
      </c>
      <c r="AW10" s="18">
        <v>1</v>
      </c>
      <c r="AX10" s="18">
        <v>1</v>
      </c>
      <c r="AY10" s="29"/>
      <c r="AZ10" s="18">
        <v>9</v>
      </c>
      <c r="BA10" s="5">
        <v>1</v>
      </c>
      <c r="BB10" s="5">
        <v>1</v>
      </c>
      <c r="BC10" s="5">
        <v>1</v>
      </c>
      <c r="BD10" s="5">
        <v>1</v>
      </c>
      <c r="BE10" s="5">
        <v>1</v>
      </c>
    </row>
    <row r="11" spans="1:57" ht="14.25" customHeight="1">
      <c r="A11" s="7" t="s">
        <v>13</v>
      </c>
      <c r="B11" s="7" t="s">
        <v>14</v>
      </c>
      <c r="C11" s="7" t="s">
        <v>15</v>
      </c>
      <c r="D11" s="7" t="s">
        <v>16</v>
      </c>
      <c r="E11" s="7" t="s">
        <v>17</v>
      </c>
      <c r="F11" s="7" t="s">
        <v>18</v>
      </c>
      <c r="G11" s="107"/>
      <c r="H11" s="76" t="str">
        <f>I47</f>
        <v>10 ten</v>
      </c>
      <c r="I11" s="5">
        <v>10</v>
      </c>
      <c r="J11" s="5">
        <v>1</v>
      </c>
      <c r="K11" s="5">
        <v>1</v>
      </c>
      <c r="L11" s="5">
        <v>1</v>
      </c>
      <c r="M11" s="5">
        <v>1</v>
      </c>
      <c r="N11" s="5">
        <v>1</v>
      </c>
      <c r="O11" s="5">
        <v>1</v>
      </c>
      <c r="P11" s="5">
        <v>10</v>
      </c>
      <c r="Q11" s="5">
        <v>1</v>
      </c>
      <c r="R11" s="5">
        <v>1</v>
      </c>
      <c r="S11" s="5">
        <v>1</v>
      </c>
      <c r="T11" s="5">
        <v>1</v>
      </c>
      <c r="U11" s="5">
        <v>1</v>
      </c>
      <c r="V11" s="2">
        <v>2</v>
      </c>
      <c r="W11" s="5">
        <v>10</v>
      </c>
      <c r="X11" s="5">
        <v>1</v>
      </c>
      <c r="Y11" s="5">
        <v>1</v>
      </c>
      <c r="Z11" s="5">
        <v>1</v>
      </c>
      <c r="AA11" s="5">
        <v>1</v>
      </c>
      <c r="AB11" s="5">
        <v>1</v>
      </c>
      <c r="AC11" s="2">
        <v>2</v>
      </c>
      <c r="AD11" s="2"/>
      <c r="AE11" s="7" t="s">
        <v>13</v>
      </c>
      <c r="AF11" s="7" t="s">
        <v>14</v>
      </c>
      <c r="AG11" s="7" t="s">
        <v>15</v>
      </c>
      <c r="AH11" s="7" t="s">
        <v>16</v>
      </c>
      <c r="AI11" s="7" t="s">
        <v>17</v>
      </c>
      <c r="AJ11" s="7" t="s">
        <v>18</v>
      </c>
      <c r="AK11" s="4" t="str">
        <f>AL47</f>
        <v>40 ten</v>
      </c>
      <c r="AL11" s="5">
        <v>10</v>
      </c>
      <c r="AM11" s="5">
        <v>1</v>
      </c>
      <c r="AN11" s="5">
        <v>1</v>
      </c>
      <c r="AO11" s="5">
        <v>1</v>
      </c>
      <c r="AP11" s="5">
        <v>1</v>
      </c>
      <c r="AQ11" s="5">
        <v>1</v>
      </c>
      <c r="AR11" s="2"/>
      <c r="AS11" s="18">
        <v>10</v>
      </c>
      <c r="AT11" s="18">
        <v>1</v>
      </c>
      <c r="AU11" s="18">
        <v>1</v>
      </c>
      <c r="AV11" s="18">
        <v>1</v>
      </c>
      <c r="AW11" s="18">
        <v>1</v>
      </c>
      <c r="AX11" s="18">
        <v>1</v>
      </c>
      <c r="AY11" s="29"/>
      <c r="AZ11" s="18">
        <v>10</v>
      </c>
      <c r="BA11" s="5">
        <v>1</v>
      </c>
      <c r="BB11" s="5">
        <v>1</v>
      </c>
      <c r="BC11" s="5">
        <v>1</v>
      </c>
      <c r="BD11" s="5">
        <v>1</v>
      </c>
      <c r="BE11" s="5">
        <v>1</v>
      </c>
    </row>
    <row r="12" spans="1:57" ht="14.25" customHeight="1">
      <c r="A12" s="8" t="str">
        <f t="shared" ref="A12:F16" si="3">IF(A2&lt;100,"",A2)</f>
        <v>2 ਭਗਵਾਨ ਦਾਸ ਬਘੇਲਾ ਰਾਮ</v>
      </c>
      <c r="B12" s="8" t="str">
        <f t="shared" si="3"/>
        <v>ਪ੍ਰਕਾਸ਼ ਰਾਣੀ</v>
      </c>
      <c r="C12" s="8" t="str">
        <f t="shared" si="3"/>
        <v/>
      </c>
      <c r="D12" s="8" t="str">
        <f t="shared" si="3"/>
        <v/>
      </c>
      <c r="E12" s="8" t="str">
        <f t="shared" si="3"/>
        <v/>
      </c>
      <c r="F12" s="8" t="str">
        <f t="shared" si="3"/>
        <v/>
      </c>
      <c r="G12" s="107"/>
      <c r="H12" s="76" t="str">
        <f>P2</f>
        <v>11 eleven</v>
      </c>
      <c r="I12" s="73" t="s">
        <v>981</v>
      </c>
      <c r="J12" s="5" t="s">
        <v>92</v>
      </c>
      <c r="K12" s="5">
        <v>1</v>
      </c>
      <c r="L12" s="5">
        <v>1</v>
      </c>
      <c r="M12" s="5">
        <v>1</v>
      </c>
      <c r="N12" s="5">
        <v>1</v>
      </c>
      <c r="O12" s="80" t="s">
        <v>1434</v>
      </c>
      <c r="P12" s="73" t="s">
        <v>993</v>
      </c>
      <c r="Q12" s="5">
        <v>1</v>
      </c>
      <c r="R12" s="5">
        <v>1</v>
      </c>
      <c r="S12" s="5">
        <v>1</v>
      </c>
      <c r="T12" s="5">
        <v>1</v>
      </c>
      <c r="U12" s="5">
        <v>1</v>
      </c>
      <c r="V12" s="2">
        <v>2</v>
      </c>
      <c r="W12" s="73" t="s">
        <v>994</v>
      </c>
      <c r="X12" s="5">
        <v>1</v>
      </c>
      <c r="Y12" s="5">
        <v>1</v>
      </c>
      <c r="Z12" s="5">
        <v>1</v>
      </c>
      <c r="AA12" s="5">
        <v>1</v>
      </c>
      <c r="AB12" s="5">
        <v>1</v>
      </c>
      <c r="AC12" s="2">
        <v>2</v>
      </c>
      <c r="AD12" s="2"/>
      <c r="AE12" s="8" t="str">
        <f t="shared" ref="AE12:AJ16" si="4">IF(AE2&lt;100,"",AE2)</f>
        <v>31 one</v>
      </c>
      <c r="AF12" s="8" t="str">
        <f t="shared" si="4"/>
        <v/>
      </c>
      <c r="AG12" s="8" t="str">
        <f t="shared" si="4"/>
        <v/>
      </c>
      <c r="AH12" s="8" t="str">
        <f t="shared" si="4"/>
        <v/>
      </c>
      <c r="AI12" s="8" t="str">
        <f t="shared" si="4"/>
        <v/>
      </c>
      <c r="AJ12" s="8" t="str">
        <f t="shared" si="4"/>
        <v/>
      </c>
      <c r="AK12" s="4" t="str">
        <f>AS2</f>
        <v>41 eleven</v>
      </c>
      <c r="AL12" s="73" t="s">
        <v>909</v>
      </c>
      <c r="AM12" s="5">
        <v>1</v>
      </c>
      <c r="AN12" s="5">
        <v>1</v>
      </c>
      <c r="AO12" s="5">
        <v>1</v>
      </c>
      <c r="AP12" s="5">
        <v>1</v>
      </c>
      <c r="AQ12" s="5">
        <v>1</v>
      </c>
      <c r="AR12" s="2"/>
      <c r="AS12" s="17" t="s">
        <v>698</v>
      </c>
      <c r="AT12" s="18">
        <v>1</v>
      </c>
      <c r="AU12" s="18">
        <v>1</v>
      </c>
      <c r="AV12" s="18">
        <v>1</v>
      </c>
      <c r="AW12" s="18">
        <v>1</v>
      </c>
      <c r="AX12" s="18">
        <v>1</v>
      </c>
      <c r="AY12" s="29"/>
      <c r="AZ12" s="17" t="s">
        <v>123</v>
      </c>
      <c r="BA12" s="5">
        <v>1</v>
      </c>
      <c r="BB12" s="5">
        <v>1</v>
      </c>
      <c r="BC12" s="5">
        <v>1</v>
      </c>
      <c r="BD12" s="5">
        <v>1</v>
      </c>
      <c r="BE12" s="5">
        <v>1</v>
      </c>
    </row>
    <row r="13" spans="1:57" ht="14.25" customHeight="1">
      <c r="A13" s="8" t="str">
        <f t="shared" si="3"/>
        <v>ਕ੍ਰਿਸ਼ਨ ਲਾਲ</v>
      </c>
      <c r="B13" s="8" t="str">
        <f t="shared" si="3"/>
        <v>ਗੁਰਮੀਤ ਰਾਣੀ</v>
      </c>
      <c r="C13" s="8" t="str">
        <f t="shared" si="3"/>
        <v>ਗੁਰਪ੍ਰੀਤ ਕੰਬੋਜ</v>
      </c>
      <c r="D13" s="8" t="str">
        <f t="shared" si="3"/>
        <v/>
      </c>
      <c r="E13" s="8" t="str">
        <f t="shared" si="3"/>
        <v/>
      </c>
      <c r="F13" s="8" t="str">
        <f t="shared" si="3"/>
        <v/>
      </c>
      <c r="G13" s="107"/>
      <c r="H13" s="76" t="str">
        <f>P7</f>
        <v xml:space="preserve"> 12 twelve</v>
      </c>
      <c r="I13" s="5" t="s">
        <v>335</v>
      </c>
      <c r="J13" s="213" t="s">
        <v>252</v>
      </c>
      <c r="K13" s="5">
        <v>1</v>
      </c>
      <c r="L13" s="5">
        <v>1</v>
      </c>
      <c r="M13" s="5">
        <v>1</v>
      </c>
      <c r="N13" s="5">
        <v>1</v>
      </c>
      <c r="O13" s="5">
        <v>1</v>
      </c>
      <c r="P13" s="5">
        <v>12</v>
      </c>
      <c r="Q13" s="5">
        <v>1</v>
      </c>
      <c r="R13" s="5">
        <v>1</v>
      </c>
      <c r="S13" s="5">
        <v>1</v>
      </c>
      <c r="T13" s="5">
        <v>1</v>
      </c>
      <c r="U13" s="5">
        <v>1</v>
      </c>
      <c r="V13" s="2">
        <v>2</v>
      </c>
      <c r="W13" s="5">
        <v>12</v>
      </c>
      <c r="X13" s="5">
        <v>1</v>
      </c>
      <c r="Y13" s="5">
        <v>1</v>
      </c>
      <c r="Z13" s="5">
        <v>1</v>
      </c>
      <c r="AA13" s="5">
        <v>1</v>
      </c>
      <c r="AB13" s="5">
        <v>1</v>
      </c>
      <c r="AC13" s="2">
        <v>2</v>
      </c>
      <c r="AD13" s="2"/>
      <c r="AE13" s="8" t="str">
        <f t="shared" si="4"/>
        <v/>
      </c>
      <c r="AF13" s="8" t="str">
        <f t="shared" si="4"/>
        <v/>
      </c>
      <c r="AG13" s="8" t="str">
        <f t="shared" si="4"/>
        <v/>
      </c>
      <c r="AH13" s="8" t="str">
        <f t="shared" si="4"/>
        <v/>
      </c>
      <c r="AI13" s="8" t="str">
        <f t="shared" si="4"/>
        <v/>
      </c>
      <c r="AJ13" s="8" t="str">
        <f t="shared" si="4"/>
        <v/>
      </c>
      <c r="AK13" s="4" t="str">
        <f>AS7</f>
        <v>42 twelve</v>
      </c>
      <c r="AL13" s="5">
        <v>12</v>
      </c>
      <c r="AM13" s="5">
        <v>1</v>
      </c>
      <c r="AN13" s="5">
        <v>1</v>
      </c>
      <c r="AO13" s="5">
        <v>1</v>
      </c>
      <c r="AP13" s="5">
        <v>1</v>
      </c>
      <c r="AQ13" s="5">
        <v>1</v>
      </c>
      <c r="AR13" s="2"/>
      <c r="AS13" s="18">
        <v>12</v>
      </c>
      <c r="AT13" s="18">
        <v>1</v>
      </c>
      <c r="AU13" s="18">
        <v>1</v>
      </c>
      <c r="AV13" s="18">
        <v>1</v>
      </c>
      <c r="AW13" s="18">
        <v>1</v>
      </c>
      <c r="AX13" s="18">
        <v>1</v>
      </c>
      <c r="AY13" s="29"/>
      <c r="AZ13" s="18">
        <v>12</v>
      </c>
      <c r="BA13" s="5">
        <v>1</v>
      </c>
      <c r="BB13" s="5">
        <v>1</v>
      </c>
      <c r="BC13" s="5">
        <v>1</v>
      </c>
      <c r="BD13" s="5">
        <v>1</v>
      </c>
      <c r="BE13" s="5">
        <v>1</v>
      </c>
    </row>
    <row r="14" spans="1:57" ht="14.25" customHeight="1">
      <c r="A14" s="8" t="str">
        <f t="shared" si="3"/>
        <v>ਚੰਦਰ ਪ੍ਰਕਾਸ਼</v>
      </c>
      <c r="B14" s="8" t="str">
        <f t="shared" si="3"/>
        <v>ਪ੍ਰਵੀਨ ਰਾਣੀ</v>
      </c>
      <c r="C14" s="8" t="str">
        <f t="shared" si="3"/>
        <v/>
      </c>
      <c r="D14" s="8" t="str">
        <f t="shared" si="3"/>
        <v/>
      </c>
      <c r="E14" s="8" t="str">
        <f t="shared" si="3"/>
        <v/>
      </c>
      <c r="F14" s="8" t="str">
        <f t="shared" si="3"/>
        <v/>
      </c>
      <c r="G14" s="107"/>
      <c r="H14" s="76" t="str">
        <f>P12</f>
        <v>13 thirteen</v>
      </c>
      <c r="I14" s="5">
        <v>13</v>
      </c>
      <c r="J14" s="5">
        <v>1</v>
      </c>
      <c r="K14" s="5">
        <v>1</v>
      </c>
      <c r="L14" s="5">
        <v>1</v>
      </c>
      <c r="M14" s="5">
        <v>1</v>
      </c>
      <c r="N14" s="5">
        <v>1</v>
      </c>
      <c r="O14" s="5">
        <v>1</v>
      </c>
      <c r="P14" s="5">
        <v>13</v>
      </c>
      <c r="Q14" s="5">
        <v>1</v>
      </c>
      <c r="R14" s="5">
        <v>1</v>
      </c>
      <c r="S14" s="5">
        <v>1</v>
      </c>
      <c r="T14" s="5">
        <v>1</v>
      </c>
      <c r="U14" s="5">
        <v>1</v>
      </c>
      <c r="V14" s="2">
        <v>2</v>
      </c>
      <c r="W14" s="5">
        <v>13</v>
      </c>
      <c r="X14" s="5">
        <v>1</v>
      </c>
      <c r="Y14" s="5">
        <v>1</v>
      </c>
      <c r="Z14" s="5">
        <v>1</v>
      </c>
      <c r="AA14" s="5">
        <v>1</v>
      </c>
      <c r="AB14" s="5">
        <v>1</v>
      </c>
      <c r="AC14" s="2">
        <v>2</v>
      </c>
      <c r="AD14" s="2"/>
      <c r="AE14" s="8" t="str">
        <f t="shared" si="4"/>
        <v/>
      </c>
      <c r="AF14" s="8" t="str">
        <f t="shared" si="4"/>
        <v/>
      </c>
      <c r="AG14" s="8" t="str">
        <f t="shared" si="4"/>
        <v/>
      </c>
      <c r="AH14" s="8" t="str">
        <f t="shared" si="4"/>
        <v/>
      </c>
      <c r="AI14" s="8" t="str">
        <f t="shared" si="4"/>
        <v/>
      </c>
      <c r="AJ14" s="8" t="str">
        <f t="shared" si="4"/>
        <v/>
      </c>
      <c r="AK14" s="4" t="str">
        <f>AS12</f>
        <v>43 thirteen</v>
      </c>
      <c r="AL14" s="5">
        <v>13</v>
      </c>
      <c r="AM14" s="5">
        <v>1</v>
      </c>
      <c r="AN14" s="5">
        <v>1</v>
      </c>
      <c r="AO14" s="5">
        <v>1</v>
      </c>
      <c r="AP14" s="5">
        <v>1</v>
      </c>
      <c r="AQ14" s="5">
        <v>1</v>
      </c>
      <c r="AR14" s="2"/>
      <c r="AS14" s="18">
        <v>13</v>
      </c>
      <c r="AT14" s="18">
        <v>1</v>
      </c>
      <c r="AU14" s="18">
        <v>1</v>
      </c>
      <c r="AV14" s="18">
        <v>1</v>
      </c>
      <c r="AW14" s="18">
        <v>1</v>
      </c>
      <c r="AX14" s="18">
        <v>1</v>
      </c>
      <c r="AY14" s="29"/>
      <c r="AZ14" s="18">
        <v>13</v>
      </c>
      <c r="BA14" s="5">
        <v>1</v>
      </c>
      <c r="BB14" s="5">
        <v>1</v>
      </c>
      <c r="BC14" s="5">
        <v>1</v>
      </c>
      <c r="BD14" s="5">
        <v>1</v>
      </c>
      <c r="BE14" s="5">
        <v>1</v>
      </c>
    </row>
    <row r="15" spans="1:57" ht="14.25" customHeight="1">
      <c r="A15" s="8" t="str">
        <f t="shared" si="3"/>
        <v/>
      </c>
      <c r="B15" s="8" t="str">
        <f t="shared" si="3"/>
        <v/>
      </c>
      <c r="C15" s="8" t="str">
        <f t="shared" si="3"/>
        <v/>
      </c>
      <c r="D15" s="8" t="str">
        <f t="shared" si="3"/>
        <v/>
      </c>
      <c r="E15" s="8" t="str">
        <f t="shared" si="3"/>
        <v/>
      </c>
      <c r="F15" s="8" t="str">
        <f t="shared" si="3"/>
        <v/>
      </c>
      <c r="G15" s="107"/>
      <c r="H15" s="76" t="str">
        <f>P17</f>
        <v>14 fourteen</v>
      </c>
      <c r="I15" s="5">
        <v>14</v>
      </c>
      <c r="J15" s="5">
        <v>1</v>
      </c>
      <c r="K15" s="5">
        <v>1</v>
      </c>
      <c r="L15" s="5">
        <v>1</v>
      </c>
      <c r="M15" s="5">
        <v>1</v>
      </c>
      <c r="N15" s="5">
        <v>1</v>
      </c>
      <c r="O15" s="5">
        <v>1</v>
      </c>
      <c r="P15" s="5">
        <v>14</v>
      </c>
      <c r="Q15" s="5">
        <v>1</v>
      </c>
      <c r="R15" s="5">
        <v>1</v>
      </c>
      <c r="S15" s="5">
        <v>1</v>
      </c>
      <c r="T15" s="5">
        <v>1</v>
      </c>
      <c r="U15" s="5">
        <v>1</v>
      </c>
      <c r="V15" s="2">
        <v>2</v>
      </c>
      <c r="W15" s="5">
        <v>14</v>
      </c>
      <c r="X15" s="5">
        <v>1</v>
      </c>
      <c r="Y15" s="5">
        <v>1</v>
      </c>
      <c r="Z15" s="5">
        <v>1</v>
      </c>
      <c r="AA15" s="5">
        <v>1</v>
      </c>
      <c r="AB15" s="5">
        <v>1</v>
      </c>
      <c r="AC15" s="2">
        <v>2</v>
      </c>
      <c r="AD15" s="2"/>
      <c r="AE15" s="8" t="str">
        <f t="shared" si="4"/>
        <v/>
      </c>
      <c r="AF15" s="8" t="str">
        <f t="shared" si="4"/>
        <v/>
      </c>
      <c r="AG15" s="8" t="str">
        <f t="shared" si="4"/>
        <v/>
      </c>
      <c r="AH15" s="8" t="str">
        <f t="shared" si="4"/>
        <v/>
      </c>
      <c r="AI15" s="8" t="str">
        <f t="shared" si="4"/>
        <v/>
      </c>
      <c r="AJ15" s="8" t="str">
        <f t="shared" si="4"/>
        <v/>
      </c>
      <c r="AK15" s="4" t="str">
        <f>AS17</f>
        <v>44 fourteen</v>
      </c>
      <c r="AL15" s="5">
        <v>14</v>
      </c>
      <c r="AM15" s="5">
        <v>1</v>
      </c>
      <c r="AN15" s="5">
        <v>1</v>
      </c>
      <c r="AO15" s="5">
        <v>1</v>
      </c>
      <c r="AP15" s="5">
        <v>1</v>
      </c>
      <c r="AQ15" s="5">
        <v>1</v>
      </c>
      <c r="AR15" s="2"/>
      <c r="AS15" s="18">
        <v>14</v>
      </c>
      <c r="AT15" s="18">
        <v>1</v>
      </c>
      <c r="AU15" s="18">
        <v>1</v>
      </c>
      <c r="AV15" s="18">
        <v>1</v>
      </c>
      <c r="AW15" s="18">
        <v>1</v>
      </c>
      <c r="AX15" s="18">
        <v>1</v>
      </c>
      <c r="AY15" s="29"/>
      <c r="AZ15" s="18">
        <v>14</v>
      </c>
      <c r="BA15" s="5">
        <v>1</v>
      </c>
      <c r="BB15" s="5">
        <v>1</v>
      </c>
      <c r="BC15" s="5">
        <v>1</v>
      </c>
      <c r="BD15" s="5">
        <v>1</v>
      </c>
      <c r="BE15" s="5">
        <v>1</v>
      </c>
    </row>
    <row r="16" spans="1:57" ht="14.25" customHeight="1">
      <c r="A16" s="8" t="str">
        <f t="shared" si="3"/>
        <v/>
      </c>
      <c r="B16" s="8" t="str">
        <f t="shared" si="3"/>
        <v/>
      </c>
      <c r="C16" s="8" t="str">
        <f t="shared" si="3"/>
        <v/>
      </c>
      <c r="D16" s="8" t="str">
        <f t="shared" si="3"/>
        <v/>
      </c>
      <c r="E16" s="8" t="str">
        <f t="shared" si="3"/>
        <v/>
      </c>
      <c r="F16" s="8" t="str">
        <f t="shared" si="3"/>
        <v/>
      </c>
      <c r="G16" s="107"/>
      <c r="H16" s="76" t="str">
        <f>P22</f>
        <v>15 fifteen</v>
      </c>
      <c r="I16" s="5">
        <v>15</v>
      </c>
      <c r="J16" s="5">
        <v>1</v>
      </c>
      <c r="K16" s="5">
        <v>1</v>
      </c>
      <c r="L16" s="5">
        <v>1</v>
      </c>
      <c r="M16" s="5">
        <v>1</v>
      </c>
      <c r="N16" s="5">
        <v>1</v>
      </c>
      <c r="O16" s="5">
        <v>1</v>
      </c>
      <c r="P16" s="5">
        <v>15</v>
      </c>
      <c r="Q16" s="5">
        <v>1</v>
      </c>
      <c r="R16" s="5">
        <v>1</v>
      </c>
      <c r="S16" s="5">
        <v>1</v>
      </c>
      <c r="T16" s="5">
        <v>1</v>
      </c>
      <c r="U16" s="5">
        <v>1</v>
      </c>
      <c r="V16" s="2">
        <v>2</v>
      </c>
      <c r="W16" s="5">
        <v>15</v>
      </c>
      <c r="X16" s="5">
        <v>1</v>
      </c>
      <c r="Y16" s="5">
        <v>1</v>
      </c>
      <c r="Z16" s="5">
        <v>1</v>
      </c>
      <c r="AA16" s="5">
        <v>1</v>
      </c>
      <c r="AB16" s="5">
        <v>1</v>
      </c>
      <c r="AC16" s="2">
        <v>2</v>
      </c>
      <c r="AD16" s="2"/>
      <c r="AE16" s="8" t="str">
        <f t="shared" si="4"/>
        <v/>
      </c>
      <c r="AF16" s="8" t="str">
        <f t="shared" si="4"/>
        <v/>
      </c>
      <c r="AG16" s="8" t="str">
        <f t="shared" si="4"/>
        <v/>
      </c>
      <c r="AH16" s="8" t="str">
        <f t="shared" si="4"/>
        <v/>
      </c>
      <c r="AI16" s="8" t="str">
        <f t="shared" si="4"/>
        <v/>
      </c>
      <c r="AJ16" s="8" t="str">
        <f t="shared" si="4"/>
        <v/>
      </c>
      <c r="AK16" s="4" t="str">
        <f>AS22</f>
        <v>45 fifteen</v>
      </c>
      <c r="AL16" s="5">
        <v>15</v>
      </c>
      <c r="AM16" s="5">
        <v>1</v>
      </c>
      <c r="AN16" s="5">
        <v>1</v>
      </c>
      <c r="AO16" s="5">
        <v>1</v>
      </c>
      <c r="AP16" s="5">
        <v>1</v>
      </c>
      <c r="AQ16" s="5">
        <v>1</v>
      </c>
      <c r="AR16" s="2"/>
      <c r="AS16" s="18">
        <v>15</v>
      </c>
      <c r="AT16" s="18">
        <v>1</v>
      </c>
      <c r="AU16" s="18">
        <v>1</v>
      </c>
      <c r="AV16" s="18">
        <v>1</v>
      </c>
      <c r="AW16" s="18">
        <v>1</v>
      </c>
      <c r="AX16" s="18">
        <v>1</v>
      </c>
      <c r="AY16" s="29"/>
      <c r="AZ16" s="18">
        <v>15</v>
      </c>
      <c r="BA16" s="5">
        <v>1</v>
      </c>
      <c r="BB16" s="5">
        <v>1</v>
      </c>
      <c r="BC16" s="5">
        <v>1</v>
      </c>
      <c r="BD16" s="5">
        <v>1</v>
      </c>
      <c r="BE16" s="5">
        <v>1</v>
      </c>
    </row>
    <row r="17" spans="1:57" ht="14.25" customHeight="1" thickBot="1">
      <c r="A17" s="6"/>
      <c r="B17" s="6"/>
      <c r="C17" s="6"/>
      <c r="D17" s="6"/>
      <c r="E17" s="6"/>
      <c r="F17" s="6"/>
      <c r="G17" s="106"/>
      <c r="H17" s="76" t="str">
        <f>P27</f>
        <v>16 sixteen</v>
      </c>
      <c r="I17" s="73" t="s">
        <v>982</v>
      </c>
      <c r="J17" s="5" t="s">
        <v>94</v>
      </c>
      <c r="K17" s="5">
        <v>1</v>
      </c>
      <c r="L17" s="5">
        <v>1</v>
      </c>
      <c r="M17" s="5">
        <v>1</v>
      </c>
      <c r="N17" s="5">
        <v>1</v>
      </c>
      <c r="O17" s="80" t="s">
        <v>1433</v>
      </c>
      <c r="P17" s="73" t="s">
        <v>995</v>
      </c>
      <c r="Q17" s="5">
        <v>1</v>
      </c>
      <c r="R17" s="5">
        <v>1</v>
      </c>
      <c r="S17" s="5">
        <v>1</v>
      </c>
      <c r="T17" s="5">
        <v>1</v>
      </c>
      <c r="U17" s="5">
        <v>1</v>
      </c>
      <c r="V17" s="2">
        <v>2</v>
      </c>
      <c r="W17" s="73" t="s">
        <v>998</v>
      </c>
      <c r="X17" s="5">
        <v>1</v>
      </c>
      <c r="Y17" s="5">
        <v>1</v>
      </c>
      <c r="Z17" s="5">
        <v>1</v>
      </c>
      <c r="AA17" s="5">
        <v>1</v>
      </c>
      <c r="AB17" s="5">
        <v>1</v>
      </c>
      <c r="AC17" s="2">
        <v>2</v>
      </c>
      <c r="AD17" s="2"/>
      <c r="AE17" s="6"/>
      <c r="AF17" s="6"/>
      <c r="AG17" s="6"/>
      <c r="AH17" s="6"/>
      <c r="AI17" s="6"/>
      <c r="AJ17" s="6"/>
      <c r="AK17" s="4" t="str">
        <f>AS27</f>
        <v>46 sixteen</v>
      </c>
      <c r="AL17" s="73" t="s">
        <v>911</v>
      </c>
      <c r="AM17" s="5">
        <v>1</v>
      </c>
      <c r="AN17" s="5">
        <v>1</v>
      </c>
      <c r="AO17" s="5">
        <v>1</v>
      </c>
      <c r="AP17" s="5">
        <v>1</v>
      </c>
      <c r="AQ17" s="5">
        <v>1</v>
      </c>
      <c r="AR17" s="2"/>
      <c r="AS17" s="17" t="s">
        <v>707</v>
      </c>
      <c r="AT17" s="18">
        <v>1</v>
      </c>
      <c r="AU17" s="18">
        <v>1</v>
      </c>
      <c r="AV17" s="18">
        <v>1</v>
      </c>
      <c r="AW17" s="18">
        <v>1</v>
      </c>
      <c r="AX17" s="18">
        <v>1</v>
      </c>
      <c r="AY17" s="29"/>
      <c r="AZ17" s="17" t="s">
        <v>151</v>
      </c>
      <c r="BA17" s="5">
        <v>1</v>
      </c>
      <c r="BB17" s="5">
        <v>1</v>
      </c>
      <c r="BC17" s="5">
        <v>1</v>
      </c>
      <c r="BD17" s="5">
        <v>1</v>
      </c>
      <c r="BE17" s="5">
        <v>1</v>
      </c>
    </row>
    <row r="18" spans="1:57" ht="14.25" customHeight="1" thickBot="1">
      <c r="A18" s="6"/>
      <c r="B18" s="6"/>
      <c r="C18" s="113"/>
      <c r="D18" s="6"/>
      <c r="E18" s="6"/>
      <c r="F18" s="83"/>
      <c r="G18" s="110"/>
      <c r="H18" s="76" t="str">
        <f>P32</f>
        <v>17 seventeen</v>
      </c>
      <c r="I18" s="5" t="s">
        <v>374</v>
      </c>
      <c r="J18" s="213">
        <v>1</v>
      </c>
      <c r="K18" s="5">
        <v>1</v>
      </c>
      <c r="L18" s="5">
        <v>1</v>
      </c>
      <c r="M18" s="5">
        <v>1</v>
      </c>
      <c r="N18" s="5">
        <v>1</v>
      </c>
      <c r="O18" s="5">
        <v>1</v>
      </c>
      <c r="P18" s="5">
        <v>17</v>
      </c>
      <c r="Q18" s="5">
        <v>1</v>
      </c>
      <c r="R18" s="5">
        <v>1</v>
      </c>
      <c r="S18" s="5">
        <v>1</v>
      </c>
      <c r="T18" s="5">
        <v>1</v>
      </c>
      <c r="U18" s="5">
        <v>1</v>
      </c>
      <c r="V18" s="2">
        <v>2</v>
      </c>
      <c r="W18" s="5">
        <v>17</v>
      </c>
      <c r="X18" s="5">
        <v>1</v>
      </c>
      <c r="Y18" s="5">
        <v>1</v>
      </c>
      <c r="Z18" s="5">
        <v>1</v>
      </c>
      <c r="AA18" s="5">
        <v>1</v>
      </c>
      <c r="AB18" s="5">
        <v>1</v>
      </c>
      <c r="AC18" s="2">
        <v>2</v>
      </c>
      <c r="AD18" s="2"/>
      <c r="AE18" s="6"/>
      <c r="AF18" s="6"/>
      <c r="AG18" s="6"/>
      <c r="AH18" s="6"/>
      <c r="AI18" s="6"/>
      <c r="AJ18" s="6"/>
      <c r="AK18" s="4" t="str">
        <f>AS32</f>
        <v>47 seventeen</v>
      </c>
      <c r="AL18" s="5">
        <v>17</v>
      </c>
      <c r="AM18" s="5">
        <v>1</v>
      </c>
      <c r="AN18" s="5">
        <v>1</v>
      </c>
      <c r="AO18" s="5">
        <v>1</v>
      </c>
      <c r="AP18" s="5">
        <v>1</v>
      </c>
      <c r="AQ18" s="5">
        <v>1</v>
      </c>
      <c r="AR18" s="2"/>
      <c r="AS18" s="18">
        <v>17</v>
      </c>
      <c r="AT18" s="18">
        <v>1</v>
      </c>
      <c r="AU18" s="18">
        <v>1</v>
      </c>
      <c r="AV18" s="18">
        <v>1</v>
      </c>
      <c r="AW18" s="18">
        <v>1</v>
      </c>
      <c r="AX18" s="18">
        <v>1</v>
      </c>
      <c r="AY18" s="29"/>
      <c r="AZ18" s="18">
        <v>17</v>
      </c>
      <c r="BA18" s="5">
        <v>1</v>
      </c>
      <c r="BB18" s="5">
        <v>1</v>
      </c>
      <c r="BC18" s="5">
        <v>1</v>
      </c>
      <c r="BD18" s="5">
        <v>1</v>
      </c>
      <c r="BE18" s="5">
        <v>1</v>
      </c>
    </row>
    <row r="19" spans="1:57" ht="14.25" customHeight="1">
      <c r="A19" s="6"/>
      <c r="B19" s="6"/>
      <c r="C19" s="6"/>
      <c r="D19" s="6"/>
      <c r="E19" s="6"/>
      <c r="F19" s="83"/>
      <c r="G19" s="83"/>
      <c r="H19" s="76" t="str">
        <f>P37</f>
        <v>18 eighteen</v>
      </c>
      <c r="I19" s="5">
        <v>18</v>
      </c>
      <c r="J19" s="5">
        <v>1</v>
      </c>
      <c r="K19" s="5">
        <v>1</v>
      </c>
      <c r="L19" s="5">
        <v>1</v>
      </c>
      <c r="M19" s="5">
        <v>1</v>
      </c>
      <c r="N19" s="5">
        <v>1</v>
      </c>
      <c r="O19" s="5">
        <v>1</v>
      </c>
      <c r="P19" s="5">
        <v>18</v>
      </c>
      <c r="Q19" s="5">
        <v>1</v>
      </c>
      <c r="R19" s="5">
        <v>1</v>
      </c>
      <c r="S19" s="5">
        <v>1</v>
      </c>
      <c r="T19" s="5">
        <v>1</v>
      </c>
      <c r="U19" s="5">
        <v>1</v>
      </c>
      <c r="V19" s="2">
        <v>2</v>
      </c>
      <c r="W19" s="5">
        <v>18</v>
      </c>
      <c r="X19" s="5">
        <v>1</v>
      </c>
      <c r="Y19" s="5">
        <v>1</v>
      </c>
      <c r="Z19" s="5">
        <v>1</v>
      </c>
      <c r="AA19" s="5">
        <v>1</v>
      </c>
      <c r="AB19" s="5">
        <v>1</v>
      </c>
      <c r="AC19" s="2">
        <v>2</v>
      </c>
      <c r="AD19" s="2"/>
      <c r="AE19" s="2"/>
      <c r="AF19" s="2"/>
      <c r="AG19" s="2"/>
      <c r="AH19" s="2"/>
      <c r="AI19" s="2"/>
      <c r="AJ19" s="2"/>
      <c r="AK19" s="4" t="str">
        <f>AS37</f>
        <v>48 eighteen</v>
      </c>
      <c r="AL19" s="5">
        <v>18</v>
      </c>
      <c r="AM19" s="5">
        <v>1</v>
      </c>
      <c r="AN19" s="5">
        <v>1</v>
      </c>
      <c r="AO19" s="5">
        <v>1</v>
      </c>
      <c r="AP19" s="5">
        <v>1</v>
      </c>
      <c r="AQ19" s="5">
        <v>1</v>
      </c>
      <c r="AR19" s="2"/>
      <c r="AS19" s="18">
        <v>18</v>
      </c>
      <c r="AT19" s="18">
        <v>1</v>
      </c>
      <c r="AU19" s="18">
        <v>1</v>
      </c>
      <c r="AV19" s="18">
        <v>1</v>
      </c>
      <c r="AW19" s="18">
        <v>1</v>
      </c>
      <c r="AX19" s="18">
        <v>1</v>
      </c>
      <c r="AY19" s="29"/>
      <c r="AZ19" s="18">
        <v>18</v>
      </c>
      <c r="BA19" s="5">
        <v>1</v>
      </c>
      <c r="BB19" s="5">
        <v>1</v>
      </c>
      <c r="BC19" s="5">
        <v>1</v>
      </c>
      <c r="BD19" s="5">
        <v>1</v>
      </c>
      <c r="BE19" s="5">
        <v>1</v>
      </c>
    </row>
    <row r="20" spans="1:57" ht="14.25" customHeight="1">
      <c r="A20" s="2"/>
      <c r="B20" s="2"/>
      <c r="C20" s="2"/>
      <c r="D20" s="2"/>
      <c r="E20" s="2"/>
      <c r="F20" s="80"/>
      <c r="G20" s="80"/>
      <c r="H20" s="76" t="str">
        <f>P42</f>
        <v>19 niunteen</v>
      </c>
      <c r="I20" s="5">
        <v>19</v>
      </c>
      <c r="J20" s="5">
        <v>1</v>
      </c>
      <c r="K20" s="5">
        <v>1</v>
      </c>
      <c r="L20" s="5">
        <v>1</v>
      </c>
      <c r="M20" s="5">
        <v>1</v>
      </c>
      <c r="N20" s="5">
        <v>1</v>
      </c>
      <c r="O20" s="5">
        <v>1</v>
      </c>
      <c r="P20" s="5">
        <v>19</v>
      </c>
      <c r="Q20" s="5">
        <v>1</v>
      </c>
      <c r="R20" s="5">
        <v>1</v>
      </c>
      <c r="S20" s="5">
        <v>1</v>
      </c>
      <c r="T20" s="5">
        <v>1</v>
      </c>
      <c r="U20" s="5">
        <v>1</v>
      </c>
      <c r="V20" s="2">
        <v>2</v>
      </c>
      <c r="W20" s="5">
        <v>19</v>
      </c>
      <c r="X20" s="5">
        <v>1</v>
      </c>
      <c r="Y20" s="5">
        <v>1</v>
      </c>
      <c r="Z20" s="5">
        <v>1</v>
      </c>
      <c r="AA20" s="5">
        <v>1</v>
      </c>
      <c r="AB20" s="5">
        <v>1</v>
      </c>
      <c r="AC20" s="2">
        <v>2</v>
      </c>
      <c r="AD20" s="2"/>
      <c r="AE20" s="2"/>
      <c r="AF20" s="2"/>
      <c r="AG20" s="2"/>
      <c r="AH20" s="2"/>
      <c r="AI20" s="2"/>
      <c r="AJ20" s="2"/>
      <c r="AK20" s="4" t="str">
        <f>AS42</f>
        <v>49 niunteen</v>
      </c>
      <c r="AL20" s="5">
        <v>19</v>
      </c>
      <c r="AM20" s="5">
        <v>1</v>
      </c>
      <c r="AN20" s="5">
        <v>1</v>
      </c>
      <c r="AO20" s="5">
        <v>1</v>
      </c>
      <c r="AP20" s="5">
        <v>1</v>
      </c>
      <c r="AQ20" s="5">
        <v>1</v>
      </c>
      <c r="AR20" s="2"/>
      <c r="AS20" s="18">
        <v>19</v>
      </c>
      <c r="AT20" s="18">
        <v>1</v>
      </c>
      <c r="AU20" s="18">
        <v>1</v>
      </c>
      <c r="AV20" s="18">
        <v>1</v>
      </c>
      <c r="AW20" s="18">
        <v>1</v>
      </c>
      <c r="AX20" s="18">
        <v>1</v>
      </c>
      <c r="AY20" s="29"/>
      <c r="AZ20" s="18">
        <v>19</v>
      </c>
      <c r="BA20" s="5">
        <v>1</v>
      </c>
      <c r="BB20" s="5">
        <v>1</v>
      </c>
      <c r="BC20" s="5">
        <v>1</v>
      </c>
      <c r="BD20" s="5">
        <v>1</v>
      </c>
      <c r="BE20" s="5">
        <v>1</v>
      </c>
    </row>
    <row r="21" spans="1:57" ht="14.25" customHeight="1">
      <c r="A21" s="2"/>
      <c r="B21" s="2"/>
      <c r="C21" s="2"/>
      <c r="D21" s="2"/>
      <c r="E21" s="2"/>
      <c r="F21" s="80"/>
      <c r="G21" s="80"/>
      <c r="H21" s="76" t="str">
        <f>P47</f>
        <v>20 twenty</v>
      </c>
      <c r="I21" s="5">
        <v>20</v>
      </c>
      <c r="J21" s="5">
        <v>1</v>
      </c>
      <c r="K21" s="5">
        <v>1</v>
      </c>
      <c r="L21" s="5">
        <v>1</v>
      </c>
      <c r="M21" s="5">
        <v>1</v>
      </c>
      <c r="N21" s="5">
        <v>1</v>
      </c>
      <c r="O21" s="5">
        <v>1</v>
      </c>
      <c r="P21" s="5">
        <v>20</v>
      </c>
      <c r="Q21" s="5">
        <v>1</v>
      </c>
      <c r="R21" s="5">
        <v>1</v>
      </c>
      <c r="S21" s="5">
        <v>1</v>
      </c>
      <c r="T21" s="5">
        <v>1</v>
      </c>
      <c r="U21" s="5">
        <v>1</v>
      </c>
      <c r="V21" s="2">
        <v>2</v>
      </c>
      <c r="W21" s="5">
        <v>20</v>
      </c>
      <c r="X21" s="5">
        <v>1</v>
      </c>
      <c r="Y21" s="5">
        <v>1</v>
      </c>
      <c r="Z21" s="5">
        <v>1</v>
      </c>
      <c r="AA21" s="5">
        <v>1</v>
      </c>
      <c r="AB21" s="5">
        <v>1</v>
      </c>
      <c r="AC21" s="2">
        <v>2</v>
      </c>
      <c r="AD21" s="2"/>
      <c r="AE21" s="2"/>
      <c r="AF21" s="2"/>
      <c r="AG21" s="2"/>
      <c r="AH21" s="2"/>
      <c r="AI21" s="2"/>
      <c r="AJ21" s="2"/>
      <c r="AK21" s="4" t="str">
        <f>AS47</f>
        <v>50 twenty</v>
      </c>
      <c r="AL21" s="5">
        <v>20</v>
      </c>
      <c r="AM21" s="5">
        <v>1</v>
      </c>
      <c r="AN21" s="5">
        <v>1</v>
      </c>
      <c r="AO21" s="5">
        <v>1</v>
      </c>
      <c r="AP21" s="5">
        <v>1</v>
      </c>
      <c r="AQ21" s="5">
        <v>1</v>
      </c>
      <c r="AR21" s="2"/>
      <c r="AS21" s="18">
        <v>20</v>
      </c>
      <c r="AT21" s="18">
        <v>1</v>
      </c>
      <c r="AU21" s="18">
        <v>1</v>
      </c>
      <c r="AV21" s="18">
        <v>1</v>
      </c>
      <c r="AW21" s="18">
        <v>1</v>
      </c>
      <c r="AX21" s="18">
        <v>1</v>
      </c>
      <c r="AY21" s="29"/>
      <c r="AZ21" s="18">
        <v>20</v>
      </c>
      <c r="BA21" s="5">
        <v>1</v>
      </c>
      <c r="BB21" s="5">
        <v>1</v>
      </c>
      <c r="BC21" s="5">
        <v>1</v>
      </c>
      <c r="BD21" s="5">
        <v>1</v>
      </c>
      <c r="BE21" s="5">
        <v>1</v>
      </c>
    </row>
    <row r="22" spans="1:57" ht="14.25" customHeight="1">
      <c r="A22" s="2"/>
      <c r="B22" s="2"/>
      <c r="C22" s="2"/>
      <c r="D22" s="2"/>
      <c r="E22" s="2"/>
      <c r="F22" s="80"/>
      <c r="G22" s="80"/>
      <c r="H22" s="76" t="str">
        <f>W2</f>
        <v>21 sona</v>
      </c>
      <c r="I22" s="73" t="s">
        <v>983</v>
      </c>
      <c r="J22" s="5" t="s">
        <v>74</v>
      </c>
      <c r="K22" s="5">
        <v>1</v>
      </c>
      <c r="L22" s="5">
        <v>1</v>
      </c>
      <c r="M22" s="5">
        <v>1</v>
      </c>
      <c r="N22" s="5">
        <v>1</v>
      </c>
      <c r="O22" s="121" t="s">
        <v>1436</v>
      </c>
      <c r="P22" s="73" t="s">
        <v>996</v>
      </c>
      <c r="Q22" s="5">
        <v>1</v>
      </c>
      <c r="R22" s="5">
        <v>1</v>
      </c>
      <c r="S22" s="5">
        <v>1</v>
      </c>
      <c r="T22" s="5">
        <v>1</v>
      </c>
      <c r="U22" s="5">
        <v>1</v>
      </c>
      <c r="V22" s="2">
        <v>2</v>
      </c>
      <c r="W22" s="73" t="s">
        <v>1003</v>
      </c>
      <c r="X22" s="5">
        <v>1</v>
      </c>
      <c r="Y22" s="5">
        <v>1</v>
      </c>
      <c r="Z22" s="5">
        <v>1</v>
      </c>
      <c r="AA22" s="5">
        <v>1</v>
      </c>
      <c r="AB22" s="5">
        <v>1</v>
      </c>
      <c r="AC22" s="2">
        <v>2</v>
      </c>
      <c r="AD22" s="2"/>
      <c r="AE22" s="2"/>
      <c r="AF22" s="2"/>
      <c r="AG22" s="2"/>
      <c r="AH22" s="2"/>
      <c r="AI22" s="2"/>
      <c r="AJ22" s="2"/>
      <c r="AK22" s="4" t="str">
        <f>AZ2</f>
        <v>51 sona</v>
      </c>
      <c r="AL22" s="73" t="s">
        <v>848</v>
      </c>
      <c r="AM22" s="5">
        <v>1</v>
      </c>
      <c r="AN22" s="5">
        <v>1</v>
      </c>
      <c r="AO22" s="5">
        <v>1</v>
      </c>
      <c r="AP22" s="5">
        <v>1</v>
      </c>
      <c r="AQ22" s="5">
        <v>1</v>
      </c>
      <c r="AR22" s="2"/>
      <c r="AS22" s="17" t="s">
        <v>722</v>
      </c>
      <c r="AT22" s="18">
        <v>1</v>
      </c>
      <c r="AU22" s="18">
        <v>1</v>
      </c>
      <c r="AV22" s="18">
        <v>1</v>
      </c>
      <c r="AW22" s="18">
        <v>1</v>
      </c>
      <c r="AX22" s="18">
        <v>1</v>
      </c>
      <c r="AY22" s="29"/>
      <c r="AZ22" s="17" t="s">
        <v>171</v>
      </c>
      <c r="BA22" s="5">
        <v>1</v>
      </c>
      <c r="BB22" s="5">
        <v>1</v>
      </c>
      <c r="BC22" s="5">
        <v>1</v>
      </c>
      <c r="BD22" s="5">
        <v>1</v>
      </c>
      <c r="BE22" s="5">
        <v>1</v>
      </c>
    </row>
    <row r="23" spans="1:57" ht="14.25" customHeight="1">
      <c r="A23" s="2"/>
      <c r="B23" s="2"/>
      <c r="C23" s="2"/>
      <c r="D23" s="2"/>
      <c r="E23" s="2"/>
      <c r="F23" s="80"/>
      <c r="G23" s="80"/>
      <c r="H23" s="76" t="str">
        <f>W7</f>
        <v>22 twenty 2</v>
      </c>
      <c r="I23" s="5" t="s">
        <v>192</v>
      </c>
      <c r="J23" s="5" t="s">
        <v>902</v>
      </c>
      <c r="K23" s="5" t="s">
        <v>1004</v>
      </c>
      <c r="L23" s="5">
        <v>1</v>
      </c>
      <c r="M23" s="5">
        <v>1</v>
      </c>
      <c r="N23" s="5">
        <v>1</v>
      </c>
      <c r="O23" s="5">
        <v>1</v>
      </c>
      <c r="P23" s="5">
        <v>22</v>
      </c>
      <c r="Q23" s="5">
        <v>1</v>
      </c>
      <c r="R23" s="5">
        <v>1</v>
      </c>
      <c r="S23" s="5">
        <v>1</v>
      </c>
      <c r="T23" s="5">
        <v>1</v>
      </c>
      <c r="U23" s="5">
        <v>1</v>
      </c>
      <c r="V23" s="2">
        <v>2</v>
      </c>
      <c r="W23" s="5">
        <v>22</v>
      </c>
      <c r="X23" s="5">
        <v>1</v>
      </c>
      <c r="Y23" s="5">
        <v>1</v>
      </c>
      <c r="Z23" s="5">
        <v>1</v>
      </c>
      <c r="AA23" s="5">
        <v>1</v>
      </c>
      <c r="AB23" s="5">
        <v>1</v>
      </c>
      <c r="AC23" s="2">
        <v>2</v>
      </c>
      <c r="AD23" s="2"/>
      <c r="AE23" s="2"/>
      <c r="AF23" s="2"/>
      <c r="AG23" s="2"/>
      <c r="AH23" s="2"/>
      <c r="AI23" s="2"/>
      <c r="AJ23" s="2"/>
      <c r="AK23" s="4" t="str">
        <f>AZ7</f>
        <v>52 twenty 2</v>
      </c>
      <c r="AL23" s="5" t="s">
        <v>853</v>
      </c>
      <c r="AM23" s="5">
        <v>1</v>
      </c>
      <c r="AN23" s="5">
        <v>1</v>
      </c>
      <c r="AO23" s="5">
        <v>1</v>
      </c>
      <c r="AP23" s="5">
        <v>1</v>
      </c>
      <c r="AQ23" s="5">
        <v>1</v>
      </c>
      <c r="AR23" s="2"/>
      <c r="AS23" s="18">
        <v>22</v>
      </c>
      <c r="AT23" s="18">
        <v>1</v>
      </c>
      <c r="AU23" s="18">
        <v>1</v>
      </c>
      <c r="AV23" s="18">
        <v>1</v>
      </c>
      <c r="AW23" s="18">
        <v>1</v>
      </c>
      <c r="AX23" s="18">
        <v>1</v>
      </c>
      <c r="AY23" s="29"/>
      <c r="AZ23" s="18">
        <v>22</v>
      </c>
      <c r="BA23" s="5">
        <v>1</v>
      </c>
      <c r="BB23" s="5">
        <v>1</v>
      </c>
      <c r="BC23" s="5">
        <v>1</v>
      </c>
      <c r="BD23" s="5">
        <v>1</v>
      </c>
      <c r="BE23" s="5">
        <v>1</v>
      </c>
    </row>
    <row r="24" spans="1:57" ht="14.25" customHeight="1">
      <c r="A24" s="2"/>
      <c r="B24" s="2"/>
      <c r="C24" s="2"/>
      <c r="D24" s="2"/>
      <c r="E24" s="2"/>
      <c r="F24" s="80"/>
      <c r="G24" s="80"/>
      <c r="H24" s="76" t="str">
        <f>W12</f>
        <v>23 twenty 3</v>
      </c>
      <c r="I24" s="5" t="s">
        <v>194</v>
      </c>
      <c r="J24" s="5" t="s">
        <v>1005</v>
      </c>
      <c r="K24" s="5">
        <v>1</v>
      </c>
      <c r="L24" s="5">
        <v>1</v>
      </c>
      <c r="M24" s="5">
        <v>1</v>
      </c>
      <c r="N24" s="5">
        <v>1</v>
      </c>
      <c r="O24" s="5">
        <v>1</v>
      </c>
      <c r="P24" s="5">
        <v>23</v>
      </c>
      <c r="Q24" s="5">
        <v>1</v>
      </c>
      <c r="R24" s="5">
        <v>1</v>
      </c>
      <c r="S24" s="5">
        <v>1</v>
      </c>
      <c r="T24" s="5">
        <v>1</v>
      </c>
      <c r="U24" s="5">
        <v>1</v>
      </c>
      <c r="V24" s="2">
        <v>2</v>
      </c>
      <c r="W24" s="5">
        <v>23</v>
      </c>
      <c r="X24" s="5">
        <v>1</v>
      </c>
      <c r="Y24" s="5">
        <v>1</v>
      </c>
      <c r="Z24" s="5">
        <v>1</v>
      </c>
      <c r="AA24" s="5">
        <v>1</v>
      </c>
      <c r="AB24" s="5">
        <v>1</v>
      </c>
      <c r="AC24" s="2">
        <v>2</v>
      </c>
      <c r="AD24" s="2"/>
      <c r="AE24" s="2"/>
      <c r="AF24" s="2"/>
      <c r="AG24" s="2"/>
      <c r="AH24" s="2"/>
      <c r="AI24" s="2"/>
      <c r="AJ24" s="2"/>
      <c r="AK24" s="4" t="str">
        <f>AZ12</f>
        <v>53 twenty 3</v>
      </c>
      <c r="AL24" s="5">
        <v>23</v>
      </c>
      <c r="AM24" s="5">
        <v>1</v>
      </c>
      <c r="AN24" s="5">
        <v>1</v>
      </c>
      <c r="AO24" s="5">
        <v>1</v>
      </c>
      <c r="AP24" s="5">
        <v>1</v>
      </c>
      <c r="AQ24" s="5">
        <v>1</v>
      </c>
      <c r="AR24" s="2"/>
      <c r="AS24" s="18">
        <v>23</v>
      </c>
      <c r="AT24" s="18">
        <v>1</v>
      </c>
      <c r="AU24" s="18">
        <v>1</v>
      </c>
      <c r="AV24" s="18">
        <v>1</v>
      </c>
      <c r="AW24" s="18">
        <v>1</v>
      </c>
      <c r="AX24" s="18">
        <v>1</v>
      </c>
      <c r="AY24" s="29"/>
      <c r="AZ24" s="18">
        <v>23</v>
      </c>
      <c r="BA24" s="5">
        <v>1</v>
      </c>
      <c r="BB24" s="5">
        <v>1</v>
      </c>
      <c r="BC24" s="5">
        <v>1</v>
      </c>
      <c r="BD24" s="5">
        <v>1</v>
      </c>
      <c r="BE24" s="5">
        <v>1</v>
      </c>
    </row>
    <row r="25" spans="1:57" ht="14.25" customHeight="1">
      <c r="A25" s="2"/>
      <c r="B25" s="2"/>
      <c r="C25" s="2"/>
      <c r="D25" s="2"/>
      <c r="E25" s="2"/>
      <c r="F25" s="80"/>
      <c r="G25" s="80"/>
      <c r="H25" s="76" t="str">
        <f>W17</f>
        <v>24 twenty 4</v>
      </c>
      <c r="I25" s="5" t="s">
        <v>1006</v>
      </c>
      <c r="J25" s="5" t="s">
        <v>272</v>
      </c>
      <c r="K25" s="5">
        <v>1</v>
      </c>
      <c r="L25" s="5">
        <v>1</v>
      </c>
      <c r="M25" s="5">
        <v>1</v>
      </c>
      <c r="N25" s="5">
        <v>1</v>
      </c>
      <c r="O25" s="5">
        <v>1</v>
      </c>
      <c r="P25" s="5">
        <v>24</v>
      </c>
      <c r="Q25" s="5">
        <v>1</v>
      </c>
      <c r="R25" s="5">
        <v>1</v>
      </c>
      <c r="S25" s="5">
        <v>1</v>
      </c>
      <c r="T25" s="5">
        <v>1</v>
      </c>
      <c r="U25" s="5">
        <v>1</v>
      </c>
      <c r="V25" s="2">
        <v>2</v>
      </c>
      <c r="W25" s="5">
        <v>24</v>
      </c>
      <c r="X25" s="5">
        <v>1</v>
      </c>
      <c r="Y25" s="5">
        <v>1</v>
      </c>
      <c r="Z25" s="5">
        <v>1</v>
      </c>
      <c r="AA25" s="5">
        <v>1</v>
      </c>
      <c r="AB25" s="5">
        <v>1</v>
      </c>
      <c r="AC25" s="2">
        <v>2</v>
      </c>
      <c r="AD25" s="2"/>
      <c r="AE25" s="2"/>
      <c r="AF25" s="2"/>
      <c r="AG25" s="2"/>
      <c r="AH25" s="2"/>
      <c r="AI25" s="2"/>
      <c r="AJ25" s="2"/>
      <c r="AK25" s="4" t="str">
        <f>AZ17</f>
        <v>54 twenty 4</v>
      </c>
      <c r="AL25" s="5">
        <v>24</v>
      </c>
      <c r="AM25" s="5">
        <v>1</v>
      </c>
      <c r="AN25" s="5">
        <v>1</v>
      </c>
      <c r="AO25" s="5">
        <v>1</v>
      </c>
      <c r="AP25" s="5">
        <v>1</v>
      </c>
      <c r="AQ25" s="5">
        <v>1</v>
      </c>
      <c r="AR25" s="2"/>
      <c r="AS25" s="18">
        <v>24</v>
      </c>
      <c r="AT25" s="18">
        <v>1</v>
      </c>
      <c r="AU25" s="18">
        <v>1</v>
      </c>
      <c r="AV25" s="18">
        <v>1</v>
      </c>
      <c r="AW25" s="18">
        <v>1</v>
      </c>
      <c r="AX25" s="18">
        <v>1</v>
      </c>
      <c r="AY25" s="29"/>
      <c r="AZ25" s="18">
        <v>24</v>
      </c>
      <c r="BA25" s="5">
        <v>1</v>
      </c>
      <c r="BB25" s="5">
        <v>1</v>
      </c>
      <c r="BC25" s="5">
        <v>1</v>
      </c>
      <c r="BD25" s="5">
        <v>1</v>
      </c>
      <c r="BE25" s="5">
        <v>1</v>
      </c>
    </row>
    <row r="26" spans="1:57" ht="14.25" customHeight="1">
      <c r="A26" s="2"/>
      <c r="B26" s="2"/>
      <c r="C26" s="2"/>
      <c r="D26" s="2"/>
      <c r="E26" s="2"/>
      <c r="F26" s="80"/>
      <c r="G26" s="80"/>
      <c r="H26" s="76" t="str">
        <f>W22</f>
        <v>25 twenty 5</v>
      </c>
      <c r="I26" s="5">
        <v>25</v>
      </c>
      <c r="J26" s="5">
        <v>1</v>
      </c>
      <c r="K26" s="5">
        <v>1</v>
      </c>
      <c r="L26" s="5">
        <v>1</v>
      </c>
      <c r="M26" s="5">
        <v>1</v>
      </c>
      <c r="N26" s="5">
        <v>1</v>
      </c>
      <c r="O26" s="5">
        <v>1</v>
      </c>
      <c r="P26" s="5">
        <v>25</v>
      </c>
      <c r="Q26" s="5">
        <v>1</v>
      </c>
      <c r="R26" s="5">
        <v>1</v>
      </c>
      <c r="S26" s="5">
        <v>1</v>
      </c>
      <c r="T26" s="5">
        <v>1</v>
      </c>
      <c r="U26" s="5">
        <v>1</v>
      </c>
      <c r="V26" s="2">
        <v>2</v>
      </c>
      <c r="W26" s="5">
        <v>25</v>
      </c>
      <c r="X26" s="5">
        <v>1</v>
      </c>
      <c r="Y26" s="5">
        <v>1</v>
      </c>
      <c r="Z26" s="5">
        <v>1</v>
      </c>
      <c r="AA26" s="5">
        <v>1</v>
      </c>
      <c r="AB26" s="5">
        <v>1</v>
      </c>
      <c r="AC26" s="2">
        <v>2</v>
      </c>
      <c r="AD26" s="2"/>
      <c r="AE26" s="2"/>
      <c r="AF26" s="2"/>
      <c r="AG26" s="2"/>
      <c r="AH26" s="2"/>
      <c r="AI26" s="2"/>
      <c r="AJ26" s="2"/>
      <c r="AK26" s="4" t="str">
        <f>AZ22</f>
        <v>55 twenty 5</v>
      </c>
      <c r="AL26" s="5">
        <v>25</v>
      </c>
      <c r="AM26" s="5">
        <v>1</v>
      </c>
      <c r="AN26" s="5">
        <v>1</v>
      </c>
      <c r="AO26" s="5">
        <v>1</v>
      </c>
      <c r="AP26" s="5">
        <v>1</v>
      </c>
      <c r="AQ26" s="5">
        <v>1</v>
      </c>
      <c r="AR26" s="2"/>
      <c r="AS26" s="18">
        <v>25</v>
      </c>
      <c r="AT26" s="18">
        <v>1</v>
      </c>
      <c r="AU26" s="18">
        <v>1</v>
      </c>
      <c r="AV26" s="18">
        <v>1</v>
      </c>
      <c r="AW26" s="18">
        <v>1</v>
      </c>
      <c r="AX26" s="18">
        <v>1</v>
      </c>
      <c r="AY26" s="29"/>
      <c r="AZ26" s="18">
        <v>25</v>
      </c>
      <c r="BA26" s="5">
        <v>1</v>
      </c>
      <c r="BB26" s="5">
        <v>1</v>
      </c>
      <c r="BC26" s="5">
        <v>1</v>
      </c>
      <c r="BD26" s="5">
        <v>1</v>
      </c>
      <c r="BE26" s="5">
        <v>1</v>
      </c>
    </row>
    <row r="27" spans="1:57" ht="14.25" customHeight="1">
      <c r="A27" s="2"/>
      <c r="B27" s="2"/>
      <c r="C27" s="2"/>
      <c r="D27" s="2"/>
      <c r="E27" s="2"/>
      <c r="F27" s="2"/>
      <c r="G27" s="2"/>
      <c r="H27" s="76" t="str">
        <f>W27</f>
        <v>26 twenty 6</v>
      </c>
      <c r="I27" s="78" t="s">
        <v>984</v>
      </c>
      <c r="J27" s="79" t="s">
        <v>1007</v>
      </c>
      <c r="K27" s="79">
        <v>1</v>
      </c>
      <c r="L27" s="79">
        <v>1</v>
      </c>
      <c r="M27" s="5">
        <v>1</v>
      </c>
      <c r="N27" s="5">
        <v>1</v>
      </c>
      <c r="O27" s="80" t="s">
        <v>1275</v>
      </c>
      <c r="P27" s="73" t="s">
        <v>997</v>
      </c>
      <c r="Q27" s="5">
        <v>1</v>
      </c>
      <c r="R27" s="5">
        <v>1</v>
      </c>
      <c r="S27" s="5">
        <v>1</v>
      </c>
      <c r="T27" s="5">
        <v>1</v>
      </c>
      <c r="U27" s="5">
        <v>1</v>
      </c>
      <c r="V27" s="2">
        <v>2</v>
      </c>
      <c r="W27" s="73" t="s">
        <v>956</v>
      </c>
      <c r="X27" s="5">
        <v>1</v>
      </c>
      <c r="Y27" s="5">
        <v>1</v>
      </c>
      <c r="Z27" s="5">
        <v>1</v>
      </c>
      <c r="AA27" s="5">
        <v>1</v>
      </c>
      <c r="AB27" s="5">
        <v>1</v>
      </c>
      <c r="AC27" s="2">
        <v>2</v>
      </c>
      <c r="AD27" s="2"/>
      <c r="AE27" s="2"/>
      <c r="AF27" s="2"/>
      <c r="AG27" s="2"/>
      <c r="AH27" s="2"/>
      <c r="AI27" s="2"/>
      <c r="AJ27" s="2"/>
      <c r="AK27" s="4" t="str">
        <f>AZ27</f>
        <v>56 twenty 6</v>
      </c>
      <c r="AL27" s="73" t="s">
        <v>860</v>
      </c>
      <c r="AM27" s="5">
        <v>1</v>
      </c>
      <c r="AN27" s="5">
        <v>1</v>
      </c>
      <c r="AO27" s="5">
        <v>1</v>
      </c>
      <c r="AP27" s="5">
        <v>1</v>
      </c>
      <c r="AQ27" s="5">
        <v>1</v>
      </c>
      <c r="AR27" s="2"/>
      <c r="AS27" s="17" t="s">
        <v>731</v>
      </c>
      <c r="AT27" s="18">
        <v>1</v>
      </c>
      <c r="AU27" s="18">
        <v>1</v>
      </c>
      <c r="AV27" s="18">
        <v>1</v>
      </c>
      <c r="AW27" s="18">
        <v>1</v>
      </c>
      <c r="AX27" s="18">
        <v>1</v>
      </c>
      <c r="AY27" s="29"/>
      <c r="AZ27" s="17" t="s">
        <v>202</v>
      </c>
      <c r="BA27" s="5">
        <v>1</v>
      </c>
      <c r="BB27" s="5">
        <v>1</v>
      </c>
      <c r="BC27" s="5">
        <v>1</v>
      </c>
      <c r="BD27" s="5">
        <v>1</v>
      </c>
      <c r="BE27" s="5">
        <v>1</v>
      </c>
    </row>
    <row r="28" spans="1:57" ht="14.25" customHeight="1">
      <c r="A28" s="2"/>
      <c r="B28" s="2"/>
      <c r="C28" s="2"/>
      <c r="D28" s="2"/>
      <c r="E28" s="2"/>
      <c r="F28" s="2"/>
      <c r="G28" s="2"/>
      <c r="H28" s="76" t="str">
        <f>W32</f>
        <v>27 twenty 7</v>
      </c>
      <c r="I28" s="79" t="s">
        <v>1008</v>
      </c>
      <c r="J28" s="79">
        <v>1</v>
      </c>
      <c r="K28" s="79">
        <v>1</v>
      </c>
      <c r="L28" s="79" t="s">
        <v>134</v>
      </c>
      <c r="M28" s="5">
        <v>1</v>
      </c>
      <c r="N28" s="5">
        <v>1</v>
      </c>
      <c r="O28" s="5">
        <v>1</v>
      </c>
      <c r="P28" s="5">
        <v>27</v>
      </c>
      <c r="Q28" s="5">
        <v>1</v>
      </c>
      <c r="R28" s="5">
        <v>1</v>
      </c>
      <c r="S28" s="5">
        <v>1</v>
      </c>
      <c r="T28" s="5">
        <v>1</v>
      </c>
      <c r="U28" s="5">
        <v>1</v>
      </c>
      <c r="V28" s="2">
        <v>2</v>
      </c>
      <c r="W28" s="5">
        <v>27</v>
      </c>
      <c r="X28" s="5">
        <v>1</v>
      </c>
      <c r="Y28" s="5">
        <v>1</v>
      </c>
      <c r="Z28" s="5">
        <v>1</v>
      </c>
      <c r="AA28" s="5">
        <v>1</v>
      </c>
      <c r="AB28" s="5">
        <v>1</v>
      </c>
      <c r="AC28" s="2">
        <v>2</v>
      </c>
      <c r="AD28" s="2"/>
      <c r="AE28" s="2"/>
      <c r="AF28" s="2"/>
      <c r="AG28" s="2"/>
      <c r="AH28" s="2"/>
      <c r="AI28" s="2"/>
      <c r="AJ28" s="2"/>
      <c r="AK28" s="4" t="str">
        <f>AZ32</f>
        <v>57 twenty 7</v>
      </c>
      <c r="AL28" s="5">
        <v>27</v>
      </c>
      <c r="AM28" s="5">
        <v>1</v>
      </c>
      <c r="AN28" s="5">
        <v>1</v>
      </c>
      <c r="AO28" s="5">
        <v>1</v>
      </c>
      <c r="AP28" s="5">
        <v>1</v>
      </c>
      <c r="AQ28" s="5">
        <v>1</v>
      </c>
      <c r="AR28" s="2"/>
      <c r="AS28" s="18">
        <v>27</v>
      </c>
      <c r="AT28" s="18">
        <v>1</v>
      </c>
      <c r="AU28" s="18">
        <v>1</v>
      </c>
      <c r="AV28" s="18">
        <v>1</v>
      </c>
      <c r="AW28" s="18">
        <v>1</v>
      </c>
      <c r="AX28" s="18">
        <v>1</v>
      </c>
      <c r="AY28" s="29"/>
      <c r="AZ28" s="18">
        <v>27</v>
      </c>
      <c r="BA28" s="5">
        <v>1</v>
      </c>
      <c r="BB28" s="5">
        <v>1</v>
      </c>
      <c r="BC28" s="5">
        <v>1</v>
      </c>
      <c r="BD28" s="5">
        <v>1</v>
      </c>
      <c r="BE28" s="5">
        <v>1</v>
      </c>
    </row>
    <row r="29" spans="1:57" ht="14.25" customHeight="1">
      <c r="A29" s="2"/>
      <c r="B29" s="2"/>
      <c r="C29" s="2"/>
      <c r="D29" s="2"/>
      <c r="E29" s="2"/>
      <c r="F29" s="2"/>
      <c r="G29" s="2"/>
      <c r="H29" s="76" t="str">
        <f>W37</f>
        <v>28 twenty 8</v>
      </c>
      <c r="I29" s="79" t="s">
        <v>161</v>
      </c>
      <c r="J29" s="79" t="s">
        <v>145</v>
      </c>
      <c r="K29" s="79">
        <v>1</v>
      </c>
      <c r="L29" s="79">
        <v>1</v>
      </c>
      <c r="M29" s="5">
        <v>1</v>
      </c>
      <c r="N29" s="5">
        <v>1</v>
      </c>
      <c r="O29" s="5">
        <v>1</v>
      </c>
      <c r="P29" s="5">
        <v>28</v>
      </c>
      <c r="Q29" s="5">
        <v>1</v>
      </c>
      <c r="R29" s="5">
        <v>1</v>
      </c>
      <c r="S29" s="5">
        <v>1</v>
      </c>
      <c r="T29" s="5">
        <v>1</v>
      </c>
      <c r="U29" s="5">
        <v>1</v>
      </c>
      <c r="V29" s="2">
        <v>2</v>
      </c>
      <c r="W29" s="5">
        <v>28</v>
      </c>
      <c r="X29" s="5">
        <v>1</v>
      </c>
      <c r="Y29" s="5">
        <v>1</v>
      </c>
      <c r="Z29" s="5">
        <v>1</v>
      </c>
      <c r="AA29" s="5">
        <v>1</v>
      </c>
      <c r="AB29" s="5">
        <v>1</v>
      </c>
      <c r="AC29" s="2">
        <v>2</v>
      </c>
      <c r="AD29" s="2"/>
      <c r="AE29" s="2"/>
      <c r="AF29" s="2"/>
      <c r="AG29" s="2"/>
      <c r="AH29" s="2"/>
      <c r="AI29" s="2"/>
      <c r="AJ29" s="2"/>
      <c r="AK29" s="4" t="str">
        <f>AZ37</f>
        <v>58 twenty 8</v>
      </c>
      <c r="AL29" s="5">
        <v>28</v>
      </c>
      <c r="AM29" s="5">
        <v>1</v>
      </c>
      <c r="AN29" s="5">
        <v>1</v>
      </c>
      <c r="AO29" s="5">
        <v>1</v>
      </c>
      <c r="AP29" s="5">
        <v>1</v>
      </c>
      <c r="AQ29" s="5">
        <v>1</v>
      </c>
      <c r="AR29" s="2"/>
      <c r="AS29" s="18">
        <v>28</v>
      </c>
      <c r="AT29" s="18">
        <v>1</v>
      </c>
      <c r="AU29" s="18">
        <v>1</v>
      </c>
      <c r="AV29" s="18">
        <v>1</v>
      </c>
      <c r="AW29" s="18">
        <v>1</v>
      </c>
      <c r="AX29" s="18">
        <v>1</v>
      </c>
      <c r="AY29" s="29"/>
      <c r="AZ29" s="18">
        <v>28</v>
      </c>
      <c r="BA29" s="5">
        <v>1</v>
      </c>
      <c r="BB29" s="5">
        <v>1</v>
      </c>
      <c r="BC29" s="5">
        <v>1</v>
      </c>
      <c r="BD29" s="5">
        <v>1</v>
      </c>
      <c r="BE29" s="5">
        <v>1</v>
      </c>
    </row>
    <row r="30" spans="1:57" ht="14.25" customHeight="1">
      <c r="A30" s="2"/>
      <c r="B30" s="2"/>
      <c r="C30" s="2"/>
      <c r="D30" s="2"/>
      <c r="E30" s="2"/>
      <c r="F30" s="2"/>
      <c r="G30" s="2"/>
      <c r="H30" s="76" t="str">
        <f>W42</f>
        <v>29 twnety 9</v>
      </c>
      <c r="I30" s="5">
        <v>29</v>
      </c>
      <c r="J30" s="79">
        <v>1</v>
      </c>
      <c r="K30" s="79">
        <v>1</v>
      </c>
      <c r="L30" s="79">
        <v>1</v>
      </c>
      <c r="M30" s="5">
        <v>1</v>
      </c>
      <c r="N30" s="5">
        <v>1</v>
      </c>
      <c r="O30" s="5">
        <v>1</v>
      </c>
      <c r="P30" s="5">
        <v>29</v>
      </c>
      <c r="Q30" s="5">
        <v>1</v>
      </c>
      <c r="R30" s="5">
        <v>1</v>
      </c>
      <c r="S30" s="5">
        <v>1</v>
      </c>
      <c r="T30" s="5">
        <v>1</v>
      </c>
      <c r="U30" s="5">
        <v>1</v>
      </c>
      <c r="V30" s="2">
        <v>2</v>
      </c>
      <c r="W30" s="5">
        <v>29</v>
      </c>
      <c r="X30" s="5">
        <v>1</v>
      </c>
      <c r="Y30" s="5">
        <v>1</v>
      </c>
      <c r="Z30" s="5">
        <v>1</v>
      </c>
      <c r="AA30" s="5">
        <v>1</v>
      </c>
      <c r="AB30" s="5">
        <v>1</v>
      </c>
      <c r="AC30" s="2">
        <v>2</v>
      </c>
      <c r="AD30" s="2"/>
      <c r="AE30" s="2"/>
      <c r="AF30" s="2"/>
      <c r="AG30" s="2"/>
      <c r="AH30" s="2"/>
      <c r="AI30" s="2"/>
      <c r="AJ30" s="2"/>
      <c r="AK30" s="4" t="str">
        <f>AZ42</f>
        <v>59 twnety 9</v>
      </c>
      <c r="AL30" s="5">
        <v>29</v>
      </c>
      <c r="AM30" s="5">
        <v>1</v>
      </c>
      <c r="AN30" s="5">
        <v>1</v>
      </c>
      <c r="AO30" s="5">
        <v>1</v>
      </c>
      <c r="AP30" s="5">
        <v>1</v>
      </c>
      <c r="AQ30" s="5">
        <v>1</v>
      </c>
      <c r="AR30" s="2"/>
      <c r="AS30" s="18">
        <v>29</v>
      </c>
      <c r="AT30" s="18">
        <v>1</v>
      </c>
      <c r="AU30" s="18">
        <v>1</v>
      </c>
      <c r="AV30" s="18">
        <v>1</v>
      </c>
      <c r="AW30" s="18">
        <v>1</v>
      </c>
      <c r="AX30" s="18">
        <v>1</v>
      </c>
      <c r="AY30" s="29"/>
      <c r="AZ30" s="18">
        <v>29</v>
      </c>
      <c r="BA30" s="5">
        <v>1</v>
      </c>
      <c r="BB30" s="5">
        <v>1</v>
      </c>
      <c r="BC30" s="5">
        <v>1</v>
      </c>
      <c r="BD30" s="5">
        <v>1</v>
      </c>
      <c r="BE30" s="5">
        <v>1</v>
      </c>
    </row>
    <row r="31" spans="1:57" ht="14.25" customHeight="1">
      <c r="A31" s="2"/>
      <c r="B31" s="2"/>
      <c r="C31" s="2"/>
      <c r="D31" s="2"/>
      <c r="E31" s="2"/>
      <c r="F31" s="2"/>
      <c r="G31" s="2"/>
      <c r="H31" s="76" t="str">
        <f>W47</f>
        <v>30 thirty</v>
      </c>
      <c r="I31" s="5">
        <v>30</v>
      </c>
      <c r="J31" s="5">
        <v>1</v>
      </c>
      <c r="K31" s="5">
        <v>1</v>
      </c>
      <c r="L31" s="5">
        <v>1</v>
      </c>
      <c r="M31" s="5">
        <v>1</v>
      </c>
      <c r="N31" s="5">
        <v>1</v>
      </c>
      <c r="O31" s="5">
        <v>1</v>
      </c>
      <c r="P31" s="5">
        <v>30</v>
      </c>
      <c r="Q31" s="5">
        <v>1</v>
      </c>
      <c r="R31" s="5">
        <v>1</v>
      </c>
      <c r="S31" s="5">
        <v>1</v>
      </c>
      <c r="T31" s="5">
        <v>1</v>
      </c>
      <c r="U31" s="5">
        <v>1</v>
      </c>
      <c r="V31" s="2">
        <v>2</v>
      </c>
      <c r="W31" s="5">
        <v>30</v>
      </c>
      <c r="X31" s="5">
        <v>1</v>
      </c>
      <c r="Y31" s="5">
        <v>1</v>
      </c>
      <c r="Z31" s="5">
        <v>1</v>
      </c>
      <c r="AA31" s="5">
        <v>1</v>
      </c>
      <c r="AB31" s="5">
        <v>1</v>
      </c>
      <c r="AC31" s="2">
        <v>2</v>
      </c>
      <c r="AD31" s="2"/>
      <c r="AE31" s="2"/>
      <c r="AF31" s="2"/>
      <c r="AG31" s="2"/>
      <c r="AH31" s="2"/>
      <c r="AI31" s="2"/>
      <c r="AJ31" s="2"/>
      <c r="AK31" s="4" t="str">
        <f>AZ47</f>
        <v>60 thirty</v>
      </c>
      <c r="AL31" s="5">
        <v>30</v>
      </c>
      <c r="AM31" s="5">
        <v>1</v>
      </c>
      <c r="AN31" s="5">
        <v>1</v>
      </c>
      <c r="AO31" s="5">
        <v>1</v>
      </c>
      <c r="AP31" s="5">
        <v>1</v>
      </c>
      <c r="AQ31" s="5">
        <v>1</v>
      </c>
      <c r="AR31" s="2"/>
      <c r="AS31" s="18">
        <v>30</v>
      </c>
      <c r="AT31" s="18">
        <v>1</v>
      </c>
      <c r="AU31" s="18">
        <v>1</v>
      </c>
      <c r="AV31" s="18">
        <v>1</v>
      </c>
      <c r="AW31" s="18">
        <v>1</v>
      </c>
      <c r="AX31" s="18">
        <v>1</v>
      </c>
      <c r="AY31" s="29"/>
      <c r="AZ31" s="18">
        <v>30</v>
      </c>
      <c r="BA31" s="5">
        <v>1</v>
      </c>
      <c r="BB31" s="5">
        <v>1</v>
      </c>
      <c r="BC31" s="5">
        <v>1</v>
      </c>
      <c r="BD31" s="5">
        <v>1</v>
      </c>
      <c r="BE31" s="5">
        <v>1</v>
      </c>
    </row>
    <row r="32" spans="1:57" ht="14.25" customHeight="1">
      <c r="A32" s="2"/>
      <c r="B32" s="2"/>
      <c r="C32" s="2"/>
      <c r="D32" s="2"/>
      <c r="E32" s="2"/>
      <c r="F32" s="2"/>
      <c r="G32" s="2"/>
      <c r="H32" s="30"/>
      <c r="I32" s="73" t="s">
        <v>987</v>
      </c>
      <c r="J32" s="5">
        <v>1</v>
      </c>
      <c r="K32" s="5">
        <v>1</v>
      </c>
      <c r="L32" s="5">
        <v>1</v>
      </c>
      <c r="M32" s="5">
        <v>1</v>
      </c>
      <c r="N32" s="5">
        <v>1</v>
      </c>
      <c r="O32" s="80" t="s">
        <v>1276</v>
      </c>
      <c r="P32" s="73" t="s">
        <v>999</v>
      </c>
      <c r="Q32" s="5">
        <v>1</v>
      </c>
      <c r="R32" s="5">
        <v>1</v>
      </c>
      <c r="S32" s="5">
        <v>1</v>
      </c>
      <c r="T32" s="5">
        <v>1</v>
      </c>
      <c r="U32" s="5">
        <v>1</v>
      </c>
      <c r="V32" s="2">
        <v>2</v>
      </c>
      <c r="W32" s="73" t="s">
        <v>958</v>
      </c>
      <c r="X32" s="5">
        <v>1</v>
      </c>
      <c r="Y32" s="5">
        <v>1</v>
      </c>
      <c r="Z32" s="5">
        <v>1</v>
      </c>
      <c r="AA32" s="5">
        <v>1</v>
      </c>
      <c r="AB32" s="5">
        <v>1</v>
      </c>
      <c r="AC32" s="2">
        <v>2</v>
      </c>
      <c r="AD32" s="2"/>
      <c r="AE32" s="2"/>
      <c r="AF32" s="2"/>
      <c r="AG32" s="2"/>
      <c r="AH32" s="2"/>
      <c r="AI32" s="2"/>
      <c r="AJ32" s="2"/>
      <c r="AK32" s="2"/>
      <c r="AL32" s="73" t="s">
        <v>865</v>
      </c>
      <c r="AM32" s="5">
        <v>1</v>
      </c>
      <c r="AN32" s="5">
        <v>1</v>
      </c>
      <c r="AO32" s="5">
        <v>1</v>
      </c>
      <c r="AP32" s="5">
        <v>1</v>
      </c>
      <c r="AQ32" s="5">
        <v>1</v>
      </c>
      <c r="AR32" s="2"/>
      <c r="AS32" s="17" t="s">
        <v>745</v>
      </c>
      <c r="AT32" s="18">
        <v>1</v>
      </c>
      <c r="AU32" s="18">
        <v>1</v>
      </c>
      <c r="AV32" s="18">
        <v>1</v>
      </c>
      <c r="AW32" s="18">
        <v>1</v>
      </c>
      <c r="AX32" s="18">
        <v>1</v>
      </c>
      <c r="AY32" s="29"/>
      <c r="AZ32" s="17" t="s">
        <v>227</v>
      </c>
      <c r="BA32" s="5">
        <v>1</v>
      </c>
      <c r="BB32" s="5">
        <v>1</v>
      </c>
      <c r="BC32" s="5">
        <v>1</v>
      </c>
      <c r="BD32" s="5">
        <v>1</v>
      </c>
      <c r="BE32" s="5">
        <v>1</v>
      </c>
    </row>
    <row r="33" spans="1:57" ht="14.25" customHeight="1">
      <c r="A33" s="2"/>
      <c r="B33" s="2"/>
      <c r="C33" s="2"/>
      <c r="D33" s="2"/>
      <c r="E33" s="2"/>
      <c r="F33" s="2"/>
      <c r="G33" s="2"/>
      <c r="H33" s="30"/>
      <c r="I33" s="5" t="s">
        <v>947</v>
      </c>
      <c r="J33" s="5" t="s">
        <v>207</v>
      </c>
      <c r="K33" s="213" t="s">
        <v>1346</v>
      </c>
      <c r="L33" s="5">
        <v>1</v>
      </c>
      <c r="M33" s="5">
        <v>1</v>
      </c>
      <c r="N33" s="5">
        <v>1</v>
      </c>
      <c r="O33" s="5">
        <v>1</v>
      </c>
      <c r="P33" s="5">
        <v>32</v>
      </c>
      <c r="Q33" s="5">
        <v>1</v>
      </c>
      <c r="R33" s="5">
        <v>1</v>
      </c>
      <c r="S33" s="5">
        <v>1</v>
      </c>
      <c r="T33" s="5">
        <v>1</v>
      </c>
      <c r="U33" s="5">
        <v>1</v>
      </c>
      <c r="V33" s="2">
        <v>2</v>
      </c>
      <c r="W33" s="5">
        <v>32</v>
      </c>
      <c r="X33" s="5">
        <v>1</v>
      </c>
      <c r="Y33" s="5">
        <v>1</v>
      </c>
      <c r="Z33" s="5">
        <v>1</v>
      </c>
      <c r="AA33" s="5">
        <v>1</v>
      </c>
      <c r="AB33" s="5">
        <v>1</v>
      </c>
      <c r="AC33" s="2">
        <v>2</v>
      </c>
      <c r="AD33" s="2"/>
      <c r="AE33" s="2"/>
      <c r="AF33" s="2"/>
      <c r="AG33" s="2"/>
      <c r="AH33" s="2"/>
      <c r="AI33" s="2"/>
      <c r="AJ33" s="2"/>
      <c r="AK33" s="2"/>
      <c r="AL33" s="5">
        <v>32</v>
      </c>
      <c r="AM33" s="5">
        <v>1</v>
      </c>
      <c r="AN33" s="5">
        <v>1</v>
      </c>
      <c r="AO33" s="5">
        <v>1</v>
      </c>
      <c r="AP33" s="5">
        <v>1</v>
      </c>
      <c r="AQ33" s="5">
        <v>1</v>
      </c>
      <c r="AR33" s="2"/>
      <c r="AS33" s="18">
        <v>32</v>
      </c>
      <c r="AT33" s="18">
        <v>1</v>
      </c>
      <c r="AU33" s="18">
        <v>1</v>
      </c>
      <c r="AV33" s="18">
        <v>1</v>
      </c>
      <c r="AW33" s="18">
        <v>1</v>
      </c>
      <c r="AX33" s="18">
        <v>1</v>
      </c>
      <c r="AY33" s="29"/>
      <c r="AZ33" s="18">
        <v>32</v>
      </c>
      <c r="BA33" s="5">
        <v>1</v>
      </c>
      <c r="BB33" s="5">
        <v>1</v>
      </c>
      <c r="BC33" s="5">
        <v>1</v>
      </c>
      <c r="BD33" s="5">
        <v>1</v>
      </c>
      <c r="BE33" s="5">
        <v>1</v>
      </c>
    </row>
    <row r="34" spans="1:57" ht="14.25" customHeight="1">
      <c r="A34" s="2"/>
      <c r="B34" s="2"/>
      <c r="C34" s="2"/>
      <c r="D34" s="2"/>
      <c r="E34" s="2"/>
      <c r="F34" s="2"/>
      <c r="G34" s="2"/>
      <c r="H34" s="30"/>
      <c r="I34" s="5" t="s">
        <v>194</v>
      </c>
      <c r="J34" s="5" t="s">
        <v>1009</v>
      </c>
      <c r="K34" s="5">
        <v>1</v>
      </c>
      <c r="L34" s="5">
        <v>1</v>
      </c>
      <c r="M34" s="5">
        <v>1</v>
      </c>
      <c r="N34" s="5">
        <v>1</v>
      </c>
      <c r="O34" s="5">
        <v>1</v>
      </c>
      <c r="P34" s="5">
        <v>33</v>
      </c>
      <c r="Q34" s="5">
        <v>1</v>
      </c>
      <c r="R34" s="5">
        <v>1</v>
      </c>
      <c r="S34" s="5">
        <v>1</v>
      </c>
      <c r="T34" s="5">
        <v>1</v>
      </c>
      <c r="U34" s="5">
        <v>1</v>
      </c>
      <c r="V34" s="2">
        <v>2</v>
      </c>
      <c r="W34" s="5">
        <v>33</v>
      </c>
      <c r="X34" s="5">
        <v>1</v>
      </c>
      <c r="Y34" s="5">
        <v>1</v>
      </c>
      <c r="Z34" s="5">
        <v>1</v>
      </c>
      <c r="AA34" s="5">
        <v>1</v>
      </c>
      <c r="AB34" s="5">
        <v>1</v>
      </c>
      <c r="AC34" s="2">
        <v>2</v>
      </c>
      <c r="AD34" s="2"/>
      <c r="AE34" s="2"/>
      <c r="AF34" s="2"/>
      <c r="AG34" s="2"/>
      <c r="AH34" s="2"/>
      <c r="AI34" s="2"/>
      <c r="AJ34" s="2"/>
      <c r="AK34" s="2"/>
      <c r="AL34" s="5">
        <v>33</v>
      </c>
      <c r="AM34" s="5">
        <v>1</v>
      </c>
      <c r="AN34" s="5">
        <v>1</v>
      </c>
      <c r="AO34" s="5">
        <v>1</v>
      </c>
      <c r="AP34" s="5">
        <v>1</v>
      </c>
      <c r="AQ34" s="5">
        <v>1</v>
      </c>
      <c r="AR34" s="2"/>
      <c r="AS34" s="18">
        <v>33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29"/>
      <c r="AZ34" s="18">
        <v>33</v>
      </c>
      <c r="BA34" s="5">
        <v>1</v>
      </c>
      <c r="BB34" s="5">
        <v>1</v>
      </c>
      <c r="BC34" s="5">
        <v>1</v>
      </c>
      <c r="BD34" s="5">
        <v>1</v>
      </c>
      <c r="BE34" s="5">
        <v>1</v>
      </c>
    </row>
    <row r="35" spans="1:57" ht="14.25" customHeight="1">
      <c r="A35" s="2"/>
      <c r="B35" s="2"/>
      <c r="C35" s="2"/>
      <c r="D35" s="2"/>
      <c r="E35" s="2"/>
      <c r="F35" s="2"/>
      <c r="G35" s="2"/>
      <c r="H35" s="30"/>
      <c r="I35" s="5">
        <v>34</v>
      </c>
      <c r="J35" s="5">
        <v>1</v>
      </c>
      <c r="K35" s="5">
        <v>1</v>
      </c>
      <c r="L35" s="5">
        <v>1</v>
      </c>
      <c r="M35" s="5">
        <v>1</v>
      </c>
      <c r="N35" s="5">
        <v>1</v>
      </c>
      <c r="O35" s="5">
        <v>1</v>
      </c>
      <c r="P35" s="5">
        <v>34</v>
      </c>
      <c r="Q35" s="5">
        <v>1</v>
      </c>
      <c r="R35" s="5">
        <v>1</v>
      </c>
      <c r="S35" s="5">
        <v>1</v>
      </c>
      <c r="T35" s="5">
        <v>1</v>
      </c>
      <c r="U35" s="5">
        <v>1</v>
      </c>
      <c r="V35" s="2">
        <v>2</v>
      </c>
      <c r="W35" s="5">
        <v>34</v>
      </c>
      <c r="X35" s="5">
        <v>1</v>
      </c>
      <c r="Y35" s="5">
        <v>1</v>
      </c>
      <c r="Z35" s="5">
        <v>1</v>
      </c>
      <c r="AA35" s="5">
        <v>1</v>
      </c>
      <c r="AB35" s="5">
        <v>1</v>
      </c>
      <c r="AC35" s="2">
        <v>2</v>
      </c>
      <c r="AD35" s="2"/>
      <c r="AE35" s="2"/>
      <c r="AF35" s="2"/>
      <c r="AG35" s="2"/>
      <c r="AH35" s="2"/>
      <c r="AI35" s="2"/>
      <c r="AJ35" s="2"/>
      <c r="AK35" s="2"/>
      <c r="AL35" s="5">
        <v>34</v>
      </c>
      <c r="AM35" s="5">
        <v>1</v>
      </c>
      <c r="AN35" s="5">
        <v>1</v>
      </c>
      <c r="AO35" s="5">
        <v>1</v>
      </c>
      <c r="AP35" s="5">
        <v>1</v>
      </c>
      <c r="AQ35" s="5">
        <v>1</v>
      </c>
      <c r="AR35" s="2"/>
      <c r="AS35" s="18">
        <v>34</v>
      </c>
      <c r="AT35" s="18">
        <v>1</v>
      </c>
      <c r="AU35" s="18">
        <v>1</v>
      </c>
      <c r="AV35" s="18">
        <v>1</v>
      </c>
      <c r="AW35" s="18">
        <v>1</v>
      </c>
      <c r="AX35" s="18">
        <v>1</v>
      </c>
      <c r="AY35" s="29"/>
      <c r="AZ35" s="18">
        <v>34</v>
      </c>
      <c r="BA35" s="5">
        <v>1</v>
      </c>
      <c r="BB35" s="5">
        <v>1</v>
      </c>
      <c r="BC35" s="5">
        <v>1</v>
      </c>
      <c r="BD35" s="5">
        <v>1</v>
      </c>
      <c r="BE35" s="5">
        <v>1</v>
      </c>
    </row>
    <row r="36" spans="1:57" ht="14.25" customHeight="1">
      <c r="A36" s="2"/>
      <c r="B36" s="2"/>
      <c r="C36" s="2"/>
      <c r="D36" s="2"/>
      <c r="E36" s="2"/>
      <c r="F36" s="2"/>
      <c r="G36" s="2"/>
      <c r="H36" s="30"/>
      <c r="I36" s="5">
        <v>35</v>
      </c>
      <c r="J36" s="5">
        <v>1</v>
      </c>
      <c r="K36" s="5">
        <v>1</v>
      </c>
      <c r="L36" s="5">
        <v>1</v>
      </c>
      <c r="M36" s="5">
        <v>1</v>
      </c>
      <c r="N36" s="5">
        <v>1</v>
      </c>
      <c r="O36" s="5">
        <v>1</v>
      </c>
      <c r="P36" s="5">
        <v>35</v>
      </c>
      <c r="Q36" s="5">
        <v>1</v>
      </c>
      <c r="R36" s="5">
        <v>1</v>
      </c>
      <c r="S36" s="5">
        <v>1</v>
      </c>
      <c r="T36" s="5">
        <v>1</v>
      </c>
      <c r="U36" s="5">
        <v>1</v>
      </c>
      <c r="V36" s="2">
        <v>2</v>
      </c>
      <c r="W36" s="5">
        <v>35</v>
      </c>
      <c r="X36" s="5">
        <v>1</v>
      </c>
      <c r="Y36" s="5">
        <v>1</v>
      </c>
      <c r="Z36" s="5">
        <v>1</v>
      </c>
      <c r="AA36" s="5">
        <v>1</v>
      </c>
      <c r="AB36" s="5">
        <v>1</v>
      </c>
      <c r="AC36" s="2">
        <v>2</v>
      </c>
      <c r="AD36" s="2"/>
      <c r="AE36" s="2"/>
      <c r="AF36" s="2"/>
      <c r="AG36" s="2"/>
      <c r="AH36" s="2"/>
      <c r="AI36" s="2"/>
      <c r="AJ36" s="2"/>
      <c r="AK36" s="2"/>
      <c r="AL36" s="5">
        <v>35</v>
      </c>
      <c r="AM36" s="5">
        <v>1</v>
      </c>
      <c r="AN36" s="5">
        <v>1</v>
      </c>
      <c r="AO36" s="5">
        <v>1</v>
      </c>
      <c r="AP36" s="5">
        <v>1</v>
      </c>
      <c r="AQ36" s="5">
        <v>1</v>
      </c>
      <c r="AR36" s="2"/>
      <c r="AS36" s="18">
        <v>35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29"/>
      <c r="AZ36" s="18">
        <v>35</v>
      </c>
      <c r="BA36" s="5">
        <v>1</v>
      </c>
      <c r="BB36" s="5">
        <v>1</v>
      </c>
      <c r="BC36" s="5">
        <v>1</v>
      </c>
      <c r="BD36" s="5">
        <v>1</v>
      </c>
      <c r="BE36" s="5">
        <v>1</v>
      </c>
    </row>
    <row r="37" spans="1:57" ht="14.25" customHeight="1">
      <c r="A37" s="2"/>
      <c r="B37" s="2"/>
      <c r="C37" s="2"/>
      <c r="D37" s="2"/>
      <c r="E37" s="2"/>
      <c r="F37" s="2"/>
      <c r="G37" s="2"/>
      <c r="H37" s="30"/>
      <c r="I37" s="73" t="s">
        <v>990</v>
      </c>
      <c r="J37" s="5">
        <v>1</v>
      </c>
      <c r="K37" s="5" t="s">
        <v>174</v>
      </c>
      <c r="L37" s="5">
        <v>1</v>
      </c>
      <c r="M37" s="5">
        <v>1</v>
      </c>
      <c r="N37" s="5">
        <v>1</v>
      </c>
      <c r="O37" s="80" t="s">
        <v>1277</v>
      </c>
      <c r="P37" s="73" t="s">
        <v>1000</v>
      </c>
      <c r="Q37" s="5">
        <v>1</v>
      </c>
      <c r="R37" s="5">
        <v>1</v>
      </c>
      <c r="S37" s="5">
        <v>1</v>
      </c>
      <c r="T37" s="5">
        <v>1</v>
      </c>
      <c r="U37" s="5">
        <v>1</v>
      </c>
      <c r="V37" s="2">
        <v>2</v>
      </c>
      <c r="W37" s="73" t="s">
        <v>959</v>
      </c>
      <c r="X37" s="5">
        <v>1</v>
      </c>
      <c r="Y37" s="5">
        <v>1</v>
      </c>
      <c r="Z37" s="5">
        <v>1</v>
      </c>
      <c r="AA37" s="5">
        <v>1</v>
      </c>
      <c r="AB37" s="5">
        <v>1</v>
      </c>
      <c r="AC37" s="2">
        <v>2</v>
      </c>
      <c r="AD37" s="2"/>
      <c r="AE37" s="2"/>
      <c r="AF37" s="2"/>
      <c r="AG37" s="2"/>
      <c r="AH37" s="2"/>
      <c r="AI37" s="2"/>
      <c r="AJ37" s="2"/>
      <c r="AK37" s="2"/>
      <c r="AL37" s="73" t="s">
        <v>871</v>
      </c>
      <c r="AM37" s="5">
        <v>1</v>
      </c>
      <c r="AN37" s="5">
        <v>1</v>
      </c>
      <c r="AO37" s="5">
        <v>1</v>
      </c>
      <c r="AP37" s="5">
        <v>1</v>
      </c>
      <c r="AQ37" s="5">
        <v>1</v>
      </c>
      <c r="AR37" s="2"/>
      <c r="AS37" s="17" t="s">
        <v>758</v>
      </c>
      <c r="AT37" s="18">
        <v>1</v>
      </c>
      <c r="AU37" s="18">
        <v>1</v>
      </c>
      <c r="AV37" s="18">
        <v>1</v>
      </c>
      <c r="AW37" s="18">
        <v>1</v>
      </c>
      <c r="AX37" s="18">
        <v>1</v>
      </c>
      <c r="AY37" s="29"/>
      <c r="AZ37" s="17" t="s">
        <v>247</v>
      </c>
      <c r="BA37" s="5">
        <v>1</v>
      </c>
      <c r="BB37" s="5">
        <v>1</v>
      </c>
      <c r="BC37" s="5">
        <v>1</v>
      </c>
      <c r="BD37" s="5">
        <v>1</v>
      </c>
      <c r="BE37" s="5">
        <v>1</v>
      </c>
    </row>
    <row r="38" spans="1:57" ht="14.25" customHeight="1">
      <c r="A38" s="2"/>
      <c r="B38" s="2"/>
      <c r="C38" s="2"/>
      <c r="D38" s="2"/>
      <c r="E38" s="2"/>
      <c r="F38" s="2"/>
      <c r="G38" s="2"/>
      <c r="H38" s="30"/>
      <c r="I38" s="5" t="s">
        <v>1010</v>
      </c>
      <c r="J38" s="5" t="s">
        <v>174</v>
      </c>
      <c r="K38" s="5">
        <v>1</v>
      </c>
      <c r="L38" s="5">
        <v>1</v>
      </c>
      <c r="M38" s="5">
        <v>1</v>
      </c>
      <c r="N38" s="5">
        <v>1</v>
      </c>
      <c r="O38" s="5">
        <v>1</v>
      </c>
      <c r="P38" s="5">
        <v>37</v>
      </c>
      <c r="Q38" s="5">
        <v>1</v>
      </c>
      <c r="R38" s="5">
        <v>1</v>
      </c>
      <c r="S38" s="5">
        <v>1</v>
      </c>
      <c r="T38" s="5">
        <v>1</v>
      </c>
      <c r="U38" s="5">
        <v>1</v>
      </c>
      <c r="V38" s="2">
        <v>2</v>
      </c>
      <c r="W38" s="5">
        <v>37</v>
      </c>
      <c r="X38" s="5">
        <v>1</v>
      </c>
      <c r="Y38" s="5">
        <v>1</v>
      </c>
      <c r="Z38" s="5">
        <v>1</v>
      </c>
      <c r="AA38" s="5">
        <v>1</v>
      </c>
      <c r="AB38" s="5">
        <v>1</v>
      </c>
      <c r="AC38" s="2">
        <v>2</v>
      </c>
      <c r="AD38" s="2"/>
      <c r="AE38" s="2"/>
      <c r="AF38" s="2"/>
      <c r="AG38" s="2"/>
      <c r="AH38" s="2"/>
      <c r="AI38" s="2"/>
      <c r="AJ38" s="2"/>
      <c r="AK38" s="2"/>
      <c r="AL38" s="5">
        <v>37</v>
      </c>
      <c r="AM38" s="5">
        <v>1</v>
      </c>
      <c r="AN38" s="5">
        <v>1</v>
      </c>
      <c r="AO38" s="5">
        <v>1</v>
      </c>
      <c r="AP38" s="5">
        <v>1</v>
      </c>
      <c r="AQ38" s="5">
        <v>1</v>
      </c>
      <c r="AR38" s="2"/>
      <c r="AS38" s="18">
        <v>37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29"/>
      <c r="AZ38" s="18">
        <v>37</v>
      </c>
      <c r="BA38" s="5">
        <v>1</v>
      </c>
      <c r="BB38" s="5">
        <v>1</v>
      </c>
      <c r="BC38" s="5">
        <v>1</v>
      </c>
      <c r="BD38" s="5">
        <v>1</v>
      </c>
      <c r="BE38" s="5">
        <v>1</v>
      </c>
    </row>
    <row r="39" spans="1:57" ht="14.25" customHeight="1">
      <c r="A39" s="2"/>
      <c r="B39" s="2"/>
      <c r="C39" s="2"/>
      <c r="D39" s="2"/>
      <c r="E39" s="2"/>
      <c r="F39" s="2"/>
      <c r="G39" s="2"/>
      <c r="H39" s="30"/>
      <c r="I39" s="5">
        <v>38</v>
      </c>
      <c r="J39" s="5">
        <v>1</v>
      </c>
      <c r="K39" s="5">
        <v>1</v>
      </c>
      <c r="L39" s="5">
        <v>1</v>
      </c>
      <c r="M39" s="5">
        <v>1</v>
      </c>
      <c r="N39" s="5">
        <v>1</v>
      </c>
      <c r="O39" s="5">
        <v>1</v>
      </c>
      <c r="P39" s="5">
        <v>38</v>
      </c>
      <c r="Q39" s="5">
        <v>1</v>
      </c>
      <c r="R39" s="5">
        <v>1</v>
      </c>
      <c r="S39" s="5">
        <v>1</v>
      </c>
      <c r="T39" s="5">
        <v>1</v>
      </c>
      <c r="U39" s="5">
        <v>1</v>
      </c>
      <c r="V39" s="2">
        <v>2</v>
      </c>
      <c r="W39" s="5">
        <v>38</v>
      </c>
      <c r="X39" s="5">
        <v>1</v>
      </c>
      <c r="Y39" s="5">
        <v>1</v>
      </c>
      <c r="Z39" s="5">
        <v>1</v>
      </c>
      <c r="AA39" s="5">
        <v>1</v>
      </c>
      <c r="AB39" s="5">
        <v>1</v>
      </c>
      <c r="AC39" s="2">
        <v>2</v>
      </c>
      <c r="AD39" s="2"/>
      <c r="AE39" s="2"/>
      <c r="AF39" s="2"/>
      <c r="AG39" s="2"/>
      <c r="AH39" s="2"/>
      <c r="AI39" s="2"/>
      <c r="AJ39" s="2"/>
      <c r="AK39" s="2"/>
      <c r="AL39" s="5">
        <v>38</v>
      </c>
      <c r="AM39" s="5">
        <v>1</v>
      </c>
      <c r="AN39" s="5">
        <v>1</v>
      </c>
      <c r="AO39" s="5">
        <v>1</v>
      </c>
      <c r="AP39" s="5">
        <v>1</v>
      </c>
      <c r="AQ39" s="5">
        <v>1</v>
      </c>
      <c r="AR39" s="2"/>
      <c r="AS39" s="18">
        <v>38</v>
      </c>
      <c r="AT39" s="18">
        <v>1</v>
      </c>
      <c r="AU39" s="18">
        <v>1</v>
      </c>
      <c r="AV39" s="18">
        <v>1</v>
      </c>
      <c r="AW39" s="18">
        <v>1</v>
      </c>
      <c r="AX39" s="18">
        <v>1</v>
      </c>
      <c r="AY39" s="29"/>
      <c r="AZ39" s="18">
        <v>38</v>
      </c>
      <c r="BA39" s="5">
        <v>1</v>
      </c>
      <c r="BB39" s="5">
        <v>1</v>
      </c>
      <c r="BC39" s="5">
        <v>1</v>
      </c>
      <c r="BD39" s="5">
        <v>1</v>
      </c>
      <c r="BE39" s="5">
        <v>1</v>
      </c>
    </row>
    <row r="40" spans="1:57" ht="14.25" customHeight="1">
      <c r="A40" s="2"/>
      <c r="B40" s="2"/>
      <c r="C40" s="2"/>
      <c r="D40" s="2"/>
      <c r="E40" s="2"/>
      <c r="F40" s="2"/>
      <c r="G40" s="2"/>
      <c r="H40" s="30"/>
      <c r="I40" s="5">
        <v>39</v>
      </c>
      <c r="J40" s="5">
        <v>1</v>
      </c>
      <c r="K40" s="5">
        <v>1</v>
      </c>
      <c r="L40" s="5">
        <v>1</v>
      </c>
      <c r="M40" s="5">
        <v>1</v>
      </c>
      <c r="N40" s="5">
        <v>1</v>
      </c>
      <c r="O40" s="5">
        <v>1</v>
      </c>
      <c r="P40" s="5">
        <v>39</v>
      </c>
      <c r="Q40" s="5">
        <v>1</v>
      </c>
      <c r="R40" s="5">
        <v>1</v>
      </c>
      <c r="S40" s="5">
        <v>1</v>
      </c>
      <c r="T40" s="5">
        <v>1</v>
      </c>
      <c r="U40" s="5">
        <v>1</v>
      </c>
      <c r="V40" s="2">
        <v>2</v>
      </c>
      <c r="W40" s="5">
        <v>39</v>
      </c>
      <c r="X40" s="5">
        <v>1</v>
      </c>
      <c r="Y40" s="5">
        <v>1</v>
      </c>
      <c r="Z40" s="5">
        <v>1</v>
      </c>
      <c r="AA40" s="5">
        <v>1</v>
      </c>
      <c r="AB40" s="5">
        <v>1</v>
      </c>
      <c r="AC40" s="2">
        <v>2</v>
      </c>
      <c r="AD40" s="2"/>
      <c r="AE40" s="2"/>
      <c r="AF40" s="2"/>
      <c r="AG40" s="2"/>
      <c r="AH40" s="2"/>
      <c r="AI40" s="2"/>
      <c r="AJ40" s="2"/>
      <c r="AK40" s="2"/>
      <c r="AL40" s="5">
        <v>39</v>
      </c>
      <c r="AM40" s="5">
        <v>1</v>
      </c>
      <c r="AN40" s="5">
        <v>1</v>
      </c>
      <c r="AO40" s="5">
        <v>1</v>
      </c>
      <c r="AP40" s="5">
        <v>1</v>
      </c>
      <c r="AQ40" s="5">
        <v>1</v>
      </c>
      <c r="AR40" s="2"/>
      <c r="AS40" s="18">
        <v>39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29"/>
      <c r="AZ40" s="18">
        <v>39</v>
      </c>
      <c r="BA40" s="5">
        <v>1</v>
      </c>
      <c r="BB40" s="5">
        <v>1</v>
      </c>
      <c r="BC40" s="5">
        <v>1</v>
      </c>
      <c r="BD40" s="5">
        <v>1</v>
      </c>
      <c r="BE40" s="5">
        <v>1</v>
      </c>
    </row>
    <row r="41" spans="1:57" ht="14.25" customHeight="1">
      <c r="A41" s="2"/>
      <c r="B41" s="2"/>
      <c r="C41" s="2"/>
      <c r="D41" s="2"/>
      <c r="E41" s="2"/>
      <c r="F41" s="2"/>
      <c r="G41" s="2"/>
      <c r="H41" s="30"/>
      <c r="I41" s="5">
        <v>40</v>
      </c>
      <c r="J41" s="5">
        <v>1</v>
      </c>
      <c r="K41" s="5">
        <v>1</v>
      </c>
      <c r="L41" s="5">
        <v>1</v>
      </c>
      <c r="M41" s="5">
        <v>1</v>
      </c>
      <c r="N41" s="5">
        <v>1</v>
      </c>
      <c r="O41" s="5">
        <v>1</v>
      </c>
      <c r="P41" s="5">
        <v>40</v>
      </c>
      <c r="Q41" s="5">
        <v>1</v>
      </c>
      <c r="R41" s="5">
        <v>1</v>
      </c>
      <c r="S41" s="5">
        <v>1</v>
      </c>
      <c r="T41" s="5">
        <v>1</v>
      </c>
      <c r="U41" s="5">
        <v>1</v>
      </c>
      <c r="V41" s="2">
        <v>2</v>
      </c>
      <c r="W41" s="5">
        <v>40</v>
      </c>
      <c r="X41" s="5">
        <v>1</v>
      </c>
      <c r="Y41" s="5">
        <v>1</v>
      </c>
      <c r="Z41" s="5">
        <v>1</v>
      </c>
      <c r="AA41" s="5">
        <v>1</v>
      </c>
      <c r="AB41" s="5">
        <v>1</v>
      </c>
      <c r="AC41" s="2">
        <v>2</v>
      </c>
      <c r="AD41" s="2"/>
      <c r="AE41" s="2"/>
      <c r="AF41" s="2"/>
      <c r="AG41" s="2"/>
      <c r="AH41" s="2"/>
      <c r="AI41" s="2"/>
      <c r="AJ41" s="2"/>
      <c r="AK41" s="2"/>
      <c r="AL41" s="5">
        <v>40</v>
      </c>
      <c r="AM41" s="5">
        <v>1</v>
      </c>
      <c r="AN41" s="5">
        <v>1</v>
      </c>
      <c r="AO41" s="5">
        <v>1</v>
      </c>
      <c r="AP41" s="5">
        <v>1</v>
      </c>
      <c r="AQ41" s="5">
        <v>1</v>
      </c>
      <c r="AR41" s="2"/>
      <c r="AS41" s="18">
        <v>40</v>
      </c>
      <c r="AT41" s="18">
        <v>1</v>
      </c>
      <c r="AU41" s="18">
        <v>1</v>
      </c>
      <c r="AV41" s="18">
        <v>1</v>
      </c>
      <c r="AW41" s="18">
        <v>1</v>
      </c>
      <c r="AX41" s="18">
        <v>1</v>
      </c>
      <c r="AY41" s="29"/>
      <c r="AZ41" s="18">
        <v>40</v>
      </c>
      <c r="BA41" s="5">
        <v>1</v>
      </c>
      <c r="BB41" s="5">
        <v>1</v>
      </c>
      <c r="BC41" s="5">
        <v>1</v>
      </c>
      <c r="BD41" s="5">
        <v>1</v>
      </c>
      <c r="BE41" s="5">
        <v>1</v>
      </c>
    </row>
    <row r="42" spans="1:57" ht="14.25" customHeight="1">
      <c r="A42" s="2"/>
      <c r="B42" s="2"/>
      <c r="C42" s="2"/>
      <c r="D42" s="2"/>
      <c r="E42" s="2"/>
      <c r="F42" s="2"/>
      <c r="G42" s="2"/>
      <c r="H42" s="30"/>
      <c r="I42" s="73" t="s">
        <v>991</v>
      </c>
      <c r="J42" s="5">
        <v>1</v>
      </c>
      <c r="K42" s="5">
        <v>1</v>
      </c>
      <c r="L42" s="5">
        <v>1</v>
      </c>
      <c r="M42" s="5">
        <v>1</v>
      </c>
      <c r="N42" s="5">
        <v>1</v>
      </c>
      <c r="O42" s="80"/>
      <c r="P42" s="73" t="s">
        <v>1001</v>
      </c>
      <c r="Q42" s="5">
        <v>1</v>
      </c>
      <c r="R42" s="5">
        <v>1</v>
      </c>
      <c r="S42" s="5">
        <v>1</v>
      </c>
      <c r="T42" s="5">
        <v>1</v>
      </c>
      <c r="U42" s="5">
        <v>1</v>
      </c>
      <c r="V42" s="2">
        <v>2</v>
      </c>
      <c r="W42" s="73" t="s">
        <v>960</v>
      </c>
      <c r="X42" s="5">
        <v>1</v>
      </c>
      <c r="Y42" s="5">
        <v>1</v>
      </c>
      <c r="Z42" s="5">
        <v>1</v>
      </c>
      <c r="AA42" s="5">
        <v>1</v>
      </c>
      <c r="AB42" s="5">
        <v>1</v>
      </c>
      <c r="AC42" s="2">
        <v>2</v>
      </c>
      <c r="AD42" s="2"/>
      <c r="AE42" s="2"/>
      <c r="AF42" s="2"/>
      <c r="AG42" s="2"/>
      <c r="AH42" s="2"/>
      <c r="AI42" s="2"/>
      <c r="AJ42" s="2"/>
      <c r="AK42" s="2"/>
      <c r="AL42" s="73" t="s">
        <v>881</v>
      </c>
      <c r="AM42" s="5">
        <v>1</v>
      </c>
      <c r="AN42" s="5">
        <v>1</v>
      </c>
      <c r="AO42" s="5">
        <v>1</v>
      </c>
      <c r="AP42" s="5">
        <v>1</v>
      </c>
      <c r="AQ42" s="5">
        <v>1</v>
      </c>
      <c r="AR42" s="2"/>
      <c r="AS42" s="17" t="s">
        <v>765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29"/>
      <c r="AZ42" s="17" t="s">
        <v>270</v>
      </c>
      <c r="BA42" s="5">
        <v>1</v>
      </c>
      <c r="BB42" s="5">
        <v>1</v>
      </c>
      <c r="BC42" s="5">
        <v>1</v>
      </c>
      <c r="BD42" s="5">
        <v>1</v>
      </c>
      <c r="BE42" s="5">
        <v>1</v>
      </c>
    </row>
    <row r="43" spans="1:57" ht="14.25" customHeight="1">
      <c r="A43" s="2"/>
      <c r="B43" s="2"/>
      <c r="C43" s="2"/>
      <c r="D43" s="2"/>
      <c r="E43" s="2"/>
      <c r="F43" s="2"/>
      <c r="G43" s="2"/>
      <c r="H43" s="30"/>
      <c r="I43" s="5">
        <v>42</v>
      </c>
      <c r="J43" s="5">
        <v>1</v>
      </c>
      <c r="K43" s="5">
        <v>1</v>
      </c>
      <c r="L43" s="5">
        <v>1</v>
      </c>
      <c r="M43" s="5">
        <v>1</v>
      </c>
      <c r="N43" s="5">
        <v>1</v>
      </c>
      <c r="O43" s="5">
        <v>1</v>
      </c>
      <c r="P43" s="5">
        <v>42</v>
      </c>
      <c r="Q43" s="5">
        <v>1</v>
      </c>
      <c r="R43" s="5">
        <v>1</v>
      </c>
      <c r="S43" s="5">
        <v>1</v>
      </c>
      <c r="T43" s="5">
        <v>1</v>
      </c>
      <c r="U43" s="5">
        <v>1</v>
      </c>
      <c r="V43" s="2">
        <v>2</v>
      </c>
      <c r="W43" s="5">
        <v>42</v>
      </c>
      <c r="X43" s="5">
        <v>1</v>
      </c>
      <c r="Y43" s="5">
        <v>1</v>
      </c>
      <c r="Z43" s="5">
        <v>1</v>
      </c>
      <c r="AA43" s="5">
        <v>1</v>
      </c>
      <c r="AB43" s="5">
        <v>1</v>
      </c>
      <c r="AC43" s="2">
        <v>2</v>
      </c>
      <c r="AD43" s="2"/>
      <c r="AE43" s="2"/>
      <c r="AF43" s="2"/>
      <c r="AG43" s="2"/>
      <c r="AH43" s="2"/>
      <c r="AI43" s="2"/>
      <c r="AJ43" s="2"/>
      <c r="AK43" s="2"/>
      <c r="AL43" s="5">
        <v>42</v>
      </c>
      <c r="AM43" s="5">
        <v>1</v>
      </c>
      <c r="AN43" s="5">
        <v>1</v>
      </c>
      <c r="AO43" s="5">
        <v>1</v>
      </c>
      <c r="AP43" s="5">
        <v>1</v>
      </c>
      <c r="AQ43" s="5">
        <v>1</v>
      </c>
      <c r="AR43" s="2"/>
      <c r="AS43" s="18">
        <v>42</v>
      </c>
      <c r="AT43" s="18">
        <v>1</v>
      </c>
      <c r="AU43" s="18">
        <v>1</v>
      </c>
      <c r="AV43" s="18">
        <v>1</v>
      </c>
      <c r="AW43" s="18">
        <v>1</v>
      </c>
      <c r="AX43" s="18">
        <v>1</v>
      </c>
      <c r="AY43" s="29"/>
      <c r="AZ43" s="18">
        <v>42</v>
      </c>
      <c r="BA43" s="5">
        <v>1</v>
      </c>
      <c r="BB43" s="5">
        <v>1</v>
      </c>
      <c r="BC43" s="5">
        <v>1</v>
      </c>
      <c r="BD43" s="5">
        <v>1</v>
      </c>
      <c r="BE43" s="5">
        <v>1</v>
      </c>
    </row>
    <row r="44" spans="1:57" ht="14.25" customHeight="1">
      <c r="A44" s="2"/>
      <c r="B44" s="2"/>
      <c r="C44" s="2"/>
      <c r="D44" s="2"/>
      <c r="E44" s="2"/>
      <c r="F44" s="2"/>
      <c r="G44" s="2"/>
      <c r="H44" s="30"/>
      <c r="I44" s="5">
        <v>43</v>
      </c>
      <c r="J44" s="5">
        <v>1</v>
      </c>
      <c r="K44" s="5">
        <v>1</v>
      </c>
      <c r="L44" s="5">
        <v>1</v>
      </c>
      <c r="M44" s="5">
        <v>1</v>
      </c>
      <c r="N44" s="5">
        <v>1</v>
      </c>
      <c r="O44" s="5">
        <v>1</v>
      </c>
      <c r="P44" s="5">
        <v>43</v>
      </c>
      <c r="Q44" s="5">
        <v>1</v>
      </c>
      <c r="R44" s="5">
        <v>1</v>
      </c>
      <c r="S44" s="5">
        <v>1</v>
      </c>
      <c r="T44" s="5">
        <v>1</v>
      </c>
      <c r="U44" s="5">
        <v>1</v>
      </c>
      <c r="V44" s="2">
        <v>2</v>
      </c>
      <c r="W44" s="5">
        <v>43</v>
      </c>
      <c r="X44" s="5">
        <v>1</v>
      </c>
      <c r="Y44" s="5">
        <v>1</v>
      </c>
      <c r="Z44" s="5">
        <v>1</v>
      </c>
      <c r="AA44" s="5">
        <v>1</v>
      </c>
      <c r="AB44" s="5">
        <v>1</v>
      </c>
      <c r="AC44" s="2">
        <v>2</v>
      </c>
      <c r="AD44" s="2"/>
      <c r="AE44" s="2"/>
      <c r="AF44" s="2"/>
      <c r="AG44" s="2"/>
      <c r="AH44" s="2"/>
      <c r="AI44" s="2"/>
      <c r="AJ44" s="2"/>
      <c r="AK44" s="2"/>
      <c r="AL44" s="5">
        <v>43</v>
      </c>
      <c r="AM44" s="5">
        <v>1</v>
      </c>
      <c r="AN44" s="5">
        <v>1</v>
      </c>
      <c r="AO44" s="5">
        <v>1</v>
      </c>
      <c r="AP44" s="5">
        <v>1</v>
      </c>
      <c r="AQ44" s="5">
        <v>1</v>
      </c>
      <c r="AR44" s="2"/>
      <c r="AS44" s="18">
        <v>43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29"/>
      <c r="AZ44" s="18">
        <v>43</v>
      </c>
      <c r="BA44" s="5">
        <v>1</v>
      </c>
      <c r="BB44" s="5">
        <v>1</v>
      </c>
      <c r="BC44" s="5">
        <v>1</v>
      </c>
      <c r="BD44" s="5">
        <v>1</v>
      </c>
      <c r="BE44" s="5">
        <v>1</v>
      </c>
    </row>
    <row r="45" spans="1:57" ht="14.25" customHeight="1">
      <c r="A45" s="2"/>
      <c r="B45" s="2"/>
      <c r="C45" s="2"/>
      <c r="D45" s="2"/>
      <c r="E45" s="2"/>
      <c r="F45" s="2"/>
      <c r="G45" s="2"/>
      <c r="H45" s="30"/>
      <c r="I45" s="5">
        <v>44</v>
      </c>
      <c r="J45" s="5">
        <v>1</v>
      </c>
      <c r="K45" s="5">
        <v>1</v>
      </c>
      <c r="L45" s="5">
        <v>1</v>
      </c>
      <c r="M45" s="5">
        <v>1</v>
      </c>
      <c r="N45" s="5">
        <v>1</v>
      </c>
      <c r="O45" s="5">
        <v>1</v>
      </c>
      <c r="P45" s="5">
        <v>44</v>
      </c>
      <c r="Q45" s="5">
        <v>1</v>
      </c>
      <c r="R45" s="5">
        <v>1</v>
      </c>
      <c r="S45" s="5">
        <v>1</v>
      </c>
      <c r="T45" s="5">
        <v>1</v>
      </c>
      <c r="U45" s="5">
        <v>1</v>
      </c>
      <c r="V45" s="2">
        <v>2</v>
      </c>
      <c r="W45" s="5">
        <v>44</v>
      </c>
      <c r="X45" s="5">
        <v>1</v>
      </c>
      <c r="Y45" s="5">
        <v>1</v>
      </c>
      <c r="Z45" s="5">
        <v>1</v>
      </c>
      <c r="AA45" s="5">
        <v>1</v>
      </c>
      <c r="AB45" s="5">
        <v>1</v>
      </c>
      <c r="AC45" s="2">
        <v>2</v>
      </c>
      <c r="AD45" s="2"/>
      <c r="AE45" s="2"/>
      <c r="AF45" s="2"/>
      <c r="AG45" s="2"/>
      <c r="AH45" s="2"/>
      <c r="AI45" s="2"/>
      <c r="AJ45" s="2"/>
      <c r="AK45" s="2"/>
      <c r="AL45" s="5">
        <v>44</v>
      </c>
      <c r="AM45" s="5">
        <v>1</v>
      </c>
      <c r="AN45" s="5">
        <v>1</v>
      </c>
      <c r="AO45" s="5">
        <v>1</v>
      </c>
      <c r="AP45" s="5">
        <v>1</v>
      </c>
      <c r="AQ45" s="5">
        <v>1</v>
      </c>
      <c r="AR45" s="2"/>
      <c r="AS45" s="18">
        <v>44</v>
      </c>
      <c r="AT45" s="18">
        <v>1</v>
      </c>
      <c r="AU45" s="18">
        <v>1</v>
      </c>
      <c r="AV45" s="18">
        <v>1</v>
      </c>
      <c r="AW45" s="18">
        <v>1</v>
      </c>
      <c r="AX45" s="18">
        <v>1</v>
      </c>
      <c r="AY45" s="29"/>
      <c r="AZ45" s="18">
        <v>44</v>
      </c>
      <c r="BA45" s="5">
        <v>1</v>
      </c>
      <c r="BB45" s="5">
        <v>1</v>
      </c>
      <c r="BC45" s="5">
        <v>1</v>
      </c>
      <c r="BD45" s="5">
        <v>1</v>
      </c>
      <c r="BE45" s="5">
        <v>1</v>
      </c>
    </row>
    <row r="46" spans="1:57" ht="14.25" customHeight="1">
      <c r="A46" s="2"/>
      <c r="B46" s="2"/>
      <c r="C46" s="2"/>
      <c r="D46" s="2"/>
      <c r="E46" s="2"/>
      <c r="F46" s="2"/>
      <c r="G46" s="2"/>
      <c r="H46" s="30"/>
      <c r="I46" s="5">
        <v>45</v>
      </c>
      <c r="J46" s="5">
        <v>1</v>
      </c>
      <c r="K46" s="5">
        <v>1</v>
      </c>
      <c r="L46" s="5">
        <v>1</v>
      </c>
      <c r="M46" s="5">
        <v>1</v>
      </c>
      <c r="N46" s="5">
        <v>1</v>
      </c>
      <c r="O46" s="5">
        <v>1</v>
      </c>
      <c r="P46" s="5">
        <v>45</v>
      </c>
      <c r="Q46" s="5">
        <v>1</v>
      </c>
      <c r="R46" s="5">
        <v>1</v>
      </c>
      <c r="S46" s="5">
        <v>1</v>
      </c>
      <c r="T46" s="5">
        <v>1</v>
      </c>
      <c r="U46" s="5">
        <v>1</v>
      </c>
      <c r="V46" s="2">
        <v>2</v>
      </c>
      <c r="W46" s="5">
        <v>45</v>
      </c>
      <c r="X46" s="5">
        <v>1</v>
      </c>
      <c r="Y46" s="5">
        <v>1</v>
      </c>
      <c r="Z46" s="5">
        <v>1</v>
      </c>
      <c r="AA46" s="5">
        <v>1</v>
      </c>
      <c r="AB46" s="5">
        <v>1</v>
      </c>
      <c r="AC46" s="2">
        <v>2</v>
      </c>
      <c r="AD46" s="2"/>
      <c r="AE46" s="2"/>
      <c r="AF46" s="2"/>
      <c r="AG46" s="2"/>
      <c r="AH46" s="2"/>
      <c r="AI46" s="2"/>
      <c r="AJ46" s="2"/>
      <c r="AK46" s="2"/>
      <c r="AL46" s="5">
        <v>45</v>
      </c>
      <c r="AM46" s="5">
        <v>1</v>
      </c>
      <c r="AN46" s="5">
        <v>1</v>
      </c>
      <c r="AO46" s="5">
        <v>1</v>
      </c>
      <c r="AP46" s="5">
        <v>1</v>
      </c>
      <c r="AQ46" s="5">
        <v>1</v>
      </c>
      <c r="AR46" s="2"/>
      <c r="AS46" s="18">
        <v>45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29"/>
      <c r="AZ46" s="18">
        <v>45</v>
      </c>
      <c r="BA46" s="5">
        <v>1</v>
      </c>
      <c r="BB46" s="5">
        <v>1</v>
      </c>
      <c r="BC46" s="5">
        <v>1</v>
      </c>
      <c r="BD46" s="5">
        <v>1</v>
      </c>
      <c r="BE46" s="5">
        <v>1</v>
      </c>
    </row>
    <row r="47" spans="1:57" ht="14.25" customHeight="1">
      <c r="A47" s="2"/>
      <c r="B47" s="2"/>
      <c r="C47" s="2"/>
      <c r="D47" s="2"/>
      <c r="E47" s="2"/>
      <c r="F47" s="2"/>
      <c r="G47" s="2"/>
      <c r="H47" s="30"/>
      <c r="I47" s="73" t="s">
        <v>992</v>
      </c>
      <c r="J47" s="5">
        <v>1</v>
      </c>
      <c r="K47" s="5">
        <v>1</v>
      </c>
      <c r="L47" s="5">
        <v>1</v>
      </c>
      <c r="M47" s="5">
        <v>1</v>
      </c>
      <c r="N47" s="5">
        <v>1</v>
      </c>
      <c r="O47" s="80"/>
      <c r="P47" s="73" t="s">
        <v>1002</v>
      </c>
      <c r="Q47" s="5">
        <v>1</v>
      </c>
      <c r="R47" s="5">
        <v>1</v>
      </c>
      <c r="S47" s="5">
        <v>1</v>
      </c>
      <c r="T47" s="5">
        <v>1</v>
      </c>
      <c r="U47" s="5">
        <v>1</v>
      </c>
      <c r="V47" s="2">
        <v>2</v>
      </c>
      <c r="W47" s="73" t="s">
        <v>961</v>
      </c>
      <c r="X47" s="5">
        <v>1</v>
      </c>
      <c r="Y47" s="5">
        <v>1</v>
      </c>
      <c r="Z47" s="5">
        <v>1</v>
      </c>
      <c r="AA47" s="5">
        <v>1</v>
      </c>
      <c r="AB47" s="5">
        <v>1</v>
      </c>
      <c r="AC47" s="2">
        <v>2</v>
      </c>
      <c r="AD47" s="2"/>
      <c r="AE47" s="2"/>
      <c r="AF47" s="2"/>
      <c r="AG47" s="2"/>
      <c r="AH47" s="2"/>
      <c r="AI47" s="2"/>
      <c r="AJ47" s="2"/>
      <c r="AK47" s="2"/>
      <c r="AL47" s="73" t="s">
        <v>885</v>
      </c>
      <c r="AM47" s="5">
        <v>1</v>
      </c>
      <c r="AN47" s="5">
        <v>1</v>
      </c>
      <c r="AO47" s="5">
        <v>1</v>
      </c>
      <c r="AP47" s="5">
        <v>1</v>
      </c>
      <c r="AQ47" s="5">
        <v>1</v>
      </c>
      <c r="AR47" s="2"/>
      <c r="AS47" s="17" t="s">
        <v>772</v>
      </c>
      <c r="AT47" s="18">
        <v>1</v>
      </c>
      <c r="AU47" s="18">
        <v>1</v>
      </c>
      <c r="AV47" s="18">
        <v>1</v>
      </c>
      <c r="AW47" s="18">
        <v>1</v>
      </c>
      <c r="AX47" s="18">
        <v>1</v>
      </c>
      <c r="AY47" s="29"/>
      <c r="AZ47" s="17" t="s">
        <v>298</v>
      </c>
      <c r="BA47" s="5">
        <v>1</v>
      </c>
      <c r="BB47" s="5">
        <v>1</v>
      </c>
      <c r="BC47" s="5">
        <v>1</v>
      </c>
      <c r="BD47" s="5">
        <v>1</v>
      </c>
      <c r="BE47" s="5">
        <v>1</v>
      </c>
    </row>
    <row r="48" spans="1:57" ht="14.25" customHeight="1">
      <c r="A48" s="2"/>
      <c r="B48" s="2"/>
      <c r="C48" s="2"/>
      <c r="D48" s="2"/>
      <c r="E48" s="2"/>
      <c r="F48" s="2"/>
      <c r="G48" s="2"/>
      <c r="H48" s="30"/>
      <c r="I48" s="5">
        <v>47</v>
      </c>
      <c r="J48" s="5">
        <v>1</v>
      </c>
      <c r="K48" s="5">
        <v>1</v>
      </c>
      <c r="L48" s="5">
        <v>1</v>
      </c>
      <c r="M48" s="5">
        <v>1</v>
      </c>
      <c r="N48" s="5">
        <v>1</v>
      </c>
      <c r="O48" s="5">
        <v>1</v>
      </c>
      <c r="P48" s="5">
        <v>47</v>
      </c>
      <c r="Q48" s="5">
        <v>1</v>
      </c>
      <c r="R48" s="5">
        <v>1</v>
      </c>
      <c r="S48" s="5">
        <v>1</v>
      </c>
      <c r="T48" s="5">
        <v>1</v>
      </c>
      <c r="U48" s="5">
        <v>1</v>
      </c>
      <c r="V48" s="2">
        <v>2</v>
      </c>
      <c r="W48" s="5">
        <v>47</v>
      </c>
      <c r="X48" s="5">
        <v>1</v>
      </c>
      <c r="Y48" s="5">
        <v>1</v>
      </c>
      <c r="Z48" s="5">
        <v>1</v>
      </c>
      <c r="AA48" s="5">
        <v>1</v>
      </c>
      <c r="AB48" s="5">
        <v>1</v>
      </c>
      <c r="AC48" s="2">
        <v>2</v>
      </c>
      <c r="AD48" s="2"/>
      <c r="AE48" s="2"/>
      <c r="AF48" s="2"/>
      <c r="AG48" s="2"/>
      <c r="AH48" s="2"/>
      <c r="AI48" s="2"/>
      <c r="AJ48" s="2"/>
      <c r="AK48" s="2"/>
      <c r="AL48" s="5">
        <v>47</v>
      </c>
      <c r="AM48" s="5">
        <v>1</v>
      </c>
      <c r="AN48" s="5">
        <v>1</v>
      </c>
      <c r="AO48" s="5">
        <v>1</v>
      </c>
      <c r="AP48" s="5">
        <v>1</v>
      </c>
      <c r="AQ48" s="5">
        <v>1</v>
      </c>
      <c r="AR48" s="2"/>
      <c r="AS48" s="18">
        <v>47</v>
      </c>
      <c r="AT48" s="18">
        <v>1</v>
      </c>
      <c r="AU48" s="18">
        <v>1</v>
      </c>
      <c r="AV48" s="18">
        <v>1</v>
      </c>
      <c r="AW48" s="18">
        <v>1</v>
      </c>
      <c r="AX48" s="18">
        <v>1</v>
      </c>
      <c r="AY48" s="29"/>
      <c r="AZ48" s="18">
        <v>47</v>
      </c>
      <c r="BA48" s="5">
        <v>1</v>
      </c>
      <c r="BB48" s="5">
        <v>1</v>
      </c>
      <c r="BC48" s="5">
        <v>1</v>
      </c>
      <c r="BD48" s="5">
        <v>1</v>
      </c>
      <c r="BE48" s="5">
        <v>1</v>
      </c>
    </row>
    <row r="49" spans="1:57" ht="14.25" customHeight="1">
      <c r="A49" s="2"/>
      <c r="B49" s="2"/>
      <c r="C49" s="2"/>
      <c r="D49" s="2"/>
      <c r="E49" s="2"/>
      <c r="F49" s="2"/>
      <c r="G49" s="2"/>
      <c r="H49" s="30"/>
      <c r="I49" s="5">
        <v>48</v>
      </c>
      <c r="J49" s="5">
        <v>1</v>
      </c>
      <c r="K49" s="5">
        <v>1</v>
      </c>
      <c r="L49" s="5">
        <v>1</v>
      </c>
      <c r="M49" s="5">
        <v>1</v>
      </c>
      <c r="N49" s="5">
        <v>1</v>
      </c>
      <c r="O49" s="5">
        <v>1</v>
      </c>
      <c r="P49" s="5">
        <v>48</v>
      </c>
      <c r="Q49" s="5">
        <v>1</v>
      </c>
      <c r="R49" s="5">
        <v>1</v>
      </c>
      <c r="S49" s="5">
        <v>1</v>
      </c>
      <c r="T49" s="5">
        <v>1</v>
      </c>
      <c r="U49" s="5">
        <v>1</v>
      </c>
      <c r="V49" s="2">
        <v>2</v>
      </c>
      <c r="W49" s="5">
        <v>48</v>
      </c>
      <c r="X49" s="5">
        <v>1</v>
      </c>
      <c r="Y49" s="5">
        <v>1</v>
      </c>
      <c r="Z49" s="5">
        <v>1</v>
      </c>
      <c r="AA49" s="5">
        <v>1</v>
      </c>
      <c r="AB49" s="5">
        <v>1</v>
      </c>
      <c r="AC49" s="2">
        <v>2</v>
      </c>
      <c r="AD49" s="2"/>
      <c r="AE49" s="2"/>
      <c r="AF49" s="2"/>
      <c r="AG49" s="2"/>
      <c r="AH49" s="2"/>
      <c r="AI49" s="2"/>
      <c r="AJ49" s="2"/>
      <c r="AK49" s="2"/>
      <c r="AL49" s="5">
        <v>48</v>
      </c>
      <c r="AM49" s="5">
        <v>1</v>
      </c>
      <c r="AN49" s="5">
        <v>1</v>
      </c>
      <c r="AO49" s="5">
        <v>1</v>
      </c>
      <c r="AP49" s="5">
        <v>1</v>
      </c>
      <c r="AQ49" s="5">
        <v>1</v>
      </c>
      <c r="AR49" s="2"/>
      <c r="AS49" s="18">
        <v>48</v>
      </c>
      <c r="AT49" s="18">
        <v>1</v>
      </c>
      <c r="AU49" s="18">
        <v>1</v>
      </c>
      <c r="AV49" s="18">
        <v>1</v>
      </c>
      <c r="AW49" s="18">
        <v>1</v>
      </c>
      <c r="AX49" s="18">
        <v>1</v>
      </c>
      <c r="AY49" s="29"/>
      <c r="AZ49" s="18">
        <v>48</v>
      </c>
      <c r="BA49" s="5">
        <v>1</v>
      </c>
      <c r="BB49" s="5">
        <v>1</v>
      </c>
      <c r="BC49" s="5">
        <v>1</v>
      </c>
      <c r="BD49" s="5">
        <v>1</v>
      </c>
      <c r="BE49" s="5">
        <v>1</v>
      </c>
    </row>
    <row r="50" spans="1:57" ht="14.25" customHeight="1">
      <c r="A50" s="2"/>
      <c r="B50" s="2"/>
      <c r="C50" s="2"/>
      <c r="D50" s="2"/>
      <c r="E50" s="2"/>
      <c r="F50" s="2"/>
      <c r="G50" s="2"/>
      <c r="H50" s="30"/>
      <c r="I50" s="5">
        <v>49</v>
      </c>
      <c r="J50" s="5">
        <v>1</v>
      </c>
      <c r="K50" s="5">
        <v>1</v>
      </c>
      <c r="L50" s="5">
        <v>1</v>
      </c>
      <c r="M50" s="5">
        <v>1</v>
      </c>
      <c r="N50" s="5">
        <v>1</v>
      </c>
      <c r="O50" s="5">
        <v>1</v>
      </c>
      <c r="P50" s="5">
        <v>49</v>
      </c>
      <c r="Q50" s="5">
        <v>1</v>
      </c>
      <c r="R50" s="5">
        <v>1</v>
      </c>
      <c r="S50" s="5">
        <v>1</v>
      </c>
      <c r="T50" s="5">
        <v>1</v>
      </c>
      <c r="U50" s="5">
        <v>1</v>
      </c>
      <c r="V50" s="2">
        <v>2</v>
      </c>
      <c r="W50" s="5">
        <v>49</v>
      </c>
      <c r="X50" s="5">
        <v>1</v>
      </c>
      <c r="Y50" s="5">
        <v>1</v>
      </c>
      <c r="Z50" s="5">
        <v>1</v>
      </c>
      <c r="AA50" s="5">
        <v>1</v>
      </c>
      <c r="AB50" s="5">
        <v>1</v>
      </c>
      <c r="AC50" s="2">
        <v>2</v>
      </c>
      <c r="AD50" s="2"/>
      <c r="AE50" s="2"/>
      <c r="AF50" s="2"/>
      <c r="AG50" s="2"/>
      <c r="AH50" s="2"/>
      <c r="AI50" s="2"/>
      <c r="AJ50" s="2"/>
      <c r="AK50" s="2"/>
      <c r="AL50" s="5">
        <v>49</v>
      </c>
      <c r="AM50" s="5">
        <v>1</v>
      </c>
      <c r="AN50" s="5">
        <v>1</v>
      </c>
      <c r="AO50" s="5">
        <v>1</v>
      </c>
      <c r="AP50" s="5">
        <v>1</v>
      </c>
      <c r="AQ50" s="5">
        <v>1</v>
      </c>
      <c r="AR50" s="2"/>
      <c r="AS50" s="18">
        <v>49</v>
      </c>
      <c r="AT50" s="18">
        <v>1</v>
      </c>
      <c r="AU50" s="18">
        <v>1</v>
      </c>
      <c r="AV50" s="18">
        <v>1</v>
      </c>
      <c r="AW50" s="18">
        <v>1</v>
      </c>
      <c r="AX50" s="18">
        <v>1</v>
      </c>
      <c r="AY50" s="29"/>
      <c r="AZ50" s="18">
        <v>49</v>
      </c>
      <c r="BA50" s="5">
        <v>1</v>
      </c>
      <c r="BB50" s="5">
        <v>1</v>
      </c>
      <c r="BC50" s="5">
        <v>1</v>
      </c>
      <c r="BD50" s="5">
        <v>1</v>
      </c>
      <c r="BE50" s="5">
        <v>1</v>
      </c>
    </row>
    <row r="51" spans="1:57" ht="14.25" customHeight="1">
      <c r="A51" s="2"/>
      <c r="B51" s="2"/>
      <c r="C51" s="2"/>
      <c r="D51" s="2"/>
      <c r="E51" s="2"/>
      <c r="F51" s="2"/>
      <c r="G51" s="2"/>
      <c r="H51" s="30"/>
      <c r="I51" s="5">
        <v>50</v>
      </c>
      <c r="J51" s="5">
        <v>1</v>
      </c>
      <c r="K51" s="5">
        <v>1</v>
      </c>
      <c r="L51" s="5">
        <v>1</v>
      </c>
      <c r="M51" s="5">
        <v>1</v>
      </c>
      <c r="N51" s="5">
        <v>1</v>
      </c>
      <c r="O51" s="5">
        <v>1</v>
      </c>
      <c r="P51" s="5">
        <v>50</v>
      </c>
      <c r="Q51" s="5">
        <v>1</v>
      </c>
      <c r="R51" s="5">
        <v>1</v>
      </c>
      <c r="S51" s="5">
        <v>1</v>
      </c>
      <c r="T51" s="5">
        <v>1</v>
      </c>
      <c r="U51" s="5">
        <v>1</v>
      </c>
      <c r="V51" s="2">
        <v>2</v>
      </c>
      <c r="W51" s="5">
        <v>50</v>
      </c>
      <c r="X51" s="5">
        <v>1</v>
      </c>
      <c r="Y51" s="5">
        <v>1</v>
      </c>
      <c r="Z51" s="5">
        <v>1</v>
      </c>
      <c r="AA51" s="5">
        <v>1</v>
      </c>
      <c r="AB51" s="5">
        <v>1</v>
      </c>
      <c r="AC51" s="2">
        <v>2</v>
      </c>
      <c r="AD51" s="2"/>
      <c r="AE51" s="2"/>
      <c r="AF51" s="2"/>
      <c r="AG51" s="2"/>
      <c r="AH51" s="2"/>
      <c r="AI51" s="2"/>
      <c r="AJ51" s="2"/>
      <c r="AK51" s="2"/>
      <c r="AL51" s="5">
        <v>50</v>
      </c>
      <c r="AM51" s="5">
        <v>1</v>
      </c>
      <c r="AN51" s="5">
        <v>1</v>
      </c>
      <c r="AO51" s="5">
        <v>1</v>
      </c>
      <c r="AP51" s="5">
        <v>1</v>
      </c>
      <c r="AQ51" s="5">
        <v>1</v>
      </c>
      <c r="AR51" s="2"/>
      <c r="AS51" s="18">
        <v>50</v>
      </c>
      <c r="AT51" s="18">
        <v>1</v>
      </c>
      <c r="AU51" s="18">
        <v>1</v>
      </c>
      <c r="AV51" s="18">
        <v>1</v>
      </c>
      <c r="AW51" s="18">
        <v>1</v>
      </c>
      <c r="AX51" s="18">
        <v>1</v>
      </c>
      <c r="AY51" s="29"/>
      <c r="AZ51" s="18">
        <v>50</v>
      </c>
      <c r="BA51" s="5">
        <v>1</v>
      </c>
      <c r="BB51" s="5">
        <v>1</v>
      </c>
      <c r="BC51" s="5">
        <v>1</v>
      </c>
      <c r="BD51" s="5">
        <v>1</v>
      </c>
      <c r="BE51" s="5">
        <v>1</v>
      </c>
    </row>
    <row r="52" spans="1:57" ht="14.25" customHeight="1">
      <c r="A52" s="2"/>
      <c r="B52" s="2"/>
      <c r="C52" s="2"/>
      <c r="D52" s="2"/>
      <c r="E52" s="2"/>
      <c r="F52" s="2"/>
      <c r="G52" s="2"/>
      <c r="H52" s="30"/>
      <c r="I52" s="2"/>
      <c r="J52" s="2"/>
      <c r="K52" s="2"/>
      <c r="L52" s="2"/>
      <c r="M52" s="2"/>
      <c r="N52" s="2"/>
      <c r="O52" s="80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</row>
    <row r="53" spans="1:57" ht="14.25" customHeight="1">
      <c r="A53" s="2"/>
      <c r="B53" s="2"/>
      <c r="C53" s="2"/>
      <c r="D53" s="2"/>
      <c r="E53" s="2"/>
      <c r="F53" s="2"/>
      <c r="G53" s="2"/>
      <c r="H53" s="30"/>
      <c r="I53" s="2"/>
      <c r="J53" s="2"/>
      <c r="K53" s="2"/>
      <c r="L53" s="2"/>
      <c r="M53" s="2"/>
      <c r="N53" s="2"/>
      <c r="O53" s="80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</row>
    <row r="54" spans="1:57" ht="14.25" customHeight="1">
      <c r="A54" s="2"/>
      <c r="B54" s="2"/>
      <c r="C54" s="2"/>
      <c r="D54" s="2"/>
      <c r="E54" s="2"/>
      <c r="F54" s="2"/>
      <c r="G54" s="2"/>
      <c r="H54" s="30"/>
      <c r="I54" s="2"/>
      <c r="J54" s="2"/>
      <c r="K54" s="2"/>
      <c r="L54" s="2"/>
      <c r="M54" s="2"/>
      <c r="N54" s="2"/>
      <c r="O54" s="80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</row>
    <row r="55" spans="1:57" ht="14.25" customHeight="1">
      <c r="A55" s="2"/>
      <c r="B55" s="2"/>
      <c r="C55" s="2"/>
      <c r="D55" s="2"/>
      <c r="E55" s="2"/>
      <c r="F55" s="2"/>
      <c r="G55" s="2"/>
      <c r="H55" s="30"/>
      <c r="I55" s="2"/>
      <c r="J55" s="2"/>
      <c r="K55" s="2"/>
      <c r="L55" s="2"/>
      <c r="M55" s="2"/>
      <c r="N55" s="2"/>
      <c r="O55" s="80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</row>
    <row r="56" spans="1:57" ht="14.25" customHeight="1">
      <c r="A56" s="2"/>
      <c r="B56" s="2"/>
      <c r="C56" s="2"/>
      <c r="D56" s="2"/>
      <c r="E56" s="2"/>
      <c r="F56" s="2"/>
      <c r="G56" s="2"/>
      <c r="H56" s="30"/>
      <c r="I56" s="2"/>
      <c r="J56" s="2"/>
      <c r="K56" s="2"/>
      <c r="L56" s="2"/>
      <c r="M56" s="2"/>
      <c r="N56" s="2"/>
      <c r="O56" s="80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</row>
    <row r="57" spans="1:57" ht="14.25" customHeight="1">
      <c r="A57" s="2"/>
      <c r="B57" s="2"/>
      <c r="C57" s="2"/>
      <c r="D57" s="2"/>
      <c r="E57" s="2"/>
      <c r="F57" s="2"/>
      <c r="G57" s="2"/>
      <c r="H57" s="30"/>
      <c r="I57" s="2"/>
      <c r="J57" s="2"/>
      <c r="K57" s="2"/>
      <c r="L57" s="2"/>
      <c r="M57" s="2"/>
      <c r="N57" s="2"/>
      <c r="O57" s="80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 t="str">
        <f>IF($AE$1=$AK$2,AL2,IF($AE$1=$AK$3,AL7,IF($AE$1=$AK$4,AL12,IF($AE$1=$AK$5,AL17,IF($AE$1=$AK$6,AL22,IF($AE$1=$AK$7,AL27,IF($AE$1=$AK$8,AL32,IF($AE$1=$AK$9,AL37,IF($AE$1=$AK$10,AL42,IF($AE$1=$AK$11,AL47,IF($AE$1=$AK$12,AS2,IF($AE$1=$AK$13,AS7,IF($AE$1=$AK$14,AS12,IF($AE$1=$AK$15,AS17,IF($AE$1=$AK$16,AS22,IF($AE$1=$AK$17,AS27,IF($AE$1=$AK$18,AS32,IF($AE$1=$AK$19,AS37,IF($AE$1=$AK$20,AS42,IF($AE$1=$AK$21,AS47,IF($AE$1=$AK$22,AS52,IF($AE$1=$AK$22,AZ2,IF($AE$1=$AK$23,AZ7,IF($AE$1=$AK$24,AZ12,IF($AE$1=$AK$25,AZ17,IF($AE$1=$AK$26,AZ22,IF($AE$1=$AK$27,AZ27,IF($AE$1=$AK$28,AZ32,IF($AE$1=$AK$29,AZ37,IF($AE$1=$AK$30,AZ42,IF($AE$1=$AK$31,AZ47)))))))))))))))))))))))))))))))</f>
        <v>31 one</v>
      </c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</row>
    <row r="58" spans="1:57" ht="14.25" customHeight="1">
      <c r="A58" s="2"/>
      <c r="B58" s="2"/>
      <c r="C58" s="2"/>
      <c r="D58" s="2"/>
      <c r="E58" s="2"/>
      <c r="F58" s="2"/>
      <c r="G58" s="2"/>
      <c r="H58" s="30"/>
      <c r="I58" s="2"/>
      <c r="J58" s="2"/>
      <c r="K58" s="2"/>
      <c r="L58" s="2"/>
      <c r="M58" s="2"/>
      <c r="N58" s="2"/>
      <c r="O58" s="80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</row>
    <row r="59" spans="1:57" ht="14.25" customHeight="1">
      <c r="A59" s="2"/>
      <c r="B59" s="2"/>
      <c r="C59" s="2"/>
      <c r="D59" s="2"/>
      <c r="E59" s="2"/>
      <c r="F59" s="2"/>
      <c r="G59" s="2"/>
      <c r="H59" s="30"/>
      <c r="I59" s="2"/>
      <c r="J59" s="2"/>
      <c r="K59" s="2"/>
      <c r="L59" s="2"/>
      <c r="M59" s="2"/>
      <c r="N59" s="2"/>
      <c r="O59" s="80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</row>
    <row r="60" spans="1:57" ht="14.25" customHeight="1">
      <c r="A60" s="2"/>
      <c r="B60" s="2"/>
      <c r="C60" s="2"/>
      <c r="D60" s="2"/>
      <c r="E60" s="2"/>
      <c r="F60" s="2"/>
      <c r="G60" s="2"/>
      <c r="H60" s="30"/>
      <c r="I60" s="2"/>
      <c r="J60" s="2"/>
      <c r="K60" s="2"/>
      <c r="L60" s="2"/>
      <c r="M60" s="2"/>
      <c r="N60" s="2"/>
      <c r="O60" s="80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</row>
    <row r="61" spans="1:57" ht="14.25" customHeight="1">
      <c r="A61" s="2"/>
      <c r="B61" s="2"/>
      <c r="C61" s="2"/>
      <c r="D61" s="2"/>
      <c r="E61" s="2"/>
      <c r="F61" s="2"/>
      <c r="G61" s="2"/>
      <c r="H61" s="30"/>
      <c r="I61" s="2"/>
      <c r="J61" s="2"/>
      <c r="K61" s="2"/>
      <c r="L61" s="2"/>
      <c r="M61" s="2"/>
      <c r="N61" s="2"/>
      <c r="O61" s="80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</row>
    <row r="62" spans="1:57" ht="14.25" customHeight="1">
      <c r="A62" s="2"/>
      <c r="B62" s="2"/>
      <c r="C62" s="2"/>
      <c r="D62" s="2"/>
      <c r="E62" s="2"/>
      <c r="F62" s="2"/>
      <c r="G62" s="2"/>
      <c r="H62" s="30"/>
      <c r="I62" s="2"/>
      <c r="J62" s="2"/>
      <c r="K62" s="2"/>
      <c r="L62" s="2"/>
      <c r="M62" s="2"/>
      <c r="N62" s="2"/>
      <c r="O62" s="80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</row>
    <row r="63" spans="1:57" ht="14.25" customHeight="1">
      <c r="A63" s="2"/>
      <c r="B63" s="2"/>
      <c r="C63" s="2"/>
      <c r="D63" s="2"/>
      <c r="E63" s="2"/>
      <c r="F63" s="2"/>
      <c r="G63" s="2"/>
      <c r="H63" s="30"/>
      <c r="I63" s="2"/>
      <c r="J63" s="2"/>
      <c r="K63" s="2"/>
      <c r="L63" s="2"/>
      <c r="M63" s="2"/>
      <c r="N63" s="2"/>
      <c r="O63" s="80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</row>
    <row r="64" spans="1:57" ht="14.25" customHeight="1">
      <c r="A64" s="2"/>
      <c r="B64" s="2"/>
      <c r="C64" s="2"/>
      <c r="D64" s="2"/>
      <c r="E64" s="2"/>
      <c r="F64" s="2"/>
      <c r="G64" s="2"/>
      <c r="H64" s="30"/>
      <c r="I64" s="2"/>
      <c r="J64" s="2"/>
      <c r="K64" s="2"/>
      <c r="L64" s="2"/>
      <c r="M64" s="2"/>
      <c r="N64" s="2"/>
      <c r="O64" s="80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</row>
    <row r="65" spans="1:57" ht="14.25" customHeight="1">
      <c r="A65" s="2"/>
      <c r="B65" s="2"/>
      <c r="C65" s="2"/>
      <c r="D65" s="2"/>
      <c r="E65" s="2"/>
      <c r="F65" s="2"/>
      <c r="G65" s="2"/>
      <c r="H65" s="30"/>
      <c r="I65" s="2"/>
      <c r="J65" s="2"/>
      <c r="K65" s="2"/>
      <c r="L65" s="2"/>
      <c r="M65" s="2"/>
      <c r="N65" s="2"/>
      <c r="O65" s="80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</row>
    <row r="66" spans="1:57" ht="14.25" customHeight="1">
      <c r="A66" s="2"/>
      <c r="B66" s="2"/>
      <c r="C66" s="2"/>
      <c r="D66" s="2"/>
      <c r="E66" s="2"/>
      <c r="F66" s="2"/>
      <c r="G66" s="2"/>
      <c r="H66" s="30"/>
      <c r="I66" s="2"/>
      <c r="J66" s="2"/>
      <c r="K66" s="2"/>
      <c r="L66" s="2"/>
      <c r="M66" s="2"/>
      <c r="N66" s="2"/>
      <c r="O66" s="80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6"/>
      <c r="AF66" s="6"/>
      <c r="AG66" s="6"/>
      <c r="AH66" s="6"/>
      <c r="AI66" s="6"/>
      <c r="AJ66" s="6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</row>
    <row r="67" spans="1:57" ht="14.25" customHeight="1">
      <c r="A67" s="2"/>
      <c r="B67" s="2"/>
      <c r="C67" s="2"/>
      <c r="D67" s="2"/>
      <c r="E67" s="2"/>
      <c r="F67" s="2"/>
      <c r="G67" s="2"/>
      <c r="H67" s="30"/>
      <c r="I67" s="2"/>
      <c r="J67" s="2"/>
      <c r="K67" s="2"/>
      <c r="L67" s="2"/>
      <c r="M67" s="2"/>
      <c r="N67" s="2"/>
      <c r="O67" s="80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6"/>
      <c r="AF67" s="6"/>
      <c r="AG67" s="6"/>
      <c r="AH67" s="6"/>
      <c r="AI67" s="6"/>
      <c r="AJ67" s="6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</row>
    <row r="68" spans="1:57" ht="14.25" customHeight="1">
      <c r="A68" s="6"/>
      <c r="B68" s="6"/>
      <c r="C68" s="6"/>
      <c r="D68" s="6"/>
      <c r="E68" s="6"/>
      <c r="F68" s="6"/>
      <c r="G68" s="6"/>
      <c r="H68" s="30"/>
      <c r="I68" s="2"/>
      <c r="J68" s="2"/>
      <c r="K68" s="2"/>
      <c r="L68" s="2"/>
      <c r="M68" s="2"/>
      <c r="N68" s="2"/>
      <c r="O68" s="80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6"/>
      <c r="AF68" s="6"/>
      <c r="AG68" s="6"/>
      <c r="AH68" s="6"/>
      <c r="AI68" s="6"/>
      <c r="AJ68" s="6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</row>
    <row r="69" spans="1:57" ht="14.25" customHeight="1">
      <c r="A69" s="6"/>
      <c r="B69" s="6"/>
      <c r="C69" s="6"/>
      <c r="D69" s="6"/>
      <c r="E69" s="6"/>
      <c r="F69" s="6"/>
      <c r="G69" s="6"/>
      <c r="H69" s="30"/>
      <c r="I69" s="2"/>
      <c r="J69" s="2"/>
      <c r="K69" s="2"/>
      <c r="L69" s="2"/>
      <c r="M69" s="2"/>
      <c r="N69" s="2"/>
      <c r="O69" s="80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6"/>
      <c r="AF69" s="6"/>
      <c r="AG69" s="6"/>
      <c r="AH69" s="6"/>
      <c r="AI69" s="6"/>
      <c r="AJ69" s="6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</row>
    <row r="70" spans="1:57" ht="14.25" customHeight="1">
      <c r="A70" s="6"/>
      <c r="B70" s="6"/>
      <c r="C70" s="6"/>
      <c r="D70" s="6"/>
      <c r="E70" s="6"/>
      <c r="F70" s="6"/>
      <c r="G70" s="6"/>
      <c r="H70" s="30"/>
      <c r="I70" s="2"/>
      <c r="J70" s="2"/>
      <c r="K70" s="2"/>
      <c r="L70" s="2"/>
      <c r="M70" s="2"/>
      <c r="N70" s="2"/>
      <c r="O70" s="80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6"/>
      <c r="AF70" s="6"/>
      <c r="AG70" s="6"/>
      <c r="AH70" s="6"/>
      <c r="AI70" s="6"/>
      <c r="AJ70" s="6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</row>
    <row r="71" spans="1:57" ht="14.25" customHeight="1">
      <c r="A71" s="6"/>
      <c r="B71" s="6"/>
      <c r="C71" s="6"/>
      <c r="D71" s="6"/>
      <c r="E71" s="6"/>
      <c r="F71" s="6"/>
      <c r="G71" s="6"/>
      <c r="H71" s="30"/>
      <c r="I71" s="2"/>
      <c r="J71" s="2"/>
      <c r="K71" s="2"/>
      <c r="L71" s="2"/>
      <c r="M71" s="2"/>
      <c r="N71" s="2"/>
      <c r="O71" s="80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6"/>
      <c r="AF71" s="6"/>
      <c r="AG71" s="6"/>
      <c r="AH71" s="6"/>
      <c r="AI71" s="6"/>
      <c r="AJ71" s="6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</row>
    <row r="72" spans="1:57" ht="14.25" customHeight="1">
      <c r="A72" s="6"/>
      <c r="B72" s="6"/>
      <c r="C72" s="6"/>
      <c r="D72" s="6"/>
      <c r="E72" s="6"/>
      <c r="F72" s="6"/>
      <c r="G72" s="6"/>
      <c r="H72" s="30"/>
      <c r="I72" s="2"/>
      <c r="J72" s="2"/>
      <c r="K72" s="2"/>
      <c r="L72" s="2"/>
      <c r="M72" s="2"/>
      <c r="N72" s="2"/>
      <c r="O72" s="80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6"/>
      <c r="AF72" s="6"/>
      <c r="AG72" s="6"/>
      <c r="AH72" s="6"/>
      <c r="AI72" s="6"/>
      <c r="AJ72" s="6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</row>
    <row r="73" spans="1:57" ht="14.25" customHeight="1">
      <c r="A73" s="6"/>
      <c r="B73" s="6"/>
      <c r="C73" s="6"/>
      <c r="D73" s="6"/>
      <c r="E73" s="6"/>
      <c r="F73" s="6"/>
      <c r="G73" s="6"/>
      <c r="H73" s="30"/>
      <c r="I73" s="2"/>
      <c r="J73" s="2"/>
      <c r="K73" s="2"/>
      <c r="L73" s="2"/>
      <c r="M73" s="2"/>
      <c r="N73" s="2"/>
      <c r="O73" s="80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6"/>
      <c r="AF73" s="6"/>
      <c r="AG73" s="6"/>
      <c r="AH73" s="6"/>
      <c r="AI73" s="6"/>
      <c r="AJ73" s="6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</row>
    <row r="74" spans="1:57" ht="14.25" customHeight="1">
      <c r="A74" s="6"/>
      <c r="B74" s="6"/>
      <c r="C74" s="6"/>
      <c r="D74" s="6"/>
      <c r="E74" s="6"/>
      <c r="F74" s="6"/>
      <c r="G74" s="6"/>
      <c r="H74" s="30"/>
      <c r="I74" s="2"/>
      <c r="J74" s="2"/>
      <c r="K74" s="2"/>
      <c r="L74" s="2"/>
      <c r="M74" s="2"/>
      <c r="N74" s="2"/>
      <c r="O74" s="80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6"/>
      <c r="AF74" s="6"/>
      <c r="AG74" s="6"/>
      <c r="AH74" s="6"/>
      <c r="AI74" s="6"/>
      <c r="AJ74" s="6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</row>
    <row r="75" spans="1:57" ht="14.25" customHeight="1">
      <c r="A75" s="6"/>
      <c r="B75" s="6"/>
      <c r="C75" s="6"/>
      <c r="D75" s="6"/>
      <c r="E75" s="6"/>
      <c r="F75" s="6"/>
      <c r="G75" s="6"/>
      <c r="H75" s="30"/>
      <c r="I75" s="2"/>
      <c r="J75" s="2"/>
      <c r="K75" s="2"/>
      <c r="L75" s="2"/>
      <c r="M75" s="2"/>
      <c r="N75" s="2"/>
      <c r="O75" s="80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6"/>
      <c r="AF75" s="6"/>
      <c r="AG75" s="6"/>
      <c r="AH75" s="6"/>
      <c r="AI75" s="6"/>
      <c r="AJ75" s="6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</row>
    <row r="76" spans="1:57" ht="14.25" customHeight="1">
      <c r="A76" s="6"/>
      <c r="B76" s="6"/>
      <c r="C76" s="6"/>
      <c r="D76" s="6"/>
      <c r="E76" s="6"/>
      <c r="F76" s="6"/>
      <c r="G76" s="6"/>
      <c r="H76" s="30"/>
      <c r="I76" s="2"/>
      <c r="J76" s="2"/>
      <c r="K76" s="2"/>
      <c r="L76" s="2"/>
      <c r="M76" s="2"/>
      <c r="N76" s="2"/>
      <c r="O76" s="80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6"/>
      <c r="AF76" s="6"/>
      <c r="AG76" s="6"/>
      <c r="AH76" s="6"/>
      <c r="AI76" s="6"/>
      <c r="AJ76" s="6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</row>
    <row r="77" spans="1:57" ht="14.25" customHeight="1">
      <c r="A77" s="6"/>
      <c r="B77" s="6"/>
      <c r="C77" s="6"/>
      <c r="D77" s="6"/>
      <c r="E77" s="6"/>
      <c r="F77" s="6"/>
      <c r="G77" s="6"/>
      <c r="H77" s="30"/>
      <c r="I77" s="2"/>
      <c r="J77" s="2"/>
      <c r="K77" s="2"/>
      <c r="L77" s="2"/>
      <c r="M77" s="2"/>
      <c r="N77" s="2"/>
      <c r="O77" s="80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6"/>
      <c r="AF77" s="6"/>
      <c r="AG77" s="6"/>
      <c r="AH77" s="6"/>
      <c r="AI77" s="6"/>
      <c r="AJ77" s="6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</row>
    <row r="78" spans="1:57" ht="14.25" customHeight="1">
      <c r="A78" s="6" t="b">
        <f>IF(A1=H12,P2,IF(A1=H13,P7,IF(A1=H14,P12,IF(A1=H15,P17,IF(A1=H16,P22,IF(A1=H17,P27,IF(A1=H18,P32,IF(A1=H19,P37,IF(A1=H20,P42,IF(A1=H21,P47,IF(A1=H22,P52)))))))))))</f>
        <v>0</v>
      </c>
      <c r="B78" s="6"/>
      <c r="C78" s="6"/>
      <c r="D78" s="6"/>
      <c r="E78" s="6"/>
      <c r="F78" s="6"/>
      <c r="G78" s="6"/>
      <c r="H78" s="30"/>
      <c r="I78" s="2"/>
      <c r="J78" s="2"/>
      <c r="K78" s="2"/>
      <c r="L78" s="2"/>
      <c r="M78" s="2"/>
      <c r="N78" s="2"/>
      <c r="O78" s="80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6"/>
      <c r="AF78" s="6"/>
      <c r="AG78" s="6"/>
      <c r="AH78" s="6"/>
      <c r="AI78" s="6"/>
      <c r="AJ78" s="6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</row>
    <row r="79" spans="1:57" ht="14.25" customHeight="1">
      <c r="A79" s="6" t="b">
        <f>IF(A1=H22,W2,IF(A1=H23,W7,IF(A1=H24,W12,IF(A1=H25,W17,IF(A1=H26,W22,IF(A1=H27,W27,IF(A1=H28,W32,IF(A1=H29,W37,IF(A1=H30,W42,IF(A1=H31,W47))))))))))</f>
        <v>0</v>
      </c>
      <c r="B79" s="6"/>
      <c r="C79" s="6"/>
      <c r="D79" s="6"/>
      <c r="E79" s="6"/>
      <c r="F79" s="6"/>
      <c r="G79" s="6"/>
      <c r="H79" s="30"/>
      <c r="I79" s="2"/>
      <c r="J79" s="2"/>
      <c r="K79" s="2"/>
      <c r="L79" s="2"/>
      <c r="M79" s="2"/>
      <c r="N79" s="2"/>
      <c r="O79" s="80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6"/>
      <c r="AF79" s="6"/>
      <c r="AG79" s="6"/>
      <c r="AH79" s="6"/>
      <c r="AI79" s="6"/>
      <c r="AJ79" s="6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</row>
    <row r="80" spans="1:57" ht="14.25" customHeight="1">
      <c r="A80" s="6"/>
      <c r="B80" s="6"/>
      <c r="C80" s="6"/>
      <c r="D80" s="6"/>
      <c r="E80" s="6"/>
      <c r="F80" s="6"/>
      <c r="G80" s="6"/>
      <c r="H80" s="30"/>
      <c r="I80" s="2"/>
      <c r="J80" s="2"/>
      <c r="K80" s="2"/>
      <c r="L80" s="2"/>
      <c r="M80" s="2"/>
      <c r="N80" s="2"/>
      <c r="O80" s="80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6"/>
      <c r="AF80" s="6"/>
      <c r="AG80" s="6"/>
      <c r="AH80" s="6"/>
      <c r="AI80" s="6"/>
      <c r="AJ80" s="6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</row>
    <row r="81" spans="1:57" ht="14.25" customHeight="1">
      <c r="A81" s="6"/>
      <c r="B81" s="6"/>
      <c r="C81" s="6"/>
      <c r="D81" s="6"/>
      <c r="E81" s="6"/>
      <c r="F81" s="6"/>
      <c r="G81" s="6"/>
      <c r="H81" s="30"/>
      <c r="I81" s="2"/>
      <c r="J81" s="2"/>
      <c r="K81" s="2"/>
      <c r="L81" s="2"/>
      <c r="M81" s="2"/>
      <c r="N81" s="2"/>
      <c r="O81" s="80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6"/>
      <c r="AF81" s="6"/>
      <c r="AG81" s="6"/>
      <c r="AH81" s="6"/>
      <c r="AI81" s="6"/>
      <c r="AJ81" s="6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</row>
    <row r="82" spans="1:57" ht="14.25" customHeight="1">
      <c r="A82" s="6"/>
      <c r="B82" s="6"/>
      <c r="C82" s="6"/>
      <c r="D82" s="6"/>
      <c r="E82" s="6"/>
      <c r="F82" s="6"/>
      <c r="G82" s="6"/>
      <c r="H82" s="30"/>
      <c r="I82" s="2"/>
      <c r="J82" s="2"/>
      <c r="K82" s="2"/>
      <c r="L82" s="2"/>
      <c r="M82" s="2"/>
      <c r="N82" s="2"/>
      <c r="O82" s="80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6"/>
      <c r="AF82" s="6"/>
      <c r="AG82" s="6"/>
      <c r="AH82" s="6"/>
      <c r="AI82" s="6"/>
      <c r="AJ82" s="6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</row>
    <row r="83" spans="1:57" ht="14.25" customHeight="1">
      <c r="A83" s="6"/>
      <c r="B83" s="6"/>
      <c r="C83" s="6"/>
      <c r="D83" s="6"/>
      <c r="E83" s="6"/>
      <c r="F83" s="6"/>
      <c r="G83" s="6"/>
      <c r="H83" s="30"/>
      <c r="I83" s="2"/>
      <c r="J83" s="2"/>
      <c r="K83" s="2"/>
      <c r="L83" s="2"/>
      <c r="M83" s="2"/>
      <c r="N83" s="2"/>
      <c r="O83" s="80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6"/>
      <c r="AF83" s="6"/>
      <c r="AG83" s="6"/>
      <c r="AH83" s="6"/>
      <c r="AI83" s="6"/>
      <c r="AJ83" s="6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</row>
    <row r="84" spans="1:57" ht="14.25" customHeight="1">
      <c r="A84" s="6"/>
      <c r="B84" s="6"/>
      <c r="C84" s="6"/>
      <c r="D84" s="6"/>
      <c r="E84" s="6"/>
      <c r="F84" s="6"/>
      <c r="G84" s="6"/>
      <c r="H84" s="30"/>
      <c r="I84" s="2"/>
      <c r="J84" s="2"/>
      <c r="K84" s="2"/>
      <c r="L84" s="2"/>
      <c r="M84" s="2"/>
      <c r="N84" s="2"/>
      <c r="O84" s="80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6"/>
      <c r="AF84" s="6"/>
      <c r="AG84" s="6"/>
      <c r="AH84" s="6"/>
      <c r="AI84" s="6"/>
      <c r="AJ84" s="6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</row>
    <row r="85" spans="1:57" ht="14.25" customHeight="1">
      <c r="A85" s="6"/>
      <c r="B85" s="6"/>
      <c r="C85" s="6"/>
      <c r="D85" s="6"/>
      <c r="E85" s="6"/>
      <c r="F85" s="6"/>
      <c r="G85" s="6"/>
      <c r="H85" s="30"/>
      <c r="I85" s="2"/>
      <c r="J85" s="2"/>
      <c r="K85" s="2"/>
      <c r="L85" s="2"/>
      <c r="M85" s="2"/>
      <c r="N85" s="2"/>
      <c r="O85" s="80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6"/>
      <c r="AF85" s="6"/>
      <c r="AG85" s="6"/>
      <c r="AH85" s="6"/>
      <c r="AI85" s="6"/>
      <c r="AJ85" s="6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</row>
    <row r="86" spans="1:57" ht="14.25" customHeight="1">
      <c r="A86" s="6"/>
      <c r="B86" s="6"/>
      <c r="C86" s="6"/>
      <c r="D86" s="6"/>
      <c r="E86" s="6"/>
      <c r="F86" s="6"/>
      <c r="G86" s="6"/>
      <c r="H86" s="30"/>
      <c r="I86" s="2"/>
      <c r="J86" s="2"/>
      <c r="K86" s="2"/>
      <c r="L86" s="2"/>
      <c r="M86" s="2"/>
      <c r="N86" s="2"/>
      <c r="O86" s="80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6"/>
      <c r="AF86" s="6"/>
      <c r="AG86" s="6"/>
      <c r="AH86" s="6"/>
      <c r="AI86" s="6"/>
      <c r="AJ86" s="6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</row>
    <row r="87" spans="1:57" ht="14.25" customHeight="1">
      <c r="A87" s="6"/>
      <c r="B87" s="6"/>
      <c r="C87" s="6"/>
      <c r="D87" s="6"/>
      <c r="E87" s="6"/>
      <c r="F87" s="6"/>
      <c r="G87" s="6"/>
      <c r="H87" s="30"/>
      <c r="I87" s="2"/>
      <c r="J87" s="2"/>
      <c r="K87" s="2"/>
      <c r="L87" s="2"/>
      <c r="M87" s="2"/>
      <c r="N87" s="2"/>
      <c r="O87" s="80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6"/>
      <c r="AF87" s="6"/>
      <c r="AG87" s="6"/>
      <c r="AH87" s="6"/>
      <c r="AI87" s="6"/>
      <c r="AJ87" s="6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</row>
    <row r="88" spans="1:57" ht="14.25" customHeight="1">
      <c r="A88" s="6"/>
      <c r="B88" s="6"/>
      <c r="C88" s="6"/>
      <c r="D88" s="6"/>
      <c r="E88" s="6"/>
      <c r="F88" s="6"/>
      <c r="G88" s="6"/>
      <c r="H88" s="30"/>
      <c r="I88" s="2"/>
      <c r="J88" s="2"/>
      <c r="K88" s="2"/>
      <c r="L88" s="2"/>
      <c r="M88" s="2"/>
      <c r="N88" s="2"/>
      <c r="O88" s="80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6"/>
      <c r="AF88" s="6"/>
      <c r="AG88" s="6"/>
      <c r="AH88" s="6"/>
      <c r="AI88" s="6"/>
      <c r="AJ88" s="6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</row>
    <row r="89" spans="1:57" ht="14.25" customHeight="1">
      <c r="A89" s="6"/>
      <c r="B89" s="6"/>
      <c r="C89" s="6"/>
      <c r="D89" s="6"/>
      <c r="E89" s="6"/>
      <c r="F89" s="6"/>
      <c r="G89" s="6"/>
      <c r="H89" s="30"/>
      <c r="I89" s="2"/>
      <c r="J89" s="2"/>
      <c r="K89" s="2"/>
      <c r="L89" s="2"/>
      <c r="M89" s="2"/>
      <c r="N89" s="2"/>
      <c r="O89" s="80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6"/>
      <c r="AF89" s="6"/>
      <c r="AG89" s="6"/>
      <c r="AH89" s="6"/>
      <c r="AI89" s="6"/>
      <c r="AJ89" s="6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</row>
    <row r="90" spans="1:57" ht="14.25" customHeight="1">
      <c r="A90" s="6"/>
      <c r="B90" s="6"/>
      <c r="C90" s="6"/>
      <c r="D90" s="6"/>
      <c r="E90" s="6"/>
      <c r="F90" s="6"/>
      <c r="G90" s="6"/>
      <c r="H90" s="30"/>
      <c r="I90" s="2"/>
      <c r="J90" s="2"/>
      <c r="K90" s="2"/>
      <c r="L90" s="2"/>
      <c r="M90" s="2"/>
      <c r="N90" s="2"/>
      <c r="O90" s="80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6"/>
      <c r="AF90" s="6"/>
      <c r="AG90" s="6"/>
      <c r="AH90" s="6"/>
      <c r="AI90" s="6"/>
      <c r="AJ90" s="6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</row>
    <row r="91" spans="1:57" ht="14.25" customHeight="1">
      <c r="A91" s="6"/>
      <c r="B91" s="6"/>
      <c r="C91" s="6"/>
      <c r="D91" s="6"/>
      <c r="E91" s="6"/>
      <c r="F91" s="6"/>
      <c r="G91" s="6"/>
      <c r="H91" s="30"/>
      <c r="I91" s="2"/>
      <c r="J91" s="2"/>
      <c r="K91" s="2"/>
      <c r="L91" s="2"/>
      <c r="M91" s="2"/>
      <c r="N91" s="2"/>
      <c r="O91" s="80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6"/>
      <c r="AF91" s="6"/>
      <c r="AG91" s="6"/>
      <c r="AH91" s="6"/>
      <c r="AI91" s="6"/>
      <c r="AJ91" s="6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</row>
    <row r="92" spans="1:57" ht="14.25" customHeight="1">
      <c r="A92" s="6"/>
      <c r="B92" s="6"/>
      <c r="C92" s="6"/>
      <c r="D92" s="6"/>
      <c r="E92" s="6"/>
      <c r="F92" s="6"/>
      <c r="G92" s="6"/>
      <c r="H92" s="30"/>
      <c r="I92" s="2"/>
      <c r="J92" s="2"/>
      <c r="K92" s="2"/>
      <c r="L92" s="2"/>
      <c r="M92" s="2"/>
      <c r="N92" s="2"/>
      <c r="O92" s="80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6"/>
      <c r="AF92" s="6"/>
      <c r="AG92" s="6"/>
      <c r="AH92" s="6"/>
      <c r="AI92" s="6"/>
      <c r="AJ92" s="6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</row>
    <row r="93" spans="1:57" ht="14.25" customHeight="1">
      <c r="A93" s="6"/>
      <c r="B93" s="6"/>
      <c r="C93" s="6"/>
      <c r="D93" s="6"/>
      <c r="E93" s="6"/>
      <c r="F93" s="6"/>
      <c r="G93" s="6"/>
      <c r="H93" s="30"/>
      <c r="I93" s="2"/>
      <c r="J93" s="2"/>
      <c r="K93" s="2"/>
      <c r="L93" s="2"/>
      <c r="M93" s="2"/>
      <c r="N93" s="2"/>
      <c r="O93" s="80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6"/>
      <c r="AF93" s="6"/>
      <c r="AG93" s="6"/>
      <c r="AH93" s="6"/>
      <c r="AI93" s="6"/>
      <c r="AJ93" s="6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</row>
    <row r="94" spans="1:57" ht="14.25" customHeight="1">
      <c r="A94" s="6"/>
      <c r="B94" s="6"/>
      <c r="C94" s="6"/>
      <c r="D94" s="6"/>
      <c r="E94" s="6"/>
      <c r="F94" s="6"/>
      <c r="G94" s="6"/>
      <c r="H94" s="30"/>
      <c r="I94" s="2"/>
      <c r="J94" s="2"/>
      <c r="K94" s="2"/>
      <c r="L94" s="2"/>
      <c r="M94" s="2"/>
      <c r="N94" s="2"/>
      <c r="O94" s="80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6"/>
      <c r="AF94" s="6"/>
      <c r="AG94" s="6"/>
      <c r="AH94" s="6"/>
      <c r="AI94" s="6"/>
      <c r="AJ94" s="6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</row>
    <row r="95" spans="1:57" ht="14.25" customHeight="1">
      <c r="A95" s="6"/>
      <c r="B95" s="6"/>
      <c r="C95" s="6"/>
      <c r="D95" s="6"/>
      <c r="E95" s="6"/>
      <c r="F95" s="6"/>
      <c r="G95" s="6"/>
      <c r="H95" s="30"/>
      <c r="I95" s="2"/>
      <c r="J95" s="2"/>
      <c r="K95" s="2"/>
      <c r="L95" s="2"/>
      <c r="M95" s="2"/>
      <c r="N95" s="2"/>
      <c r="O95" s="80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6"/>
      <c r="AF95" s="6"/>
      <c r="AG95" s="6"/>
      <c r="AH95" s="6"/>
      <c r="AI95" s="6"/>
      <c r="AJ95" s="6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</row>
    <row r="96" spans="1:57" ht="14.25" customHeight="1">
      <c r="A96" s="6"/>
      <c r="B96" s="6"/>
      <c r="C96" s="6"/>
      <c r="D96" s="6"/>
      <c r="E96" s="6"/>
      <c r="F96" s="6"/>
      <c r="G96" s="6"/>
      <c r="H96" s="30"/>
      <c r="I96" s="2"/>
      <c r="J96" s="2"/>
      <c r="K96" s="2"/>
      <c r="L96" s="2"/>
      <c r="M96" s="2"/>
      <c r="N96" s="2"/>
      <c r="O96" s="80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6"/>
      <c r="AF96" s="6"/>
      <c r="AG96" s="6"/>
      <c r="AH96" s="6"/>
      <c r="AI96" s="6"/>
      <c r="AJ96" s="6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</row>
    <row r="97" spans="1:57" ht="14.25" customHeight="1">
      <c r="A97" s="6"/>
      <c r="B97" s="6"/>
      <c r="C97" s="6"/>
      <c r="D97" s="6"/>
      <c r="E97" s="6"/>
      <c r="F97" s="6"/>
      <c r="G97" s="6"/>
      <c r="H97" s="30"/>
      <c r="I97" s="2"/>
      <c r="J97" s="2"/>
      <c r="K97" s="2"/>
      <c r="L97" s="2"/>
      <c r="M97" s="2"/>
      <c r="N97" s="2"/>
      <c r="O97" s="80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6"/>
      <c r="AF97" s="6"/>
      <c r="AG97" s="6"/>
      <c r="AH97" s="6"/>
      <c r="AI97" s="6"/>
      <c r="AJ97" s="6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</row>
    <row r="98" spans="1:57" ht="14.25" customHeight="1">
      <c r="A98" s="6"/>
      <c r="B98" s="6"/>
      <c r="C98" s="6"/>
      <c r="D98" s="6"/>
      <c r="E98" s="6"/>
      <c r="F98" s="6"/>
      <c r="G98" s="6"/>
      <c r="H98" s="30"/>
      <c r="I98" s="2"/>
      <c r="J98" s="2"/>
      <c r="K98" s="2"/>
      <c r="L98" s="2"/>
      <c r="M98" s="2"/>
      <c r="N98" s="2"/>
      <c r="O98" s="80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6"/>
      <c r="AF98" s="6"/>
      <c r="AG98" s="6"/>
      <c r="AH98" s="6"/>
      <c r="AI98" s="6"/>
      <c r="AJ98" s="6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</row>
    <row r="99" spans="1:57" ht="14.25" customHeight="1">
      <c r="A99" s="6"/>
      <c r="B99" s="6"/>
      <c r="C99" s="6"/>
      <c r="D99" s="6"/>
      <c r="E99" s="6"/>
      <c r="F99" s="6"/>
      <c r="G99" s="6"/>
      <c r="H99" s="30"/>
      <c r="I99" s="2"/>
      <c r="J99" s="2"/>
      <c r="K99" s="2"/>
      <c r="L99" s="2"/>
      <c r="M99" s="2"/>
      <c r="N99" s="2"/>
      <c r="O99" s="80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6"/>
      <c r="AF99" s="6"/>
      <c r="AG99" s="6"/>
      <c r="AH99" s="6"/>
      <c r="AI99" s="6"/>
      <c r="AJ99" s="6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</row>
    <row r="100" spans="1:57" ht="14.25" customHeight="1">
      <c r="A100" s="6"/>
      <c r="B100" s="6"/>
      <c r="C100" s="6"/>
      <c r="D100" s="6"/>
      <c r="E100" s="6"/>
      <c r="F100" s="6"/>
      <c r="G100" s="6"/>
      <c r="H100" s="30"/>
      <c r="I100" s="2"/>
      <c r="J100" s="2"/>
      <c r="K100" s="2"/>
      <c r="L100" s="2"/>
      <c r="M100" s="2"/>
      <c r="N100" s="2"/>
      <c r="O100" s="80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6"/>
      <c r="AF100" s="6"/>
      <c r="AG100" s="6"/>
      <c r="AH100" s="6"/>
      <c r="AI100" s="6"/>
      <c r="AJ100" s="6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</row>
  </sheetData>
  <dataValidations count="2">
    <dataValidation type="list" allowBlank="1" showErrorMessage="1" sqref="A1">
      <formula1>$H$2:$H$31</formula1>
    </dataValidation>
    <dataValidation type="list" allowBlank="1" showErrorMessage="1" sqref="AE1">
      <formula1>$AK$2:$AK$31</formula1>
    </dataValidation>
  </dataValidations>
  <pageMargins left="0.7" right="0.7" top="0.75" bottom="0.75" header="0" footer="0"/>
  <pageSetup orientation="portrait" useFirstPageNumber="1"/>
  <headerFooter>
    <oddHeader>&amp;L&amp;C&amp;R</oddHeader>
    <oddFooter>&amp;L&amp;C&amp;R</oddFooter>
  </headerFooter>
  <extLst/>
</worksheet>
</file>

<file path=xl/worksheets/sheet8.xml><?xml version="1.0" encoding="utf-8"?>
<worksheet xmlns="http://schemas.openxmlformats.org/spreadsheetml/2006/main" xmlns:r="http://schemas.openxmlformats.org/officeDocument/2006/relationships">
  <dimension ref="A1:BE100"/>
  <sheetViews>
    <sheetView zoomScale="110" zoomScaleNormal="110" workbookViewId="0">
      <selection activeCell="A2" sqref="A2:XFD9"/>
    </sheetView>
  </sheetViews>
  <sheetFormatPr defaultColWidth="12" defaultRowHeight="15" customHeight="1"/>
  <cols>
    <col min="1" max="1" width="28" customWidth="1"/>
    <col min="7" max="7" width="0" hidden="1" customWidth="1"/>
    <col min="8" max="8" width="24.42578125" style="82" hidden="1" customWidth="1"/>
    <col min="9" max="9" width="22.85546875" style="9" hidden="1" customWidth="1"/>
    <col min="10" max="14" width="12" style="9" hidden="1" customWidth="1"/>
    <col min="15" max="15" width="12" style="82" hidden="1" customWidth="1"/>
    <col min="16" max="30" width="12" style="9" hidden="1" customWidth="1"/>
    <col min="31" max="36" width="0" hidden="1" customWidth="1"/>
    <col min="37" max="57" width="12" style="9" hidden="1" customWidth="1"/>
  </cols>
  <sheetData>
    <row r="1" spans="1:57" ht="24" customHeight="1" thickBot="1">
      <c r="A1" s="1" t="s">
        <v>1011</v>
      </c>
      <c r="B1" s="2"/>
      <c r="C1" s="2"/>
      <c r="D1" s="2"/>
      <c r="E1" s="2"/>
      <c r="F1" s="2"/>
      <c r="G1" s="2"/>
      <c r="H1" s="80"/>
      <c r="I1" s="2"/>
      <c r="J1" s="2"/>
      <c r="K1" s="2"/>
      <c r="L1" s="2"/>
      <c r="M1" s="2"/>
      <c r="N1" s="2"/>
      <c r="O1" s="80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0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</row>
    <row r="2" spans="1:57" ht="15" hidden="1" customHeight="1" thickBot="1">
      <c r="A2" s="3" t="str">
        <f t="shared" ref="A2:G2" si="0">IF($A$1=$H$2,I2,IF($A$1=$H$3,I7,IF($A$1=$H$4,I12,IF($A$1=$H$5,I17,IF($A$1=$H$6,I22,IF($A$1=$H$7,I27,IF($A$1=$H$8,I32,IF($A$1=$H$9,I37,IF($A$1=$H$10,I42,IF($A$1=$H$11,I47,IF($A$1=$H$12,P2,IF($A$1=$H$13,P7,IF($A$1=$H$14,P12,IF($A$1=$H$15,P17,IF($A$1=$H$16,P22,IF($A$1=$H$17,P27,IF($A$1=$H$18,P32,IF($A$1=$H$19,P37,IF($A$1=$H$20,P42,IF($A$1=$H$21,P47,IF($A$1=$H$21,P52,IF($A$1=$H$22,W2,IF($A$1=$H$23,W7,IF($A$1=$H$24,W12,IF($A$1=$H$25,W17,IF($A$1=$H$26,W22,IF($A$1=$H$27,W27,IF($A$1=$H$28,W32,IF($A$1=$H$29,W37,IF($A$1=$H$30,W42,IF($A$1=$H$31,W47)))))))))))))))))))))))))))))))</f>
        <v>1 ਸਤਨਾਮ ਚੰਦ ਕਾਲੂ ਰਾਮ</v>
      </c>
      <c r="B2" s="3" t="str">
        <f t="shared" si="0"/>
        <v>ਪਰਮੇਸ਼ਵਰੀ ਬਾਈ</v>
      </c>
      <c r="C2" s="3" t="str">
        <f t="shared" si="0"/>
        <v>ਰਣਜੀਤ ਰਾਣੀ</v>
      </c>
      <c r="D2" s="3">
        <f t="shared" si="0"/>
        <v>1</v>
      </c>
      <c r="E2" s="3">
        <f t="shared" si="0"/>
        <v>1</v>
      </c>
      <c r="F2" s="108">
        <f t="shared" si="0"/>
        <v>1</v>
      </c>
      <c r="G2" s="109" t="str">
        <f t="shared" si="0"/>
        <v>https://serving.photos.photobox.com/20153930b4216db3b65a9366dfff5a2b1e7e622ea9e9ca3a57e30fac742ab68c0465159e.jpg</v>
      </c>
      <c r="H2" s="111" t="str">
        <f>I2</f>
        <v>1 ਸਤਨਾਮ ਚੰਦ ਕਾਲੂ ਰਾਮ</v>
      </c>
      <c r="I2" s="73" t="s">
        <v>1011</v>
      </c>
      <c r="J2" s="5" t="s">
        <v>1012</v>
      </c>
      <c r="K2" s="5" t="s">
        <v>487</v>
      </c>
      <c r="L2" s="5">
        <v>1</v>
      </c>
      <c r="M2" s="5">
        <v>1</v>
      </c>
      <c r="N2" s="5">
        <v>1</v>
      </c>
      <c r="O2" s="80" t="s">
        <v>1278</v>
      </c>
      <c r="P2" s="73" t="s">
        <v>979</v>
      </c>
      <c r="Q2" s="5">
        <v>1</v>
      </c>
      <c r="R2" s="5">
        <v>1</v>
      </c>
      <c r="S2" s="5">
        <v>1</v>
      </c>
      <c r="T2" s="5">
        <v>1</v>
      </c>
      <c r="U2" s="5">
        <v>1</v>
      </c>
      <c r="V2" s="2">
        <v>2</v>
      </c>
      <c r="W2" s="73" t="s">
        <v>904</v>
      </c>
      <c r="X2" s="5">
        <v>1</v>
      </c>
      <c r="Y2" s="5">
        <v>1</v>
      </c>
      <c r="Z2" s="5">
        <v>1</v>
      </c>
      <c r="AA2" s="5">
        <v>1</v>
      </c>
      <c r="AB2" s="5">
        <v>1</v>
      </c>
      <c r="AC2" s="2">
        <v>2</v>
      </c>
      <c r="AD2" s="2"/>
      <c r="AE2" s="3" t="b">
        <f t="shared" ref="AE2:AJ6" si="1">IF($AE$1=$AK$2,AL2,IF($AE$1=$AK$3,AL7,IF($AE$1=$AK$4,AL12,IF($AE$1=$AK$5,AL17,IF($AE$1=$AK$6,AL22,IF($AE$1=$AK$7,AL27,IF($AE$1=$AK$8,AL32,IF($AE$1=$AK$9,AL37,IF($AE$1=$AK$10,AL42,IF($AE$1=$AK$11,AL47,IF($AE$1=$AK$12,AS2,IF($AE$1=$AK$13,AS7,IF($AE$1=$AK$14,AS12,IF($AE$1=$AK$15,AS17,IF($AE$1=$AK$16,AS22,IF($AE$1=$AK$17,AS27,IF($AE$1=$AK$18,AS32,IF($AE$1=$AK$19,AS37,IF($AE$1=$AK$20,AS42,IF($AE$1=$AK$21,AS47,IF($AE$1=$AK$21,AS52,IF($AE$1=$AK$22,AZ2,IF($AE$1=$AK$23,AZ7,IF($AE$1=$AK$24,AZ12,IF($AE$1=$AK$25,AZ17,IF($AE$1=$AK$26,AZ22,IF($AE$1=$AK$27,AZ27,IF($AE$1=$AK$28,AZ32,IF($AE$1=$AK$29,AZ37,IF($AE$1=$AK$30,AZ42,IF($AE$1=$AK$31,AZ47)))))))))))))))))))))))))))))))</f>
        <v>0</v>
      </c>
      <c r="AF2" s="3" t="b">
        <f t="shared" si="1"/>
        <v>0</v>
      </c>
      <c r="AG2" s="3" t="b">
        <f t="shared" si="1"/>
        <v>0</v>
      </c>
      <c r="AH2" s="3" t="b">
        <f t="shared" si="1"/>
        <v>0</v>
      </c>
      <c r="AI2" s="3" t="b">
        <f t="shared" si="1"/>
        <v>0</v>
      </c>
      <c r="AJ2" s="3" t="b">
        <f t="shared" si="1"/>
        <v>0</v>
      </c>
      <c r="AK2" s="4" t="str">
        <f>AL2</f>
        <v>31 one</v>
      </c>
      <c r="AL2" s="73" t="s">
        <v>900</v>
      </c>
      <c r="AM2" s="5">
        <v>1</v>
      </c>
      <c r="AN2" s="5">
        <v>1</v>
      </c>
      <c r="AO2" s="5">
        <v>1</v>
      </c>
      <c r="AP2" s="5">
        <v>1</v>
      </c>
      <c r="AQ2" s="5">
        <v>1</v>
      </c>
      <c r="AR2" s="2">
        <v>2</v>
      </c>
      <c r="AS2" s="17" t="s">
        <v>785</v>
      </c>
      <c r="AT2" s="18">
        <v>1</v>
      </c>
      <c r="AU2" s="18">
        <v>1</v>
      </c>
      <c r="AV2" s="18">
        <v>1</v>
      </c>
      <c r="AW2" s="18">
        <v>1</v>
      </c>
      <c r="AX2" s="18">
        <v>1</v>
      </c>
      <c r="AY2" s="29"/>
      <c r="AZ2" s="17" t="s">
        <v>51</v>
      </c>
      <c r="BA2" s="5">
        <v>1</v>
      </c>
      <c r="BB2" s="5">
        <v>1</v>
      </c>
      <c r="BC2" s="5">
        <v>1</v>
      </c>
      <c r="BD2" s="5">
        <v>1</v>
      </c>
      <c r="BE2" s="5">
        <v>1</v>
      </c>
    </row>
    <row r="3" spans="1:57" ht="14.25" hidden="1" customHeight="1">
      <c r="A3" s="3" t="str">
        <f t="shared" ref="A3:F6" si="2">IF($A$1=$H$2,I3,IF($A$1=$H$3,I8,IF($A$1=$H$4,I13,IF($A$1=$H$5,I18,IF($A$1=$H$6,I23,IF($A$1=$H$7,I28,IF($A$1=$H$8,I33,IF($A$1=$H$9,I38,IF($A$1=$H$10,I43,IF($A$1=$H$11,I48,IF($A$1=$H$12,P3,IF($A$1=$H$13,P8,IF($A$1=$H$14,P13,IF($A$1=$H$15,P18,IF($A$1=$H$16,P23,IF($A$1=$H$17,P28,IF($A$1=$H$18,P33,IF($A$1=$H$19,P38,IF($A$1=$H$20,P43,IF($A$1=$H$21,P48,IF($A$1=$H$21,P53,IF($A$1=$H$22,W3,IF($A$1=$H$23,W8,IF($A$1=$H$24,W13,IF($A$1=$H$25,W18,IF($A$1=$H$26,W23,IF($A$1=$H$27,W28,IF($A$1=$H$28,W33,IF($A$1=$H$29,W38,IF($A$1=$H$30,W43,IF($A$1=$H$31,W48)))))))))))))))))))))))))))))))</f>
        <v>ਸੁਖਵਿੰਦਰ ਕੁਮਾਰ</v>
      </c>
      <c r="B3" s="3" t="str">
        <f t="shared" si="2"/>
        <v>ਸੁਦੇਸ਼ ਰਾਣੀ</v>
      </c>
      <c r="C3" s="3">
        <f t="shared" si="2"/>
        <v>1</v>
      </c>
      <c r="D3" s="3">
        <f t="shared" si="2"/>
        <v>1</v>
      </c>
      <c r="E3" s="3">
        <f t="shared" si="2"/>
        <v>1</v>
      </c>
      <c r="F3" s="3">
        <f t="shared" si="2"/>
        <v>1</v>
      </c>
      <c r="G3" s="105"/>
      <c r="H3" s="69" t="str">
        <f>I7</f>
        <v>2 ਨਰੈਣ ਦਾਸ ਸਾਮਾ</v>
      </c>
      <c r="I3" s="5" t="s">
        <v>290</v>
      </c>
      <c r="J3" s="5" t="s">
        <v>272</v>
      </c>
      <c r="K3" s="5">
        <v>1</v>
      </c>
      <c r="L3" s="5">
        <v>1</v>
      </c>
      <c r="M3" s="5">
        <v>1</v>
      </c>
      <c r="N3" s="5">
        <v>1</v>
      </c>
      <c r="O3" s="5">
        <v>1</v>
      </c>
      <c r="P3" s="5">
        <v>2</v>
      </c>
      <c r="Q3" s="5">
        <v>1</v>
      </c>
      <c r="R3" s="5">
        <v>1</v>
      </c>
      <c r="S3" s="5">
        <v>1</v>
      </c>
      <c r="T3" s="5">
        <v>1</v>
      </c>
      <c r="U3" s="5">
        <v>1</v>
      </c>
      <c r="V3" s="2">
        <v>2</v>
      </c>
      <c r="W3" s="5">
        <v>2</v>
      </c>
      <c r="X3" s="5">
        <v>1</v>
      </c>
      <c r="Y3" s="5">
        <v>1</v>
      </c>
      <c r="Z3" s="5">
        <v>1</v>
      </c>
      <c r="AA3" s="5">
        <v>1</v>
      </c>
      <c r="AB3" s="5">
        <v>1</v>
      </c>
      <c r="AC3" s="2">
        <v>2</v>
      </c>
      <c r="AD3" s="2"/>
      <c r="AE3" s="3" t="b">
        <f t="shared" si="1"/>
        <v>0</v>
      </c>
      <c r="AF3" s="3" t="b">
        <f t="shared" si="1"/>
        <v>0</v>
      </c>
      <c r="AG3" s="3" t="b">
        <f t="shared" si="1"/>
        <v>0</v>
      </c>
      <c r="AH3" s="3" t="b">
        <f t="shared" si="1"/>
        <v>0</v>
      </c>
      <c r="AI3" s="3" t="b">
        <f t="shared" si="1"/>
        <v>0</v>
      </c>
      <c r="AJ3" s="3" t="b">
        <f t="shared" si="1"/>
        <v>0</v>
      </c>
      <c r="AK3" s="4" t="str">
        <f>AL7</f>
        <v>32 two</v>
      </c>
      <c r="AL3" s="5">
        <v>2</v>
      </c>
      <c r="AM3" s="5">
        <v>1</v>
      </c>
      <c r="AN3" s="5">
        <v>1</v>
      </c>
      <c r="AO3" s="5">
        <v>1</v>
      </c>
      <c r="AP3" s="5">
        <v>1</v>
      </c>
      <c r="AQ3" s="5">
        <v>1</v>
      </c>
      <c r="AR3" s="2">
        <v>2</v>
      </c>
      <c r="AS3" s="18">
        <v>2</v>
      </c>
      <c r="AT3" s="18">
        <v>1</v>
      </c>
      <c r="AU3" s="18">
        <v>1</v>
      </c>
      <c r="AV3" s="18">
        <v>1</v>
      </c>
      <c r="AW3" s="18">
        <v>1</v>
      </c>
      <c r="AX3" s="18">
        <v>1</v>
      </c>
      <c r="AY3" s="29"/>
      <c r="AZ3" s="18">
        <v>2</v>
      </c>
      <c r="BA3" s="5">
        <v>1</v>
      </c>
      <c r="BB3" s="5">
        <v>1</v>
      </c>
      <c r="BC3" s="5">
        <v>1</v>
      </c>
      <c r="BD3" s="5">
        <v>1</v>
      </c>
      <c r="BE3" s="5">
        <v>1</v>
      </c>
    </row>
    <row r="4" spans="1:57" ht="14.25" hidden="1" customHeight="1">
      <c r="A4" s="3" t="str">
        <f t="shared" si="2"/>
        <v>ਪ੍ਰੇਮ ਸਾਗਰ</v>
      </c>
      <c r="B4" s="3" t="str">
        <f t="shared" si="2"/>
        <v>ਆਰਜੂ ਕੰਬੋਜ</v>
      </c>
      <c r="C4" s="3">
        <f t="shared" si="2"/>
        <v>1</v>
      </c>
      <c r="D4" s="3">
        <f t="shared" si="2"/>
        <v>1</v>
      </c>
      <c r="E4" s="3">
        <f t="shared" si="2"/>
        <v>1</v>
      </c>
      <c r="F4" s="3">
        <f t="shared" si="2"/>
        <v>1</v>
      </c>
      <c r="G4" s="105"/>
      <c r="H4" s="69" t="str">
        <f>I12</f>
        <v xml:space="preserve">3 ਲੇਖ ਰਾਜ </v>
      </c>
      <c r="I4" s="5" t="s">
        <v>1014</v>
      </c>
      <c r="J4" s="213" t="s">
        <v>1394</v>
      </c>
      <c r="K4" s="5">
        <v>1</v>
      </c>
      <c r="L4" s="5">
        <v>1</v>
      </c>
      <c r="M4" s="5">
        <v>1</v>
      </c>
      <c r="N4" s="5">
        <v>1</v>
      </c>
      <c r="O4" s="5">
        <v>1</v>
      </c>
      <c r="P4" s="5">
        <v>3</v>
      </c>
      <c r="Q4" s="5">
        <v>1</v>
      </c>
      <c r="R4" s="5">
        <v>1</v>
      </c>
      <c r="S4" s="5">
        <v>1</v>
      </c>
      <c r="T4" s="5">
        <v>1</v>
      </c>
      <c r="U4" s="5">
        <v>1</v>
      </c>
      <c r="V4" s="2">
        <v>2</v>
      </c>
      <c r="W4" s="5">
        <v>3</v>
      </c>
      <c r="X4" s="5">
        <v>1</v>
      </c>
      <c r="Y4" s="5">
        <v>1</v>
      </c>
      <c r="Z4" s="5">
        <v>1</v>
      </c>
      <c r="AA4" s="5">
        <v>1</v>
      </c>
      <c r="AB4" s="5">
        <v>1</v>
      </c>
      <c r="AC4" s="2">
        <v>2</v>
      </c>
      <c r="AD4" s="2"/>
      <c r="AE4" s="3" t="b">
        <f t="shared" si="1"/>
        <v>0</v>
      </c>
      <c r="AF4" s="3" t="b">
        <f t="shared" si="1"/>
        <v>0</v>
      </c>
      <c r="AG4" s="3" t="b">
        <f t="shared" si="1"/>
        <v>0</v>
      </c>
      <c r="AH4" s="3" t="b">
        <f t="shared" si="1"/>
        <v>0</v>
      </c>
      <c r="AI4" s="3" t="b">
        <f t="shared" si="1"/>
        <v>0</v>
      </c>
      <c r="AJ4" s="3" t="b">
        <f t="shared" si="1"/>
        <v>0</v>
      </c>
      <c r="AK4" s="4" t="str">
        <f>AL12</f>
        <v>33 three</v>
      </c>
      <c r="AL4" s="5">
        <v>3</v>
      </c>
      <c r="AM4" s="5">
        <v>1</v>
      </c>
      <c r="AN4" s="5">
        <v>1</v>
      </c>
      <c r="AO4" s="5">
        <v>1</v>
      </c>
      <c r="AP4" s="5">
        <v>1</v>
      </c>
      <c r="AQ4" s="5">
        <v>1</v>
      </c>
      <c r="AR4" s="2">
        <v>2</v>
      </c>
      <c r="AS4" s="18">
        <v>3</v>
      </c>
      <c r="AT4" s="18">
        <v>1</v>
      </c>
      <c r="AU4" s="18">
        <v>1</v>
      </c>
      <c r="AV4" s="18">
        <v>1</v>
      </c>
      <c r="AW4" s="18">
        <v>1</v>
      </c>
      <c r="AX4" s="18">
        <v>1</v>
      </c>
      <c r="AY4" s="29"/>
      <c r="AZ4" s="18">
        <v>3</v>
      </c>
      <c r="BA4" s="5">
        <v>1</v>
      </c>
      <c r="BB4" s="5">
        <v>1</v>
      </c>
      <c r="BC4" s="5">
        <v>1</v>
      </c>
      <c r="BD4" s="5">
        <v>1</v>
      </c>
      <c r="BE4" s="5">
        <v>1</v>
      </c>
    </row>
    <row r="5" spans="1:57" ht="14.25" hidden="1" customHeight="1">
      <c r="A5" s="3">
        <f t="shared" si="2"/>
        <v>4</v>
      </c>
      <c r="B5" s="3">
        <f t="shared" si="2"/>
        <v>1</v>
      </c>
      <c r="C5" s="3">
        <f t="shared" si="2"/>
        <v>1</v>
      </c>
      <c r="D5" s="3">
        <f t="shared" si="2"/>
        <v>1</v>
      </c>
      <c r="E5" s="3">
        <f t="shared" si="2"/>
        <v>1</v>
      </c>
      <c r="F5" s="3">
        <f t="shared" si="2"/>
        <v>1</v>
      </c>
      <c r="G5" s="105"/>
      <c r="H5" s="69" t="str">
        <f>I17</f>
        <v>4 ਲਛਮਣ ਦਾਸ</v>
      </c>
      <c r="I5" s="5">
        <v>4</v>
      </c>
      <c r="J5" s="5">
        <v>1</v>
      </c>
      <c r="K5" s="5">
        <v>1</v>
      </c>
      <c r="L5" s="5">
        <v>1</v>
      </c>
      <c r="M5" s="5">
        <v>1</v>
      </c>
      <c r="N5" s="5">
        <v>1</v>
      </c>
      <c r="O5" s="5">
        <v>1</v>
      </c>
      <c r="P5" s="5">
        <v>4</v>
      </c>
      <c r="Q5" s="5">
        <v>1</v>
      </c>
      <c r="R5" s="5">
        <v>1</v>
      </c>
      <c r="S5" s="5">
        <v>1</v>
      </c>
      <c r="T5" s="5">
        <v>1</v>
      </c>
      <c r="U5" s="5">
        <v>1</v>
      </c>
      <c r="V5" s="2">
        <v>2</v>
      </c>
      <c r="W5" s="5">
        <v>4</v>
      </c>
      <c r="X5" s="5">
        <v>1</v>
      </c>
      <c r="Y5" s="5">
        <v>1</v>
      </c>
      <c r="Z5" s="5">
        <v>1</v>
      </c>
      <c r="AA5" s="5">
        <v>1</v>
      </c>
      <c r="AB5" s="5">
        <v>1</v>
      </c>
      <c r="AC5" s="2">
        <v>2</v>
      </c>
      <c r="AD5" s="2"/>
      <c r="AE5" s="3" t="b">
        <f t="shared" si="1"/>
        <v>0</v>
      </c>
      <c r="AF5" s="3" t="b">
        <f t="shared" si="1"/>
        <v>0</v>
      </c>
      <c r="AG5" s="3" t="b">
        <f t="shared" si="1"/>
        <v>0</v>
      </c>
      <c r="AH5" s="3" t="b">
        <f t="shared" si="1"/>
        <v>0</v>
      </c>
      <c r="AI5" s="3" t="b">
        <f t="shared" si="1"/>
        <v>0</v>
      </c>
      <c r="AJ5" s="3" t="b">
        <f t="shared" si="1"/>
        <v>0</v>
      </c>
      <c r="AK5" s="4" t="str">
        <f>AL17</f>
        <v>34 four</v>
      </c>
      <c r="AL5" s="5">
        <v>4</v>
      </c>
      <c r="AM5" s="5">
        <v>1</v>
      </c>
      <c r="AN5" s="5">
        <v>1</v>
      </c>
      <c r="AO5" s="5">
        <v>1</v>
      </c>
      <c r="AP5" s="5">
        <v>1</v>
      </c>
      <c r="AQ5" s="5">
        <v>1</v>
      </c>
      <c r="AR5" s="2">
        <v>2</v>
      </c>
      <c r="AS5" s="18">
        <v>4</v>
      </c>
      <c r="AT5" s="18">
        <v>1</v>
      </c>
      <c r="AU5" s="18">
        <v>1</v>
      </c>
      <c r="AV5" s="18">
        <v>1</v>
      </c>
      <c r="AW5" s="18">
        <v>1</v>
      </c>
      <c r="AX5" s="18">
        <v>1</v>
      </c>
      <c r="AY5" s="29"/>
      <c r="AZ5" s="18">
        <v>4</v>
      </c>
      <c r="BA5" s="5">
        <v>1</v>
      </c>
      <c r="BB5" s="5">
        <v>1</v>
      </c>
      <c r="BC5" s="5">
        <v>1</v>
      </c>
      <c r="BD5" s="5">
        <v>1</v>
      </c>
      <c r="BE5" s="5">
        <v>1</v>
      </c>
    </row>
    <row r="6" spans="1:57" ht="14.25" hidden="1" customHeight="1">
      <c r="A6" s="3">
        <f t="shared" si="2"/>
        <v>5</v>
      </c>
      <c r="B6" s="3">
        <f t="shared" si="2"/>
        <v>1</v>
      </c>
      <c r="C6" s="3">
        <f t="shared" si="2"/>
        <v>1</v>
      </c>
      <c r="D6" s="3">
        <f t="shared" si="2"/>
        <v>1</v>
      </c>
      <c r="E6" s="3">
        <f t="shared" si="2"/>
        <v>1</v>
      </c>
      <c r="F6" s="3">
        <f t="shared" si="2"/>
        <v>1</v>
      </c>
      <c r="G6" s="105"/>
      <c r="H6" s="69" t="str">
        <f>I22</f>
        <v>5 ਲੇਖ ਰਾਜ ਸਾਮਾ</v>
      </c>
      <c r="I6" s="5">
        <v>5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5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2">
        <v>2</v>
      </c>
      <c r="W6" s="5">
        <v>5</v>
      </c>
      <c r="X6" s="5">
        <v>1</v>
      </c>
      <c r="Y6" s="5">
        <v>1</v>
      </c>
      <c r="Z6" s="5">
        <v>1</v>
      </c>
      <c r="AA6" s="5">
        <v>1</v>
      </c>
      <c r="AB6" s="5">
        <v>1</v>
      </c>
      <c r="AC6" s="2">
        <v>2</v>
      </c>
      <c r="AD6" s="2"/>
      <c r="AE6" s="3" t="b">
        <f t="shared" si="1"/>
        <v>0</v>
      </c>
      <c r="AF6" s="3" t="b">
        <f t="shared" si="1"/>
        <v>0</v>
      </c>
      <c r="AG6" s="3" t="b">
        <f t="shared" si="1"/>
        <v>0</v>
      </c>
      <c r="AH6" s="3" t="b">
        <f t="shared" si="1"/>
        <v>0</v>
      </c>
      <c r="AI6" s="3" t="b">
        <f t="shared" si="1"/>
        <v>0</v>
      </c>
      <c r="AJ6" s="3" t="b">
        <f t="shared" si="1"/>
        <v>0</v>
      </c>
      <c r="AK6" s="4" t="str">
        <f>AL22</f>
        <v>35 five</v>
      </c>
      <c r="AL6" s="5">
        <v>5</v>
      </c>
      <c r="AM6" s="5">
        <v>1</v>
      </c>
      <c r="AN6" s="5">
        <v>1</v>
      </c>
      <c r="AO6" s="5">
        <v>1</v>
      </c>
      <c r="AP6" s="5">
        <v>1</v>
      </c>
      <c r="AQ6" s="5">
        <v>1</v>
      </c>
      <c r="AR6" s="2">
        <v>2</v>
      </c>
      <c r="AS6" s="18">
        <v>5</v>
      </c>
      <c r="AT6" s="18">
        <v>1</v>
      </c>
      <c r="AU6" s="18">
        <v>1</v>
      </c>
      <c r="AV6" s="18">
        <v>1</v>
      </c>
      <c r="AW6" s="18">
        <v>1</v>
      </c>
      <c r="AX6" s="18">
        <v>1</v>
      </c>
      <c r="AY6" s="29"/>
      <c r="AZ6" s="18">
        <v>5</v>
      </c>
      <c r="BA6" s="5">
        <v>1</v>
      </c>
      <c r="BB6" s="5">
        <v>1</v>
      </c>
      <c r="BC6" s="5">
        <v>1</v>
      </c>
      <c r="BD6" s="5">
        <v>1</v>
      </c>
      <c r="BE6" s="5">
        <v>1</v>
      </c>
    </row>
    <row r="7" spans="1:57" ht="14.25" hidden="1" customHeight="1">
      <c r="A7" s="6"/>
      <c r="B7" s="6"/>
      <c r="C7" s="6"/>
      <c r="D7" s="6"/>
      <c r="E7" s="6"/>
      <c r="F7" s="6"/>
      <c r="G7" s="106"/>
      <c r="H7" s="69" t="str">
        <f>I27</f>
        <v>6 ਅਵਤਾਰ ਸਿੰਘ</v>
      </c>
      <c r="I7" s="73" t="s">
        <v>1013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80" t="s">
        <v>1279</v>
      </c>
      <c r="P7" s="73" t="s">
        <v>985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2">
        <v>2</v>
      </c>
      <c r="W7" s="73" t="s">
        <v>986</v>
      </c>
      <c r="X7" s="5">
        <v>1</v>
      </c>
      <c r="Y7" s="5">
        <v>1</v>
      </c>
      <c r="Z7" s="5">
        <v>1</v>
      </c>
      <c r="AA7" s="5">
        <v>1</v>
      </c>
      <c r="AB7" s="5">
        <v>1</v>
      </c>
      <c r="AC7" s="2">
        <v>2</v>
      </c>
      <c r="AD7" s="2"/>
      <c r="AE7" s="6"/>
      <c r="AF7" s="6"/>
      <c r="AG7" s="6"/>
      <c r="AH7" s="6"/>
      <c r="AI7" s="6"/>
      <c r="AJ7" s="6"/>
      <c r="AK7" s="4" t="str">
        <f>AL27</f>
        <v>36 six</v>
      </c>
      <c r="AL7" s="73" t="s">
        <v>907</v>
      </c>
      <c r="AM7" s="5">
        <v>1</v>
      </c>
      <c r="AN7" s="5">
        <v>1</v>
      </c>
      <c r="AO7" s="5">
        <v>1</v>
      </c>
      <c r="AP7" s="5">
        <v>1</v>
      </c>
      <c r="AQ7" s="5">
        <v>1</v>
      </c>
      <c r="AR7" s="2">
        <v>2</v>
      </c>
      <c r="AS7" s="17" t="s">
        <v>680</v>
      </c>
      <c r="AT7" s="18">
        <v>1</v>
      </c>
      <c r="AU7" s="18">
        <v>1</v>
      </c>
      <c r="AV7" s="18">
        <v>1</v>
      </c>
      <c r="AW7" s="18">
        <v>1</v>
      </c>
      <c r="AX7" s="18">
        <v>1</v>
      </c>
      <c r="AY7" s="29"/>
      <c r="AZ7" s="17" t="s">
        <v>85</v>
      </c>
      <c r="BA7" s="5">
        <v>1</v>
      </c>
      <c r="BB7" s="5">
        <v>1</v>
      </c>
      <c r="BC7" s="5">
        <v>1</v>
      </c>
      <c r="BD7" s="5">
        <v>1</v>
      </c>
      <c r="BE7" s="5">
        <v>1</v>
      </c>
    </row>
    <row r="8" spans="1:57" ht="14.25" hidden="1" customHeight="1">
      <c r="A8" s="6"/>
      <c r="B8" s="6"/>
      <c r="C8" s="6"/>
      <c r="D8" s="6"/>
      <c r="E8" s="6"/>
      <c r="F8" s="6"/>
      <c r="G8" s="106"/>
      <c r="H8" s="69" t="str">
        <f>I32</f>
        <v>7 ਦਰਸ਼ਨ ਲਾਲ ਚੌਧਰੀ ਰਾਮ</v>
      </c>
      <c r="I8" s="5" t="s">
        <v>338</v>
      </c>
      <c r="J8" s="5" t="s">
        <v>489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7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2">
        <v>2</v>
      </c>
      <c r="W8" s="5">
        <v>7</v>
      </c>
      <c r="X8" s="5">
        <v>1</v>
      </c>
      <c r="Y8" s="5">
        <v>1</v>
      </c>
      <c r="Z8" s="5">
        <v>1</v>
      </c>
      <c r="AA8" s="5">
        <v>1</v>
      </c>
      <c r="AB8" s="5">
        <v>1</v>
      </c>
      <c r="AC8" s="2">
        <v>2</v>
      </c>
      <c r="AD8" s="2"/>
      <c r="AE8" s="6"/>
      <c r="AF8" s="6"/>
      <c r="AG8" s="6"/>
      <c r="AH8" s="6"/>
      <c r="AI8" s="6"/>
      <c r="AJ8" s="6"/>
      <c r="AK8" s="4" t="str">
        <f>AL32</f>
        <v>37 seven</v>
      </c>
      <c r="AL8" s="5">
        <v>7</v>
      </c>
      <c r="AM8" s="5">
        <v>1</v>
      </c>
      <c r="AN8" s="5">
        <v>1</v>
      </c>
      <c r="AO8" s="5">
        <v>1</v>
      </c>
      <c r="AP8" s="5">
        <v>1</v>
      </c>
      <c r="AQ8" s="5">
        <v>1</v>
      </c>
      <c r="AR8" s="2">
        <v>2</v>
      </c>
      <c r="AS8" s="18">
        <v>7</v>
      </c>
      <c r="AT8" s="18">
        <v>1</v>
      </c>
      <c r="AU8" s="18">
        <v>1</v>
      </c>
      <c r="AV8" s="18">
        <v>1</v>
      </c>
      <c r="AW8" s="18">
        <v>1</v>
      </c>
      <c r="AX8" s="18">
        <v>1</v>
      </c>
      <c r="AY8" s="29"/>
      <c r="AZ8" s="18">
        <v>7</v>
      </c>
      <c r="BA8" s="5">
        <v>1</v>
      </c>
      <c r="BB8" s="5">
        <v>1</v>
      </c>
      <c r="BC8" s="5">
        <v>1</v>
      </c>
      <c r="BD8" s="5">
        <v>1</v>
      </c>
      <c r="BE8" s="5">
        <v>1</v>
      </c>
    </row>
    <row r="9" spans="1:57" ht="14.25" hidden="1" customHeight="1">
      <c r="A9" s="6"/>
      <c r="B9" s="6"/>
      <c r="C9" s="6"/>
      <c r="D9" s="6"/>
      <c r="E9" s="6"/>
      <c r="F9" s="6"/>
      <c r="G9" s="106"/>
      <c r="H9" s="69" t="str">
        <f>I37</f>
        <v>8 ਰਾਮ ਸਿੰਘ ਕੰਬੋਜ ਨਿਰਭੈ ਸਿੰਘ</v>
      </c>
      <c r="I9" s="5" t="s">
        <v>769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8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2">
        <v>2</v>
      </c>
      <c r="W9" s="5">
        <v>8</v>
      </c>
      <c r="X9" s="5">
        <v>1</v>
      </c>
      <c r="Y9" s="5">
        <v>1</v>
      </c>
      <c r="Z9" s="5">
        <v>1</v>
      </c>
      <c r="AA9" s="5">
        <v>1</v>
      </c>
      <c r="AB9" s="5">
        <v>1</v>
      </c>
      <c r="AC9" s="2">
        <v>2</v>
      </c>
      <c r="AD9" s="2"/>
      <c r="AE9" s="6"/>
      <c r="AF9" s="6"/>
      <c r="AG9" s="6"/>
      <c r="AH9" s="6"/>
      <c r="AI9" s="6"/>
      <c r="AJ9" s="6"/>
      <c r="AK9" s="4" t="str">
        <f>AL37</f>
        <v>38 eight</v>
      </c>
      <c r="AL9" s="5">
        <v>8</v>
      </c>
      <c r="AM9" s="5">
        <v>1</v>
      </c>
      <c r="AN9" s="5">
        <v>1</v>
      </c>
      <c r="AO9" s="5">
        <v>1</v>
      </c>
      <c r="AP9" s="5">
        <v>1</v>
      </c>
      <c r="AQ9" s="5">
        <v>1</v>
      </c>
      <c r="AR9" s="2">
        <v>2</v>
      </c>
      <c r="AS9" s="18">
        <v>8</v>
      </c>
      <c r="AT9" s="18">
        <v>1</v>
      </c>
      <c r="AU9" s="18">
        <v>1</v>
      </c>
      <c r="AV9" s="18">
        <v>1</v>
      </c>
      <c r="AW9" s="18">
        <v>1</v>
      </c>
      <c r="AX9" s="18">
        <v>1</v>
      </c>
      <c r="AY9" s="29"/>
      <c r="AZ9" s="18">
        <v>8</v>
      </c>
      <c r="BA9" s="5">
        <v>1</v>
      </c>
      <c r="BB9" s="5">
        <v>1</v>
      </c>
      <c r="BC9" s="5">
        <v>1</v>
      </c>
      <c r="BD9" s="5">
        <v>1</v>
      </c>
      <c r="BE9" s="5">
        <v>1</v>
      </c>
    </row>
    <row r="10" spans="1:57" ht="14.25" customHeight="1">
      <c r="A10" s="6"/>
      <c r="B10" s="6"/>
      <c r="C10" s="6"/>
      <c r="D10" s="6"/>
      <c r="E10" s="6"/>
      <c r="F10" s="6"/>
      <c r="G10" s="106"/>
      <c r="H10" s="69" t="str">
        <f>I42</f>
        <v>9 nine</v>
      </c>
      <c r="I10" s="5" t="s">
        <v>65</v>
      </c>
      <c r="J10" s="5" t="s">
        <v>53</v>
      </c>
      <c r="K10" s="5" t="s">
        <v>413</v>
      </c>
      <c r="L10" s="5">
        <v>1</v>
      </c>
      <c r="M10" s="5">
        <v>1</v>
      </c>
      <c r="N10" s="5">
        <v>1</v>
      </c>
      <c r="O10" s="5">
        <v>1</v>
      </c>
      <c r="P10" s="5">
        <v>9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2">
        <v>2</v>
      </c>
      <c r="W10" s="5">
        <v>9</v>
      </c>
      <c r="X10" s="5">
        <v>1</v>
      </c>
      <c r="Y10" s="5">
        <v>1</v>
      </c>
      <c r="Z10" s="5">
        <v>1</v>
      </c>
      <c r="AA10" s="5">
        <v>1</v>
      </c>
      <c r="AB10" s="5">
        <v>1</v>
      </c>
      <c r="AC10" s="2">
        <v>2</v>
      </c>
      <c r="AD10" s="2"/>
      <c r="AE10" s="6"/>
      <c r="AF10" s="6"/>
      <c r="AG10" s="6"/>
      <c r="AH10" s="6"/>
      <c r="AI10" s="6"/>
      <c r="AJ10" s="6"/>
      <c r="AK10" s="4" t="str">
        <f>AL42</f>
        <v>39 nine</v>
      </c>
      <c r="AL10" s="5">
        <v>9</v>
      </c>
      <c r="AM10" s="5">
        <v>1</v>
      </c>
      <c r="AN10" s="5">
        <v>1</v>
      </c>
      <c r="AO10" s="5">
        <v>1</v>
      </c>
      <c r="AP10" s="5">
        <v>1</v>
      </c>
      <c r="AQ10" s="5">
        <v>1</v>
      </c>
      <c r="AR10" s="2">
        <v>2</v>
      </c>
      <c r="AS10" s="18">
        <v>9</v>
      </c>
      <c r="AT10" s="18">
        <v>1</v>
      </c>
      <c r="AU10" s="18">
        <v>1</v>
      </c>
      <c r="AV10" s="18">
        <v>1</v>
      </c>
      <c r="AW10" s="18">
        <v>1</v>
      </c>
      <c r="AX10" s="18">
        <v>1</v>
      </c>
      <c r="AY10" s="29"/>
      <c r="AZ10" s="18">
        <v>9</v>
      </c>
      <c r="BA10" s="5">
        <v>1</v>
      </c>
      <c r="BB10" s="5">
        <v>1</v>
      </c>
      <c r="BC10" s="5">
        <v>1</v>
      </c>
      <c r="BD10" s="5">
        <v>1</v>
      </c>
      <c r="BE10" s="5">
        <v>1</v>
      </c>
    </row>
    <row r="11" spans="1:57" ht="14.25" customHeight="1">
      <c r="A11" s="81" t="s">
        <v>13</v>
      </c>
      <c r="B11" s="81" t="s">
        <v>14</v>
      </c>
      <c r="C11" s="81" t="s">
        <v>15</v>
      </c>
      <c r="D11" s="81" t="s">
        <v>16</v>
      </c>
      <c r="E11" s="81" t="s">
        <v>17</v>
      </c>
      <c r="F11" s="81" t="s">
        <v>18</v>
      </c>
      <c r="G11" s="112"/>
      <c r="H11" s="69" t="str">
        <f>I47</f>
        <v>10 ten</v>
      </c>
      <c r="I11" s="5" t="s">
        <v>423</v>
      </c>
      <c r="J11" s="5">
        <v>1</v>
      </c>
      <c r="K11" s="5">
        <v>1</v>
      </c>
      <c r="L11" s="5">
        <v>1</v>
      </c>
      <c r="M11" s="5">
        <v>1</v>
      </c>
      <c r="N11" s="5">
        <v>1</v>
      </c>
      <c r="O11" s="5">
        <v>1</v>
      </c>
      <c r="P11" s="5">
        <v>10</v>
      </c>
      <c r="Q11" s="5">
        <v>1</v>
      </c>
      <c r="R11" s="5">
        <v>1</v>
      </c>
      <c r="S11" s="5">
        <v>1</v>
      </c>
      <c r="T11" s="5">
        <v>1</v>
      </c>
      <c r="U11" s="5">
        <v>1</v>
      </c>
      <c r="V11" s="2">
        <v>2</v>
      </c>
      <c r="W11" s="5">
        <v>10</v>
      </c>
      <c r="X11" s="5">
        <v>1</v>
      </c>
      <c r="Y11" s="5">
        <v>1</v>
      </c>
      <c r="Z11" s="5">
        <v>1</v>
      </c>
      <c r="AA11" s="5">
        <v>1</v>
      </c>
      <c r="AB11" s="5">
        <v>1</v>
      </c>
      <c r="AC11" s="2">
        <v>2</v>
      </c>
      <c r="AD11" s="2"/>
      <c r="AE11" s="7" t="s">
        <v>13</v>
      </c>
      <c r="AF11" s="7" t="s">
        <v>14</v>
      </c>
      <c r="AG11" s="7" t="s">
        <v>15</v>
      </c>
      <c r="AH11" s="7" t="s">
        <v>16</v>
      </c>
      <c r="AI11" s="7" t="s">
        <v>17</v>
      </c>
      <c r="AJ11" s="7" t="s">
        <v>18</v>
      </c>
      <c r="AK11" s="4" t="str">
        <f>AL47</f>
        <v>40 ten</v>
      </c>
      <c r="AL11" s="5">
        <v>10</v>
      </c>
      <c r="AM11" s="5">
        <v>1</v>
      </c>
      <c r="AN11" s="5">
        <v>1</v>
      </c>
      <c r="AO11" s="5">
        <v>1</v>
      </c>
      <c r="AP11" s="5">
        <v>1</v>
      </c>
      <c r="AQ11" s="5">
        <v>1</v>
      </c>
      <c r="AR11" s="2">
        <v>2</v>
      </c>
      <c r="AS11" s="18">
        <v>10</v>
      </c>
      <c r="AT11" s="18">
        <v>1</v>
      </c>
      <c r="AU11" s="18">
        <v>1</v>
      </c>
      <c r="AV11" s="18">
        <v>1</v>
      </c>
      <c r="AW11" s="18">
        <v>1</v>
      </c>
      <c r="AX11" s="18">
        <v>1</v>
      </c>
      <c r="AY11" s="29"/>
      <c r="AZ11" s="18">
        <v>10</v>
      </c>
      <c r="BA11" s="5">
        <v>1</v>
      </c>
      <c r="BB11" s="5">
        <v>1</v>
      </c>
      <c r="BC11" s="5">
        <v>1</v>
      </c>
      <c r="BD11" s="5">
        <v>1</v>
      </c>
      <c r="BE11" s="5">
        <v>1</v>
      </c>
    </row>
    <row r="12" spans="1:57" ht="14.25" customHeight="1">
      <c r="A12" s="8" t="str">
        <f t="shared" ref="A12:F16" si="3">IF(A2&lt;100,"",A2)</f>
        <v>1 ਸਤਨਾਮ ਚੰਦ ਕਾਲੂ ਰਾਮ</v>
      </c>
      <c r="B12" s="8" t="str">
        <f t="shared" si="3"/>
        <v>ਪਰਮੇਸ਼ਵਰੀ ਬਾਈ</v>
      </c>
      <c r="C12" s="8" t="str">
        <f t="shared" si="3"/>
        <v>ਰਣਜੀਤ ਰਾਣੀ</v>
      </c>
      <c r="D12" s="8" t="str">
        <f t="shared" si="3"/>
        <v/>
      </c>
      <c r="E12" s="8" t="str">
        <f t="shared" si="3"/>
        <v/>
      </c>
      <c r="F12" s="8" t="str">
        <f t="shared" si="3"/>
        <v/>
      </c>
      <c r="G12" s="107"/>
      <c r="H12" s="69" t="str">
        <f>P2</f>
        <v>11 eleven</v>
      </c>
      <c r="I12" s="73" t="s">
        <v>1015</v>
      </c>
      <c r="J12" s="5" t="s">
        <v>150</v>
      </c>
      <c r="K12" s="5">
        <v>1</v>
      </c>
      <c r="L12" s="5">
        <v>1</v>
      </c>
      <c r="M12" s="5">
        <v>1</v>
      </c>
      <c r="N12" s="5">
        <v>1</v>
      </c>
      <c r="O12" s="80" t="s">
        <v>1283</v>
      </c>
      <c r="P12" s="73" t="s">
        <v>993</v>
      </c>
      <c r="Q12" s="5">
        <v>1</v>
      </c>
      <c r="R12" s="5">
        <v>1</v>
      </c>
      <c r="S12" s="5">
        <v>1</v>
      </c>
      <c r="T12" s="5">
        <v>1</v>
      </c>
      <c r="U12" s="5">
        <v>1</v>
      </c>
      <c r="V12" s="2">
        <v>2</v>
      </c>
      <c r="W12" s="73" t="s">
        <v>994</v>
      </c>
      <c r="X12" s="5">
        <v>1</v>
      </c>
      <c r="Y12" s="5">
        <v>1</v>
      </c>
      <c r="Z12" s="5">
        <v>1</v>
      </c>
      <c r="AA12" s="5">
        <v>1</v>
      </c>
      <c r="AB12" s="5">
        <v>1</v>
      </c>
      <c r="AC12" s="2">
        <v>2</v>
      </c>
      <c r="AD12" s="2"/>
      <c r="AE12" s="8" t="b">
        <f t="shared" ref="AE12:AJ16" si="4">IF(AE2&lt;100,"",AE2)</f>
        <v>0</v>
      </c>
      <c r="AF12" s="8" t="b">
        <f t="shared" si="4"/>
        <v>0</v>
      </c>
      <c r="AG12" s="8" t="b">
        <f t="shared" si="4"/>
        <v>0</v>
      </c>
      <c r="AH12" s="8" t="b">
        <f t="shared" si="4"/>
        <v>0</v>
      </c>
      <c r="AI12" s="8" t="b">
        <f t="shared" si="4"/>
        <v>0</v>
      </c>
      <c r="AJ12" s="8" t="b">
        <f t="shared" si="4"/>
        <v>0</v>
      </c>
      <c r="AK12" s="4" t="str">
        <f>AS2</f>
        <v>41 eleven</v>
      </c>
      <c r="AL12" s="73" t="s">
        <v>909</v>
      </c>
      <c r="AM12" s="5">
        <v>1</v>
      </c>
      <c r="AN12" s="5">
        <v>1</v>
      </c>
      <c r="AO12" s="5">
        <v>1</v>
      </c>
      <c r="AP12" s="5">
        <v>1</v>
      </c>
      <c r="AQ12" s="5">
        <v>1</v>
      </c>
      <c r="AR12" s="2">
        <v>2</v>
      </c>
      <c r="AS12" s="17" t="s">
        <v>698</v>
      </c>
      <c r="AT12" s="18">
        <v>1</v>
      </c>
      <c r="AU12" s="18">
        <v>1</v>
      </c>
      <c r="AV12" s="18">
        <v>1</v>
      </c>
      <c r="AW12" s="18">
        <v>1</v>
      </c>
      <c r="AX12" s="18">
        <v>1</v>
      </c>
      <c r="AY12" s="29"/>
      <c r="AZ12" s="17" t="s">
        <v>123</v>
      </c>
      <c r="BA12" s="5">
        <v>1</v>
      </c>
      <c r="BB12" s="5">
        <v>1</v>
      </c>
      <c r="BC12" s="5">
        <v>1</v>
      </c>
      <c r="BD12" s="5">
        <v>1</v>
      </c>
      <c r="BE12" s="5">
        <v>1</v>
      </c>
    </row>
    <row r="13" spans="1:57" ht="14.25" customHeight="1">
      <c r="A13" s="8" t="str">
        <f t="shared" si="3"/>
        <v>ਸੁਖਵਿੰਦਰ ਕੁਮਾਰ</v>
      </c>
      <c r="B13" s="8" t="str">
        <f t="shared" si="3"/>
        <v>ਸੁਦੇਸ਼ ਰਾਣੀ</v>
      </c>
      <c r="C13" s="8" t="str">
        <f t="shared" si="3"/>
        <v/>
      </c>
      <c r="D13" s="8" t="str">
        <f t="shared" si="3"/>
        <v/>
      </c>
      <c r="E13" s="8" t="str">
        <f t="shared" si="3"/>
        <v/>
      </c>
      <c r="F13" s="8" t="str">
        <f t="shared" si="3"/>
        <v/>
      </c>
      <c r="G13" s="107"/>
      <c r="H13" s="69" t="str">
        <f>P7</f>
        <v xml:space="preserve"> 12 twelve</v>
      </c>
      <c r="I13" s="5" t="s">
        <v>279</v>
      </c>
      <c r="J13" s="5" t="s">
        <v>48</v>
      </c>
      <c r="K13" s="5" t="s">
        <v>1020</v>
      </c>
      <c r="L13" s="5">
        <v>1</v>
      </c>
      <c r="M13" s="5">
        <v>1</v>
      </c>
      <c r="N13" s="5">
        <v>1</v>
      </c>
      <c r="O13" s="5">
        <v>1</v>
      </c>
      <c r="P13" s="5">
        <v>12</v>
      </c>
      <c r="Q13" s="5">
        <v>1</v>
      </c>
      <c r="R13" s="5">
        <v>1</v>
      </c>
      <c r="S13" s="5">
        <v>1</v>
      </c>
      <c r="T13" s="5">
        <v>1</v>
      </c>
      <c r="U13" s="5">
        <v>1</v>
      </c>
      <c r="V13" s="2">
        <v>2</v>
      </c>
      <c r="W13" s="5">
        <v>12</v>
      </c>
      <c r="X13" s="5">
        <v>1</v>
      </c>
      <c r="Y13" s="5">
        <v>1</v>
      </c>
      <c r="Z13" s="5">
        <v>1</v>
      </c>
      <c r="AA13" s="5">
        <v>1</v>
      </c>
      <c r="AB13" s="5">
        <v>1</v>
      </c>
      <c r="AC13" s="2">
        <v>2</v>
      </c>
      <c r="AD13" s="2"/>
      <c r="AE13" s="8" t="b">
        <f t="shared" si="4"/>
        <v>0</v>
      </c>
      <c r="AF13" s="8" t="b">
        <f t="shared" si="4"/>
        <v>0</v>
      </c>
      <c r="AG13" s="8" t="b">
        <f t="shared" si="4"/>
        <v>0</v>
      </c>
      <c r="AH13" s="8" t="b">
        <f t="shared" si="4"/>
        <v>0</v>
      </c>
      <c r="AI13" s="8" t="b">
        <f t="shared" si="4"/>
        <v>0</v>
      </c>
      <c r="AJ13" s="8" t="b">
        <f t="shared" si="4"/>
        <v>0</v>
      </c>
      <c r="AK13" s="4" t="str">
        <f>AS7</f>
        <v>42 twelve</v>
      </c>
      <c r="AL13" s="5">
        <v>12</v>
      </c>
      <c r="AM13" s="5">
        <v>1</v>
      </c>
      <c r="AN13" s="5">
        <v>1</v>
      </c>
      <c r="AO13" s="5">
        <v>1</v>
      </c>
      <c r="AP13" s="5">
        <v>1</v>
      </c>
      <c r="AQ13" s="5">
        <v>1</v>
      </c>
      <c r="AR13" s="2">
        <v>2</v>
      </c>
      <c r="AS13" s="18">
        <v>12</v>
      </c>
      <c r="AT13" s="18">
        <v>1</v>
      </c>
      <c r="AU13" s="18">
        <v>1</v>
      </c>
      <c r="AV13" s="18">
        <v>1</v>
      </c>
      <c r="AW13" s="18">
        <v>1</v>
      </c>
      <c r="AX13" s="18">
        <v>1</v>
      </c>
      <c r="AY13" s="29"/>
      <c r="AZ13" s="18">
        <v>12</v>
      </c>
      <c r="BA13" s="5">
        <v>1</v>
      </c>
      <c r="BB13" s="5">
        <v>1</v>
      </c>
      <c r="BC13" s="5">
        <v>1</v>
      </c>
      <c r="BD13" s="5">
        <v>1</v>
      </c>
      <c r="BE13" s="5">
        <v>1</v>
      </c>
    </row>
    <row r="14" spans="1:57" ht="14.25" customHeight="1">
      <c r="A14" s="8" t="str">
        <f t="shared" si="3"/>
        <v>ਪ੍ਰੇਮ ਸਾਗਰ</v>
      </c>
      <c r="B14" s="8" t="str">
        <f t="shared" si="3"/>
        <v>ਆਰਜੂ ਕੰਬੋਜ</v>
      </c>
      <c r="C14" s="8" t="str">
        <f t="shared" si="3"/>
        <v/>
      </c>
      <c r="D14" s="8" t="str">
        <f t="shared" si="3"/>
        <v/>
      </c>
      <c r="E14" s="8" t="str">
        <f t="shared" si="3"/>
        <v/>
      </c>
      <c r="F14" s="8" t="str">
        <f t="shared" si="3"/>
        <v/>
      </c>
      <c r="G14" s="107"/>
      <c r="H14" s="69" t="str">
        <f>P12</f>
        <v>13 thirteen</v>
      </c>
      <c r="I14" s="5" t="s">
        <v>184</v>
      </c>
      <c r="J14" s="5" t="s">
        <v>48</v>
      </c>
      <c r="K14" s="5">
        <v>1</v>
      </c>
      <c r="L14" s="5">
        <v>1</v>
      </c>
      <c r="M14" s="5">
        <v>1</v>
      </c>
      <c r="N14" s="5">
        <v>1</v>
      </c>
      <c r="O14" s="5">
        <v>1</v>
      </c>
      <c r="P14" s="5">
        <v>13</v>
      </c>
      <c r="Q14" s="5">
        <v>1</v>
      </c>
      <c r="R14" s="5">
        <v>1</v>
      </c>
      <c r="S14" s="5">
        <v>1</v>
      </c>
      <c r="T14" s="5">
        <v>1</v>
      </c>
      <c r="U14" s="5">
        <v>1</v>
      </c>
      <c r="V14" s="2">
        <v>2</v>
      </c>
      <c r="W14" s="5">
        <v>13</v>
      </c>
      <c r="X14" s="5">
        <v>1</v>
      </c>
      <c r="Y14" s="5">
        <v>1</v>
      </c>
      <c r="Z14" s="5">
        <v>1</v>
      </c>
      <c r="AA14" s="5">
        <v>1</v>
      </c>
      <c r="AB14" s="5">
        <v>1</v>
      </c>
      <c r="AC14" s="2">
        <v>2</v>
      </c>
      <c r="AD14" s="2"/>
      <c r="AE14" s="8" t="b">
        <f t="shared" si="4"/>
        <v>0</v>
      </c>
      <c r="AF14" s="8" t="b">
        <f t="shared" si="4"/>
        <v>0</v>
      </c>
      <c r="AG14" s="8" t="b">
        <f t="shared" si="4"/>
        <v>0</v>
      </c>
      <c r="AH14" s="8" t="b">
        <f t="shared" si="4"/>
        <v>0</v>
      </c>
      <c r="AI14" s="8" t="b">
        <f t="shared" si="4"/>
        <v>0</v>
      </c>
      <c r="AJ14" s="8" t="b">
        <f t="shared" si="4"/>
        <v>0</v>
      </c>
      <c r="AK14" s="4" t="str">
        <f>AS12</f>
        <v>43 thirteen</v>
      </c>
      <c r="AL14" s="5">
        <v>13</v>
      </c>
      <c r="AM14" s="5">
        <v>1</v>
      </c>
      <c r="AN14" s="5">
        <v>1</v>
      </c>
      <c r="AO14" s="5">
        <v>1</v>
      </c>
      <c r="AP14" s="5">
        <v>1</v>
      </c>
      <c r="AQ14" s="5">
        <v>1</v>
      </c>
      <c r="AR14" s="2">
        <v>2</v>
      </c>
      <c r="AS14" s="18">
        <v>13</v>
      </c>
      <c r="AT14" s="18">
        <v>1</v>
      </c>
      <c r="AU14" s="18">
        <v>1</v>
      </c>
      <c r="AV14" s="18">
        <v>1</v>
      </c>
      <c r="AW14" s="18">
        <v>1</v>
      </c>
      <c r="AX14" s="18">
        <v>1</v>
      </c>
      <c r="AY14" s="29"/>
      <c r="AZ14" s="18">
        <v>13</v>
      </c>
      <c r="BA14" s="5">
        <v>1</v>
      </c>
      <c r="BB14" s="5">
        <v>1</v>
      </c>
      <c r="BC14" s="5">
        <v>1</v>
      </c>
      <c r="BD14" s="5">
        <v>1</v>
      </c>
      <c r="BE14" s="5">
        <v>1</v>
      </c>
    </row>
    <row r="15" spans="1:57" ht="14.25" customHeight="1">
      <c r="A15" s="8" t="str">
        <f t="shared" si="3"/>
        <v/>
      </c>
      <c r="B15" s="8" t="str">
        <f t="shared" si="3"/>
        <v/>
      </c>
      <c r="C15" s="8" t="str">
        <f t="shared" si="3"/>
        <v/>
      </c>
      <c r="D15" s="8" t="str">
        <f t="shared" si="3"/>
        <v/>
      </c>
      <c r="E15" s="8" t="str">
        <f t="shared" si="3"/>
        <v/>
      </c>
      <c r="F15" s="8" t="str">
        <f t="shared" si="3"/>
        <v/>
      </c>
      <c r="G15" s="107"/>
      <c r="H15" s="69" t="str">
        <f>P17</f>
        <v>14 fourteen</v>
      </c>
      <c r="I15" s="5">
        <v>19</v>
      </c>
      <c r="J15" s="5">
        <v>1</v>
      </c>
      <c r="K15" s="5">
        <v>1</v>
      </c>
      <c r="L15" s="5">
        <v>1</v>
      </c>
      <c r="M15" s="5">
        <v>1</v>
      </c>
      <c r="N15" s="5">
        <v>1</v>
      </c>
      <c r="O15" s="5">
        <v>1</v>
      </c>
      <c r="P15" s="5">
        <v>14</v>
      </c>
      <c r="Q15" s="5">
        <v>1</v>
      </c>
      <c r="R15" s="5">
        <v>1</v>
      </c>
      <c r="S15" s="5">
        <v>1</v>
      </c>
      <c r="T15" s="5">
        <v>1</v>
      </c>
      <c r="U15" s="5">
        <v>1</v>
      </c>
      <c r="V15" s="2">
        <v>2</v>
      </c>
      <c r="W15" s="5">
        <v>14</v>
      </c>
      <c r="X15" s="5">
        <v>1</v>
      </c>
      <c r="Y15" s="5">
        <v>1</v>
      </c>
      <c r="Z15" s="5">
        <v>1</v>
      </c>
      <c r="AA15" s="5">
        <v>1</v>
      </c>
      <c r="AB15" s="5">
        <v>1</v>
      </c>
      <c r="AC15" s="2">
        <v>2</v>
      </c>
      <c r="AD15" s="2"/>
      <c r="AE15" s="8" t="b">
        <f t="shared" si="4"/>
        <v>0</v>
      </c>
      <c r="AF15" s="8" t="b">
        <f t="shared" si="4"/>
        <v>0</v>
      </c>
      <c r="AG15" s="8" t="b">
        <f t="shared" si="4"/>
        <v>0</v>
      </c>
      <c r="AH15" s="8" t="b">
        <f t="shared" si="4"/>
        <v>0</v>
      </c>
      <c r="AI15" s="8" t="b">
        <f t="shared" si="4"/>
        <v>0</v>
      </c>
      <c r="AJ15" s="8" t="b">
        <f t="shared" si="4"/>
        <v>0</v>
      </c>
      <c r="AK15" s="4" t="str">
        <f>AS17</f>
        <v>44 fourteen</v>
      </c>
      <c r="AL15" s="5">
        <v>14</v>
      </c>
      <c r="AM15" s="5">
        <v>1</v>
      </c>
      <c r="AN15" s="5">
        <v>1</v>
      </c>
      <c r="AO15" s="5">
        <v>1</v>
      </c>
      <c r="AP15" s="5">
        <v>1</v>
      </c>
      <c r="AQ15" s="5">
        <v>1</v>
      </c>
      <c r="AR15" s="2">
        <v>2</v>
      </c>
      <c r="AS15" s="18">
        <v>14</v>
      </c>
      <c r="AT15" s="18">
        <v>1</v>
      </c>
      <c r="AU15" s="18">
        <v>1</v>
      </c>
      <c r="AV15" s="18">
        <v>1</v>
      </c>
      <c r="AW15" s="18">
        <v>1</v>
      </c>
      <c r="AX15" s="18">
        <v>1</v>
      </c>
      <c r="AY15" s="29"/>
      <c r="AZ15" s="18">
        <v>14</v>
      </c>
      <c r="BA15" s="5">
        <v>1</v>
      </c>
      <c r="BB15" s="5">
        <v>1</v>
      </c>
      <c r="BC15" s="5">
        <v>1</v>
      </c>
      <c r="BD15" s="5">
        <v>1</v>
      </c>
      <c r="BE15" s="5">
        <v>1</v>
      </c>
    </row>
    <row r="16" spans="1:57" ht="14.25" customHeight="1">
      <c r="A16" s="8" t="str">
        <f t="shared" si="3"/>
        <v/>
      </c>
      <c r="B16" s="8" t="str">
        <f t="shared" si="3"/>
        <v/>
      </c>
      <c r="C16" s="8" t="str">
        <f t="shared" si="3"/>
        <v/>
      </c>
      <c r="D16" s="8" t="str">
        <f t="shared" si="3"/>
        <v/>
      </c>
      <c r="E16" s="8" t="str">
        <f t="shared" si="3"/>
        <v/>
      </c>
      <c r="F16" s="8" t="str">
        <f t="shared" si="3"/>
        <v/>
      </c>
      <c r="G16" s="107"/>
      <c r="H16" s="69" t="str">
        <f>P22</f>
        <v>15 fifteen</v>
      </c>
      <c r="I16" s="5">
        <v>20</v>
      </c>
      <c r="J16" s="5">
        <v>1</v>
      </c>
      <c r="K16" s="5">
        <v>1</v>
      </c>
      <c r="L16" s="5">
        <v>1</v>
      </c>
      <c r="M16" s="5">
        <v>1</v>
      </c>
      <c r="N16" s="5">
        <v>1</v>
      </c>
      <c r="O16" s="5">
        <v>1</v>
      </c>
      <c r="P16" s="5">
        <v>15</v>
      </c>
      <c r="Q16" s="5">
        <v>1</v>
      </c>
      <c r="R16" s="5">
        <v>1</v>
      </c>
      <c r="S16" s="5">
        <v>1</v>
      </c>
      <c r="T16" s="5">
        <v>1</v>
      </c>
      <c r="U16" s="5">
        <v>1</v>
      </c>
      <c r="V16" s="2">
        <v>2</v>
      </c>
      <c r="W16" s="5">
        <v>15</v>
      </c>
      <c r="X16" s="5">
        <v>1</v>
      </c>
      <c r="Y16" s="5">
        <v>1</v>
      </c>
      <c r="Z16" s="5">
        <v>1</v>
      </c>
      <c r="AA16" s="5">
        <v>1</v>
      </c>
      <c r="AB16" s="5">
        <v>1</v>
      </c>
      <c r="AC16" s="2">
        <v>2</v>
      </c>
      <c r="AD16" s="2"/>
      <c r="AE16" s="8" t="b">
        <f t="shared" si="4"/>
        <v>0</v>
      </c>
      <c r="AF16" s="8" t="b">
        <f t="shared" si="4"/>
        <v>0</v>
      </c>
      <c r="AG16" s="8" t="b">
        <f t="shared" si="4"/>
        <v>0</v>
      </c>
      <c r="AH16" s="8" t="b">
        <f t="shared" si="4"/>
        <v>0</v>
      </c>
      <c r="AI16" s="8" t="b">
        <f t="shared" si="4"/>
        <v>0</v>
      </c>
      <c r="AJ16" s="8" t="b">
        <f t="shared" si="4"/>
        <v>0</v>
      </c>
      <c r="AK16" s="4" t="str">
        <f>AS22</f>
        <v>45 fifteen</v>
      </c>
      <c r="AL16" s="5">
        <v>15</v>
      </c>
      <c r="AM16" s="5">
        <v>1</v>
      </c>
      <c r="AN16" s="5">
        <v>1</v>
      </c>
      <c r="AO16" s="5">
        <v>1</v>
      </c>
      <c r="AP16" s="5">
        <v>1</v>
      </c>
      <c r="AQ16" s="5">
        <v>1</v>
      </c>
      <c r="AR16" s="2">
        <v>2</v>
      </c>
      <c r="AS16" s="18">
        <v>15</v>
      </c>
      <c r="AT16" s="18">
        <v>1</v>
      </c>
      <c r="AU16" s="18">
        <v>1</v>
      </c>
      <c r="AV16" s="18">
        <v>1</v>
      </c>
      <c r="AW16" s="18">
        <v>1</v>
      </c>
      <c r="AX16" s="18">
        <v>1</v>
      </c>
      <c r="AY16" s="29"/>
      <c r="AZ16" s="18">
        <v>15</v>
      </c>
      <c r="BA16" s="5">
        <v>1</v>
      </c>
      <c r="BB16" s="5">
        <v>1</v>
      </c>
      <c r="BC16" s="5">
        <v>1</v>
      </c>
      <c r="BD16" s="5">
        <v>1</v>
      </c>
      <c r="BE16" s="5">
        <v>1</v>
      </c>
    </row>
    <row r="17" spans="1:57" ht="14.25" customHeight="1">
      <c r="A17" s="6"/>
      <c r="B17" s="6"/>
      <c r="C17" s="6"/>
      <c r="D17" s="6"/>
      <c r="E17" s="6"/>
      <c r="F17" s="6"/>
      <c r="G17" s="106"/>
      <c r="H17" s="69" t="str">
        <f>P27</f>
        <v>16 sixteen</v>
      </c>
      <c r="I17" s="73" t="s">
        <v>1438</v>
      </c>
      <c r="J17" s="5" t="s">
        <v>1021</v>
      </c>
      <c r="K17" s="5">
        <v>1</v>
      </c>
      <c r="L17" s="5">
        <v>1</v>
      </c>
      <c r="M17" s="5">
        <v>1</v>
      </c>
      <c r="N17" s="5">
        <v>1</v>
      </c>
      <c r="O17" s="247" t="s">
        <v>1437</v>
      </c>
      <c r="P17" s="73" t="s">
        <v>995</v>
      </c>
      <c r="Q17" s="5">
        <v>1</v>
      </c>
      <c r="R17" s="5">
        <v>1</v>
      </c>
      <c r="S17" s="5">
        <v>1</v>
      </c>
      <c r="T17" s="5">
        <v>1</v>
      </c>
      <c r="U17" s="5">
        <v>1</v>
      </c>
      <c r="V17" s="2">
        <v>2</v>
      </c>
      <c r="W17" s="73" t="s">
        <v>998</v>
      </c>
      <c r="X17" s="5">
        <v>1</v>
      </c>
      <c r="Y17" s="5">
        <v>1</v>
      </c>
      <c r="Z17" s="5">
        <v>1</v>
      </c>
      <c r="AA17" s="5">
        <v>1</v>
      </c>
      <c r="AB17" s="5">
        <v>1</v>
      </c>
      <c r="AC17" s="2">
        <v>2</v>
      </c>
      <c r="AD17" s="2"/>
      <c r="AE17" s="6"/>
      <c r="AF17" s="6"/>
      <c r="AG17" s="6"/>
      <c r="AH17" s="6"/>
      <c r="AI17" s="6"/>
      <c r="AJ17" s="6"/>
      <c r="AK17" s="4" t="str">
        <f>AS27</f>
        <v>46 sixteen</v>
      </c>
      <c r="AL17" s="73" t="s">
        <v>911</v>
      </c>
      <c r="AM17" s="5">
        <v>1</v>
      </c>
      <c r="AN17" s="5">
        <v>1</v>
      </c>
      <c r="AO17" s="5">
        <v>1</v>
      </c>
      <c r="AP17" s="5">
        <v>1</v>
      </c>
      <c r="AQ17" s="5">
        <v>1</v>
      </c>
      <c r="AR17" s="2">
        <v>2</v>
      </c>
      <c r="AS17" s="17" t="s">
        <v>707</v>
      </c>
      <c r="AT17" s="18">
        <v>1</v>
      </c>
      <c r="AU17" s="18">
        <v>1</v>
      </c>
      <c r="AV17" s="18">
        <v>1</v>
      </c>
      <c r="AW17" s="18">
        <v>1</v>
      </c>
      <c r="AX17" s="18">
        <v>1</v>
      </c>
      <c r="AY17" s="29"/>
      <c r="AZ17" s="17" t="s">
        <v>151</v>
      </c>
      <c r="BA17" s="5">
        <v>1</v>
      </c>
      <c r="BB17" s="5">
        <v>1</v>
      </c>
      <c r="BC17" s="5">
        <v>1</v>
      </c>
      <c r="BD17" s="5">
        <v>1</v>
      </c>
      <c r="BE17" s="5">
        <v>1</v>
      </c>
    </row>
    <row r="18" spans="1:57" ht="14.25" customHeight="1">
      <c r="A18" s="6"/>
      <c r="B18" s="6"/>
      <c r="C18" s="6"/>
      <c r="D18" s="6"/>
      <c r="E18" s="6"/>
      <c r="F18" s="6"/>
      <c r="G18" s="106"/>
      <c r="H18" s="69" t="str">
        <f>P32</f>
        <v>17 seventeen</v>
      </c>
      <c r="I18" s="5" t="s">
        <v>1022</v>
      </c>
      <c r="J18" s="5" t="s">
        <v>143</v>
      </c>
      <c r="K18" s="5">
        <v>1</v>
      </c>
      <c r="L18" s="5">
        <v>1</v>
      </c>
      <c r="M18" s="5">
        <v>1</v>
      </c>
      <c r="N18" s="5">
        <v>1</v>
      </c>
      <c r="O18" s="5">
        <v>1</v>
      </c>
      <c r="P18" s="5">
        <v>17</v>
      </c>
      <c r="Q18" s="5">
        <v>1</v>
      </c>
      <c r="R18" s="5">
        <v>1</v>
      </c>
      <c r="S18" s="5">
        <v>1</v>
      </c>
      <c r="T18" s="5">
        <v>1</v>
      </c>
      <c r="U18" s="5">
        <v>1</v>
      </c>
      <c r="V18" s="2">
        <v>2</v>
      </c>
      <c r="W18" s="5">
        <v>17</v>
      </c>
      <c r="X18" s="5">
        <v>1</v>
      </c>
      <c r="Y18" s="5">
        <v>1</v>
      </c>
      <c r="Z18" s="5">
        <v>1</v>
      </c>
      <c r="AA18" s="5">
        <v>1</v>
      </c>
      <c r="AB18" s="5">
        <v>1</v>
      </c>
      <c r="AC18" s="2">
        <v>2</v>
      </c>
      <c r="AD18" s="2"/>
      <c r="AE18" s="6"/>
      <c r="AF18" s="6"/>
      <c r="AG18" s="6"/>
      <c r="AH18" s="6"/>
      <c r="AI18" s="6"/>
      <c r="AJ18" s="6"/>
      <c r="AK18" s="4" t="str">
        <f>AS32</f>
        <v>47 seventeen</v>
      </c>
      <c r="AL18" s="5">
        <v>17</v>
      </c>
      <c r="AM18" s="5">
        <v>1</v>
      </c>
      <c r="AN18" s="5">
        <v>1</v>
      </c>
      <c r="AO18" s="5">
        <v>1</v>
      </c>
      <c r="AP18" s="5">
        <v>1</v>
      </c>
      <c r="AQ18" s="5">
        <v>1</v>
      </c>
      <c r="AR18" s="2">
        <v>2</v>
      </c>
      <c r="AS18" s="18">
        <v>17</v>
      </c>
      <c r="AT18" s="18">
        <v>1</v>
      </c>
      <c r="AU18" s="18">
        <v>1</v>
      </c>
      <c r="AV18" s="18">
        <v>1</v>
      </c>
      <c r="AW18" s="18">
        <v>1</v>
      </c>
      <c r="AX18" s="18">
        <v>1</v>
      </c>
      <c r="AY18" s="29"/>
      <c r="AZ18" s="18">
        <v>17</v>
      </c>
      <c r="BA18" s="5">
        <v>1</v>
      </c>
      <c r="BB18" s="5">
        <v>1</v>
      </c>
      <c r="BC18" s="5">
        <v>1</v>
      </c>
      <c r="BD18" s="5">
        <v>1</v>
      </c>
      <c r="BE18" s="5">
        <v>1</v>
      </c>
    </row>
    <row r="19" spans="1:57" ht="14.25" customHeight="1">
      <c r="A19" s="6"/>
      <c r="B19" s="6"/>
      <c r="C19" s="6"/>
      <c r="D19" s="6"/>
      <c r="E19" s="6"/>
      <c r="F19" s="6"/>
      <c r="G19" s="106"/>
      <c r="H19" s="69" t="str">
        <f>P37</f>
        <v>18 eighteen</v>
      </c>
      <c r="I19" s="5">
        <v>18</v>
      </c>
      <c r="J19" s="5">
        <v>1</v>
      </c>
      <c r="K19" s="5">
        <v>1</v>
      </c>
      <c r="L19" s="5">
        <v>1</v>
      </c>
      <c r="M19" s="5">
        <v>1</v>
      </c>
      <c r="N19" s="5">
        <v>1</v>
      </c>
      <c r="O19" s="5">
        <v>1</v>
      </c>
      <c r="P19" s="5">
        <v>18</v>
      </c>
      <c r="Q19" s="5">
        <v>1</v>
      </c>
      <c r="R19" s="5">
        <v>1</v>
      </c>
      <c r="S19" s="5">
        <v>1</v>
      </c>
      <c r="T19" s="5">
        <v>1</v>
      </c>
      <c r="U19" s="5">
        <v>1</v>
      </c>
      <c r="V19" s="2">
        <v>2</v>
      </c>
      <c r="W19" s="5">
        <v>18</v>
      </c>
      <c r="X19" s="5">
        <v>1</v>
      </c>
      <c r="Y19" s="5">
        <v>1</v>
      </c>
      <c r="Z19" s="5">
        <v>1</v>
      </c>
      <c r="AA19" s="5">
        <v>1</v>
      </c>
      <c r="AB19" s="5">
        <v>1</v>
      </c>
      <c r="AC19" s="2">
        <v>2</v>
      </c>
      <c r="AD19" s="2"/>
      <c r="AE19" s="2"/>
      <c r="AF19" s="2"/>
      <c r="AG19" s="2"/>
      <c r="AH19" s="2"/>
      <c r="AI19" s="2"/>
      <c r="AJ19" s="2"/>
      <c r="AK19" s="4" t="str">
        <f>AS37</f>
        <v>48 eighteen</v>
      </c>
      <c r="AL19" s="5">
        <v>18</v>
      </c>
      <c r="AM19" s="5">
        <v>1</v>
      </c>
      <c r="AN19" s="5">
        <v>1</v>
      </c>
      <c r="AO19" s="5">
        <v>1</v>
      </c>
      <c r="AP19" s="5">
        <v>1</v>
      </c>
      <c r="AQ19" s="5">
        <v>1</v>
      </c>
      <c r="AR19" s="2">
        <v>2</v>
      </c>
      <c r="AS19" s="18">
        <v>18</v>
      </c>
      <c r="AT19" s="18">
        <v>1</v>
      </c>
      <c r="AU19" s="18">
        <v>1</v>
      </c>
      <c r="AV19" s="18">
        <v>1</v>
      </c>
      <c r="AW19" s="18">
        <v>1</v>
      </c>
      <c r="AX19" s="18">
        <v>1</v>
      </c>
      <c r="AY19" s="29"/>
      <c r="AZ19" s="18">
        <v>18</v>
      </c>
      <c r="BA19" s="5">
        <v>1</v>
      </c>
      <c r="BB19" s="5">
        <v>1</v>
      </c>
      <c r="BC19" s="5">
        <v>1</v>
      </c>
      <c r="BD19" s="5">
        <v>1</v>
      </c>
      <c r="BE19" s="5">
        <v>1</v>
      </c>
    </row>
    <row r="20" spans="1:57" ht="14.25" customHeight="1">
      <c r="A20" s="2"/>
      <c r="B20" s="2"/>
      <c r="C20" s="2"/>
      <c r="D20" s="2"/>
      <c r="E20" s="2"/>
      <c r="F20" s="2"/>
      <c r="G20" s="2"/>
      <c r="H20" s="69" t="str">
        <f>P42</f>
        <v>19 niunteen</v>
      </c>
      <c r="I20" s="5">
        <v>19</v>
      </c>
      <c r="J20" s="5">
        <v>1</v>
      </c>
      <c r="K20" s="5">
        <v>1</v>
      </c>
      <c r="L20" s="5">
        <v>1</v>
      </c>
      <c r="M20" s="5">
        <v>1</v>
      </c>
      <c r="N20" s="5">
        <v>1</v>
      </c>
      <c r="O20" s="5">
        <v>1</v>
      </c>
      <c r="P20" s="5">
        <v>19</v>
      </c>
      <c r="Q20" s="5">
        <v>1</v>
      </c>
      <c r="R20" s="5">
        <v>1</v>
      </c>
      <c r="S20" s="5">
        <v>1</v>
      </c>
      <c r="T20" s="5">
        <v>1</v>
      </c>
      <c r="U20" s="5">
        <v>1</v>
      </c>
      <c r="V20" s="2">
        <v>2</v>
      </c>
      <c r="W20" s="5">
        <v>19</v>
      </c>
      <c r="X20" s="5">
        <v>1</v>
      </c>
      <c r="Y20" s="5">
        <v>1</v>
      </c>
      <c r="Z20" s="5">
        <v>1</v>
      </c>
      <c r="AA20" s="5">
        <v>1</v>
      </c>
      <c r="AB20" s="5">
        <v>1</v>
      </c>
      <c r="AC20" s="2">
        <v>2</v>
      </c>
      <c r="AD20" s="2"/>
      <c r="AE20" s="2"/>
      <c r="AF20" s="2"/>
      <c r="AG20" s="2"/>
      <c r="AH20" s="2"/>
      <c r="AI20" s="2"/>
      <c r="AJ20" s="2"/>
      <c r="AK20" s="4" t="str">
        <f>AS42</f>
        <v>49 niunteen</v>
      </c>
      <c r="AL20" s="5">
        <v>19</v>
      </c>
      <c r="AM20" s="5">
        <v>1</v>
      </c>
      <c r="AN20" s="5">
        <v>1</v>
      </c>
      <c r="AO20" s="5">
        <v>1</v>
      </c>
      <c r="AP20" s="5">
        <v>1</v>
      </c>
      <c r="AQ20" s="5">
        <v>1</v>
      </c>
      <c r="AR20" s="2">
        <v>2</v>
      </c>
      <c r="AS20" s="18">
        <v>19</v>
      </c>
      <c r="AT20" s="18">
        <v>1</v>
      </c>
      <c r="AU20" s="18">
        <v>1</v>
      </c>
      <c r="AV20" s="18">
        <v>1</v>
      </c>
      <c r="AW20" s="18">
        <v>1</v>
      </c>
      <c r="AX20" s="18">
        <v>1</v>
      </c>
      <c r="AY20" s="29"/>
      <c r="AZ20" s="18">
        <v>19</v>
      </c>
      <c r="BA20" s="5">
        <v>1</v>
      </c>
      <c r="BB20" s="5">
        <v>1</v>
      </c>
      <c r="BC20" s="5">
        <v>1</v>
      </c>
      <c r="BD20" s="5">
        <v>1</v>
      </c>
      <c r="BE20" s="5">
        <v>1</v>
      </c>
    </row>
    <row r="21" spans="1:57" ht="14.25" customHeight="1">
      <c r="A21" s="2"/>
      <c r="B21" s="2"/>
      <c r="C21" s="2"/>
      <c r="D21" s="2"/>
      <c r="E21" s="2"/>
      <c r="F21" s="2"/>
      <c r="G21" s="2"/>
      <c r="H21" s="69" t="str">
        <f>P47</f>
        <v>20 twenty</v>
      </c>
      <c r="I21" s="5">
        <v>20</v>
      </c>
      <c r="J21" s="5">
        <v>1</v>
      </c>
      <c r="K21" s="5">
        <v>1</v>
      </c>
      <c r="L21" s="5">
        <v>1</v>
      </c>
      <c r="M21" s="5">
        <v>1</v>
      </c>
      <c r="N21" s="5">
        <v>1</v>
      </c>
      <c r="O21" s="5">
        <v>1</v>
      </c>
      <c r="P21" s="5">
        <v>20</v>
      </c>
      <c r="Q21" s="5">
        <v>1</v>
      </c>
      <c r="R21" s="5">
        <v>1</v>
      </c>
      <c r="S21" s="5">
        <v>1</v>
      </c>
      <c r="T21" s="5">
        <v>1</v>
      </c>
      <c r="U21" s="5">
        <v>1</v>
      </c>
      <c r="V21" s="2">
        <v>2</v>
      </c>
      <c r="W21" s="5">
        <v>20</v>
      </c>
      <c r="X21" s="5">
        <v>1</v>
      </c>
      <c r="Y21" s="5">
        <v>1</v>
      </c>
      <c r="Z21" s="5">
        <v>1</v>
      </c>
      <c r="AA21" s="5">
        <v>1</v>
      </c>
      <c r="AB21" s="5">
        <v>1</v>
      </c>
      <c r="AC21" s="2">
        <v>2</v>
      </c>
      <c r="AD21" s="2"/>
      <c r="AE21" s="2"/>
      <c r="AF21" s="2"/>
      <c r="AG21" s="2"/>
      <c r="AH21" s="2"/>
      <c r="AI21" s="2"/>
      <c r="AJ21" s="2"/>
      <c r="AK21" s="4" t="str">
        <f>AS47</f>
        <v>50 twenty</v>
      </c>
      <c r="AL21" s="5">
        <v>20</v>
      </c>
      <c r="AM21" s="5">
        <v>1</v>
      </c>
      <c r="AN21" s="5">
        <v>1</v>
      </c>
      <c r="AO21" s="5">
        <v>1</v>
      </c>
      <c r="AP21" s="5">
        <v>1</v>
      </c>
      <c r="AQ21" s="5">
        <v>1</v>
      </c>
      <c r="AR21" s="2">
        <v>2</v>
      </c>
      <c r="AS21" s="18">
        <v>20</v>
      </c>
      <c r="AT21" s="18">
        <v>1</v>
      </c>
      <c r="AU21" s="18">
        <v>1</v>
      </c>
      <c r="AV21" s="18">
        <v>1</v>
      </c>
      <c r="AW21" s="18">
        <v>1</v>
      </c>
      <c r="AX21" s="18">
        <v>1</v>
      </c>
      <c r="AY21" s="29"/>
      <c r="AZ21" s="18">
        <v>20</v>
      </c>
      <c r="BA21" s="5">
        <v>1</v>
      </c>
      <c r="BB21" s="5">
        <v>1</v>
      </c>
      <c r="BC21" s="5">
        <v>1</v>
      </c>
      <c r="BD21" s="5">
        <v>1</v>
      </c>
      <c r="BE21" s="5">
        <v>1</v>
      </c>
    </row>
    <row r="22" spans="1:57" ht="14.25" customHeight="1">
      <c r="A22" s="2"/>
      <c r="B22" s="2"/>
      <c r="C22" s="2"/>
      <c r="D22" s="2"/>
      <c r="E22" s="2"/>
      <c r="F22" s="2"/>
      <c r="G22" s="2"/>
      <c r="H22" s="69" t="str">
        <f>W2</f>
        <v>21 sona</v>
      </c>
      <c r="I22" s="73" t="s">
        <v>1016</v>
      </c>
      <c r="J22" s="5" t="s">
        <v>111</v>
      </c>
      <c r="K22" s="5">
        <v>1</v>
      </c>
      <c r="L22" s="5">
        <v>1</v>
      </c>
      <c r="M22" s="5">
        <v>1</v>
      </c>
      <c r="N22" s="5">
        <v>1</v>
      </c>
      <c r="O22" s="121" t="s">
        <v>1435</v>
      </c>
      <c r="P22" s="73" t="s">
        <v>996</v>
      </c>
      <c r="Q22" s="5">
        <v>1</v>
      </c>
      <c r="R22" s="5">
        <v>1</v>
      </c>
      <c r="S22" s="5">
        <v>1</v>
      </c>
      <c r="T22" s="5">
        <v>1</v>
      </c>
      <c r="U22" s="5">
        <v>1</v>
      </c>
      <c r="V22" s="2">
        <v>2</v>
      </c>
      <c r="W22" s="73" t="s">
        <v>1003</v>
      </c>
      <c r="X22" s="5">
        <v>1</v>
      </c>
      <c r="Y22" s="5">
        <v>1</v>
      </c>
      <c r="Z22" s="5">
        <v>1</v>
      </c>
      <c r="AA22" s="5">
        <v>1</v>
      </c>
      <c r="AB22" s="5">
        <v>1</v>
      </c>
      <c r="AC22" s="2">
        <v>2</v>
      </c>
      <c r="AD22" s="2"/>
      <c r="AE22" s="2"/>
      <c r="AF22" s="2"/>
      <c r="AG22" s="2"/>
      <c r="AH22" s="2"/>
      <c r="AI22" s="2"/>
      <c r="AJ22" s="2"/>
      <c r="AK22" s="4" t="str">
        <f>AZ2</f>
        <v>51 sona</v>
      </c>
      <c r="AL22" s="73" t="s">
        <v>848</v>
      </c>
      <c r="AM22" s="5">
        <v>1</v>
      </c>
      <c r="AN22" s="5">
        <v>1</v>
      </c>
      <c r="AO22" s="5">
        <v>1</v>
      </c>
      <c r="AP22" s="5">
        <v>1</v>
      </c>
      <c r="AQ22" s="5">
        <v>1</v>
      </c>
      <c r="AR22" s="2">
        <v>2</v>
      </c>
      <c r="AS22" s="17" t="s">
        <v>722</v>
      </c>
      <c r="AT22" s="18">
        <v>1</v>
      </c>
      <c r="AU22" s="18">
        <v>1</v>
      </c>
      <c r="AV22" s="18">
        <v>1</v>
      </c>
      <c r="AW22" s="18">
        <v>1</v>
      </c>
      <c r="AX22" s="18">
        <v>1</v>
      </c>
      <c r="AY22" s="29"/>
      <c r="AZ22" s="17" t="s">
        <v>171</v>
      </c>
      <c r="BA22" s="5">
        <v>1</v>
      </c>
      <c r="BB22" s="5">
        <v>1</v>
      </c>
      <c r="BC22" s="5">
        <v>1</v>
      </c>
      <c r="BD22" s="5">
        <v>1</v>
      </c>
      <c r="BE22" s="5">
        <v>1</v>
      </c>
    </row>
    <row r="23" spans="1:57" ht="14.25" customHeight="1">
      <c r="A23" s="2"/>
      <c r="B23" s="2"/>
      <c r="C23" s="2"/>
      <c r="D23" s="2"/>
      <c r="E23" s="2"/>
      <c r="F23" s="2"/>
      <c r="G23" s="2"/>
      <c r="H23" s="69" t="str">
        <f>W7</f>
        <v>22 twenty 2</v>
      </c>
      <c r="I23" s="5" t="s">
        <v>1023</v>
      </c>
      <c r="J23" s="5" t="s">
        <v>1024</v>
      </c>
      <c r="K23" s="5">
        <v>1</v>
      </c>
      <c r="L23" s="5">
        <v>1</v>
      </c>
      <c r="M23" s="5">
        <v>1</v>
      </c>
      <c r="N23" s="5">
        <v>1</v>
      </c>
      <c r="O23" s="5">
        <v>1</v>
      </c>
      <c r="P23" s="5">
        <v>22</v>
      </c>
      <c r="Q23" s="5">
        <v>1</v>
      </c>
      <c r="R23" s="5">
        <v>1</v>
      </c>
      <c r="S23" s="5">
        <v>1</v>
      </c>
      <c r="T23" s="5">
        <v>1</v>
      </c>
      <c r="U23" s="5">
        <v>1</v>
      </c>
      <c r="V23" s="2">
        <v>2</v>
      </c>
      <c r="W23" s="5">
        <v>22</v>
      </c>
      <c r="X23" s="5">
        <v>1</v>
      </c>
      <c r="Y23" s="5">
        <v>1</v>
      </c>
      <c r="Z23" s="5">
        <v>1</v>
      </c>
      <c r="AA23" s="5">
        <v>1</v>
      </c>
      <c r="AB23" s="5">
        <v>1</v>
      </c>
      <c r="AC23" s="2">
        <v>2</v>
      </c>
      <c r="AD23" s="2"/>
      <c r="AE23" s="2"/>
      <c r="AF23" s="2"/>
      <c r="AG23" s="2"/>
      <c r="AH23" s="2"/>
      <c r="AI23" s="2"/>
      <c r="AJ23" s="2"/>
      <c r="AK23" s="4" t="str">
        <f>AZ7</f>
        <v>52 twenty 2</v>
      </c>
      <c r="AL23" s="5" t="s">
        <v>853</v>
      </c>
      <c r="AM23" s="5">
        <v>1</v>
      </c>
      <c r="AN23" s="5">
        <v>1</v>
      </c>
      <c r="AO23" s="5">
        <v>1</v>
      </c>
      <c r="AP23" s="5">
        <v>1</v>
      </c>
      <c r="AQ23" s="5">
        <v>1</v>
      </c>
      <c r="AR23" s="2">
        <v>2</v>
      </c>
      <c r="AS23" s="18">
        <v>22</v>
      </c>
      <c r="AT23" s="18">
        <v>1</v>
      </c>
      <c r="AU23" s="18">
        <v>1</v>
      </c>
      <c r="AV23" s="18">
        <v>1</v>
      </c>
      <c r="AW23" s="18">
        <v>1</v>
      </c>
      <c r="AX23" s="18">
        <v>1</v>
      </c>
      <c r="AY23" s="29"/>
      <c r="AZ23" s="18">
        <v>22</v>
      </c>
      <c r="BA23" s="5">
        <v>1</v>
      </c>
      <c r="BB23" s="5">
        <v>1</v>
      </c>
      <c r="BC23" s="5">
        <v>1</v>
      </c>
      <c r="BD23" s="5">
        <v>1</v>
      </c>
      <c r="BE23" s="5">
        <v>1</v>
      </c>
    </row>
    <row r="24" spans="1:57" ht="14.25" customHeight="1">
      <c r="A24" s="2"/>
      <c r="B24" s="2"/>
      <c r="C24" s="2"/>
      <c r="D24" s="2"/>
      <c r="E24" s="2"/>
      <c r="F24" s="2"/>
      <c r="G24" s="2"/>
      <c r="H24" s="69" t="str">
        <f>W12</f>
        <v>23 twenty 3</v>
      </c>
      <c r="I24" s="5">
        <v>23</v>
      </c>
      <c r="J24" s="5">
        <v>1</v>
      </c>
      <c r="K24" s="5">
        <v>1</v>
      </c>
      <c r="L24" s="5">
        <v>1</v>
      </c>
      <c r="M24" s="5">
        <v>1</v>
      </c>
      <c r="N24" s="5">
        <v>1</v>
      </c>
      <c r="O24" s="5">
        <v>1</v>
      </c>
      <c r="P24" s="5">
        <v>23</v>
      </c>
      <c r="Q24" s="5">
        <v>1</v>
      </c>
      <c r="R24" s="5">
        <v>1</v>
      </c>
      <c r="S24" s="5">
        <v>1</v>
      </c>
      <c r="T24" s="5">
        <v>1</v>
      </c>
      <c r="U24" s="5">
        <v>1</v>
      </c>
      <c r="V24" s="2">
        <v>2</v>
      </c>
      <c r="W24" s="5">
        <v>23</v>
      </c>
      <c r="X24" s="5">
        <v>1</v>
      </c>
      <c r="Y24" s="5">
        <v>1</v>
      </c>
      <c r="Z24" s="5">
        <v>1</v>
      </c>
      <c r="AA24" s="5">
        <v>1</v>
      </c>
      <c r="AB24" s="5">
        <v>1</v>
      </c>
      <c r="AC24" s="2">
        <v>2</v>
      </c>
      <c r="AD24" s="2"/>
      <c r="AE24" s="2"/>
      <c r="AF24" s="2"/>
      <c r="AG24" s="2"/>
      <c r="AH24" s="2"/>
      <c r="AI24" s="2"/>
      <c r="AJ24" s="2"/>
      <c r="AK24" s="4" t="str">
        <f>AZ12</f>
        <v>53 twenty 3</v>
      </c>
      <c r="AL24" s="5">
        <v>23</v>
      </c>
      <c r="AM24" s="5">
        <v>1</v>
      </c>
      <c r="AN24" s="5">
        <v>1</v>
      </c>
      <c r="AO24" s="5">
        <v>1</v>
      </c>
      <c r="AP24" s="5">
        <v>1</v>
      </c>
      <c r="AQ24" s="5">
        <v>1</v>
      </c>
      <c r="AR24" s="2">
        <v>2</v>
      </c>
      <c r="AS24" s="18">
        <v>23</v>
      </c>
      <c r="AT24" s="18">
        <v>1</v>
      </c>
      <c r="AU24" s="18">
        <v>1</v>
      </c>
      <c r="AV24" s="18">
        <v>1</v>
      </c>
      <c r="AW24" s="18">
        <v>1</v>
      </c>
      <c r="AX24" s="18">
        <v>1</v>
      </c>
      <c r="AY24" s="29"/>
      <c r="AZ24" s="18">
        <v>23</v>
      </c>
      <c r="BA24" s="5">
        <v>1</v>
      </c>
      <c r="BB24" s="5">
        <v>1</v>
      </c>
      <c r="BC24" s="5">
        <v>1</v>
      </c>
      <c r="BD24" s="5">
        <v>1</v>
      </c>
      <c r="BE24" s="5">
        <v>1</v>
      </c>
    </row>
    <row r="25" spans="1:57" ht="14.25" customHeight="1">
      <c r="A25" s="2"/>
      <c r="B25" s="2"/>
      <c r="C25" s="2"/>
      <c r="D25" s="2"/>
      <c r="E25" s="2"/>
      <c r="F25" s="2"/>
      <c r="G25" s="2"/>
      <c r="H25" s="69" t="str">
        <f>W17</f>
        <v>24 twenty 4</v>
      </c>
      <c r="I25" s="5" t="s">
        <v>184</v>
      </c>
      <c r="J25" s="5">
        <v>1</v>
      </c>
      <c r="K25" s="5">
        <v>1</v>
      </c>
      <c r="L25" s="5">
        <v>1</v>
      </c>
      <c r="M25" s="5">
        <v>1</v>
      </c>
      <c r="N25" s="5">
        <v>1</v>
      </c>
      <c r="O25" s="5">
        <v>1</v>
      </c>
      <c r="P25" s="5">
        <v>24</v>
      </c>
      <c r="Q25" s="5">
        <v>1</v>
      </c>
      <c r="R25" s="5">
        <v>1</v>
      </c>
      <c r="S25" s="5">
        <v>1</v>
      </c>
      <c r="T25" s="5">
        <v>1</v>
      </c>
      <c r="U25" s="5">
        <v>1</v>
      </c>
      <c r="V25" s="2">
        <v>2</v>
      </c>
      <c r="W25" s="5">
        <v>24</v>
      </c>
      <c r="X25" s="5">
        <v>1</v>
      </c>
      <c r="Y25" s="5">
        <v>1</v>
      </c>
      <c r="Z25" s="5">
        <v>1</v>
      </c>
      <c r="AA25" s="5">
        <v>1</v>
      </c>
      <c r="AB25" s="5">
        <v>1</v>
      </c>
      <c r="AC25" s="2">
        <v>2</v>
      </c>
      <c r="AD25" s="2"/>
      <c r="AE25" s="2"/>
      <c r="AF25" s="2"/>
      <c r="AG25" s="2"/>
      <c r="AH25" s="2"/>
      <c r="AI25" s="2"/>
      <c r="AJ25" s="2"/>
      <c r="AK25" s="4" t="str">
        <f>AZ17</f>
        <v>54 twenty 4</v>
      </c>
      <c r="AL25" s="5">
        <v>24</v>
      </c>
      <c r="AM25" s="5">
        <v>1</v>
      </c>
      <c r="AN25" s="5">
        <v>1</v>
      </c>
      <c r="AO25" s="5">
        <v>1</v>
      </c>
      <c r="AP25" s="5">
        <v>1</v>
      </c>
      <c r="AQ25" s="5">
        <v>1</v>
      </c>
      <c r="AR25" s="2">
        <v>2</v>
      </c>
      <c r="AS25" s="18">
        <v>24</v>
      </c>
      <c r="AT25" s="18">
        <v>1</v>
      </c>
      <c r="AU25" s="18">
        <v>1</v>
      </c>
      <c r="AV25" s="18">
        <v>1</v>
      </c>
      <c r="AW25" s="18">
        <v>1</v>
      </c>
      <c r="AX25" s="18">
        <v>1</v>
      </c>
      <c r="AY25" s="29"/>
      <c r="AZ25" s="18">
        <v>24</v>
      </c>
      <c r="BA25" s="5">
        <v>1</v>
      </c>
      <c r="BB25" s="5">
        <v>1</v>
      </c>
      <c r="BC25" s="5">
        <v>1</v>
      </c>
      <c r="BD25" s="5">
        <v>1</v>
      </c>
      <c r="BE25" s="5">
        <v>1</v>
      </c>
    </row>
    <row r="26" spans="1:57" ht="14.25" customHeight="1">
      <c r="A26" s="2"/>
      <c r="B26" s="2"/>
      <c r="C26" s="2"/>
      <c r="D26" s="2"/>
      <c r="E26" s="2"/>
      <c r="F26" s="2"/>
      <c r="G26" s="2"/>
      <c r="H26" s="69" t="str">
        <f>W22</f>
        <v>25 twenty 5</v>
      </c>
      <c r="I26" s="5">
        <v>25</v>
      </c>
      <c r="J26" s="5">
        <v>1</v>
      </c>
      <c r="K26" s="5">
        <v>1</v>
      </c>
      <c r="L26" s="5">
        <v>1</v>
      </c>
      <c r="M26" s="5">
        <v>1</v>
      </c>
      <c r="N26" s="5">
        <v>1</v>
      </c>
      <c r="O26" s="5">
        <v>1</v>
      </c>
      <c r="P26" s="5">
        <v>25</v>
      </c>
      <c r="Q26" s="5">
        <v>1</v>
      </c>
      <c r="R26" s="5">
        <v>1</v>
      </c>
      <c r="S26" s="5">
        <v>1</v>
      </c>
      <c r="T26" s="5">
        <v>1</v>
      </c>
      <c r="U26" s="5">
        <v>1</v>
      </c>
      <c r="V26" s="2">
        <v>2</v>
      </c>
      <c r="W26" s="5">
        <v>25</v>
      </c>
      <c r="X26" s="5">
        <v>1</v>
      </c>
      <c r="Y26" s="5">
        <v>1</v>
      </c>
      <c r="Z26" s="5">
        <v>1</v>
      </c>
      <c r="AA26" s="5">
        <v>1</v>
      </c>
      <c r="AB26" s="5">
        <v>1</v>
      </c>
      <c r="AC26" s="2">
        <v>2</v>
      </c>
      <c r="AD26" s="2"/>
      <c r="AE26" s="2"/>
      <c r="AF26" s="2"/>
      <c r="AG26" s="2"/>
      <c r="AH26" s="2"/>
      <c r="AI26" s="2"/>
      <c r="AJ26" s="2"/>
      <c r="AK26" s="4" t="str">
        <f>AZ22</f>
        <v>55 twenty 5</v>
      </c>
      <c r="AL26" s="5">
        <v>25</v>
      </c>
      <c r="AM26" s="5">
        <v>1</v>
      </c>
      <c r="AN26" s="5">
        <v>1</v>
      </c>
      <c r="AO26" s="5">
        <v>1</v>
      </c>
      <c r="AP26" s="5">
        <v>1</v>
      </c>
      <c r="AQ26" s="5">
        <v>1</v>
      </c>
      <c r="AR26" s="2">
        <v>2</v>
      </c>
      <c r="AS26" s="18">
        <v>25</v>
      </c>
      <c r="AT26" s="18">
        <v>1</v>
      </c>
      <c r="AU26" s="18">
        <v>1</v>
      </c>
      <c r="AV26" s="18">
        <v>1</v>
      </c>
      <c r="AW26" s="18">
        <v>1</v>
      </c>
      <c r="AX26" s="18">
        <v>1</v>
      </c>
      <c r="AY26" s="29"/>
      <c r="AZ26" s="18">
        <v>25</v>
      </c>
      <c r="BA26" s="5">
        <v>1</v>
      </c>
      <c r="BB26" s="5">
        <v>1</v>
      </c>
      <c r="BC26" s="5">
        <v>1</v>
      </c>
      <c r="BD26" s="5">
        <v>1</v>
      </c>
      <c r="BE26" s="5">
        <v>1</v>
      </c>
    </row>
    <row r="27" spans="1:57" ht="14.25" customHeight="1">
      <c r="A27" s="2"/>
      <c r="B27" s="2"/>
      <c r="C27" s="2"/>
      <c r="D27" s="2"/>
      <c r="E27" s="2"/>
      <c r="F27" s="2"/>
      <c r="G27" s="2"/>
      <c r="H27" s="69" t="str">
        <f>W27</f>
        <v>26 twenty 6</v>
      </c>
      <c r="I27" s="73" t="s">
        <v>1017</v>
      </c>
      <c r="J27" s="5">
        <v>1</v>
      </c>
      <c r="K27" s="5">
        <v>1</v>
      </c>
      <c r="L27" s="5">
        <v>1</v>
      </c>
      <c r="M27" s="5">
        <v>1</v>
      </c>
      <c r="N27" s="5">
        <v>1</v>
      </c>
      <c r="O27" s="80" t="s">
        <v>1280</v>
      </c>
      <c r="P27" s="73" t="s">
        <v>997</v>
      </c>
      <c r="Q27" s="5">
        <v>1</v>
      </c>
      <c r="R27" s="5">
        <v>1</v>
      </c>
      <c r="S27" s="5">
        <v>1</v>
      </c>
      <c r="T27" s="5">
        <v>1</v>
      </c>
      <c r="U27" s="5">
        <v>1</v>
      </c>
      <c r="V27" s="2">
        <v>2</v>
      </c>
      <c r="W27" s="73" t="s">
        <v>956</v>
      </c>
      <c r="X27" s="5">
        <v>1</v>
      </c>
      <c r="Y27" s="5">
        <v>1</v>
      </c>
      <c r="Z27" s="5">
        <v>1</v>
      </c>
      <c r="AA27" s="5">
        <v>1</v>
      </c>
      <c r="AB27" s="5">
        <v>1</v>
      </c>
      <c r="AC27" s="2">
        <v>2</v>
      </c>
      <c r="AD27" s="2"/>
      <c r="AE27" s="2"/>
      <c r="AF27" s="2"/>
      <c r="AG27" s="2"/>
      <c r="AH27" s="2"/>
      <c r="AI27" s="2"/>
      <c r="AJ27" s="2"/>
      <c r="AK27" s="4" t="str">
        <f>AZ27</f>
        <v>56 twenty 6</v>
      </c>
      <c r="AL27" s="73" t="s">
        <v>860</v>
      </c>
      <c r="AM27" s="5">
        <v>1</v>
      </c>
      <c r="AN27" s="5">
        <v>1</v>
      </c>
      <c r="AO27" s="5">
        <v>1</v>
      </c>
      <c r="AP27" s="5">
        <v>1</v>
      </c>
      <c r="AQ27" s="5">
        <v>1</v>
      </c>
      <c r="AR27" s="2">
        <v>2</v>
      </c>
      <c r="AS27" s="17" t="s">
        <v>731</v>
      </c>
      <c r="AT27" s="18">
        <v>1</v>
      </c>
      <c r="AU27" s="18">
        <v>1</v>
      </c>
      <c r="AV27" s="18">
        <v>1</v>
      </c>
      <c r="AW27" s="18">
        <v>1</v>
      </c>
      <c r="AX27" s="18">
        <v>1</v>
      </c>
      <c r="AY27" s="29"/>
      <c r="AZ27" s="17" t="s">
        <v>202</v>
      </c>
      <c r="BA27" s="5">
        <v>1</v>
      </c>
      <c r="BB27" s="5">
        <v>1</v>
      </c>
      <c r="BC27" s="5">
        <v>1</v>
      </c>
      <c r="BD27" s="5">
        <v>1</v>
      </c>
      <c r="BE27" s="5">
        <v>1</v>
      </c>
    </row>
    <row r="28" spans="1:57" ht="14.25" customHeight="1">
      <c r="A28" s="2"/>
      <c r="B28" s="2"/>
      <c r="C28" s="2"/>
      <c r="D28" s="2"/>
      <c r="E28" s="2"/>
      <c r="F28" s="2"/>
      <c r="G28" s="2"/>
      <c r="H28" s="69" t="str">
        <f>W32</f>
        <v>27 twenty 7</v>
      </c>
      <c r="I28" s="5" t="s">
        <v>1025</v>
      </c>
      <c r="J28" s="5" t="s">
        <v>1026</v>
      </c>
      <c r="K28" s="5" t="s">
        <v>793</v>
      </c>
      <c r="L28" s="5" t="s">
        <v>1027</v>
      </c>
      <c r="M28" s="5">
        <v>1</v>
      </c>
      <c r="N28" s="5">
        <v>1</v>
      </c>
      <c r="O28" s="5">
        <v>1</v>
      </c>
      <c r="P28" s="5">
        <v>27</v>
      </c>
      <c r="Q28" s="5">
        <v>1</v>
      </c>
      <c r="R28" s="5">
        <v>1</v>
      </c>
      <c r="S28" s="5">
        <v>1</v>
      </c>
      <c r="T28" s="5">
        <v>1</v>
      </c>
      <c r="U28" s="5">
        <v>1</v>
      </c>
      <c r="V28" s="2">
        <v>2</v>
      </c>
      <c r="W28" s="5">
        <v>27</v>
      </c>
      <c r="X28" s="5">
        <v>1</v>
      </c>
      <c r="Y28" s="5">
        <v>1</v>
      </c>
      <c r="Z28" s="5">
        <v>1</v>
      </c>
      <c r="AA28" s="5">
        <v>1</v>
      </c>
      <c r="AB28" s="5">
        <v>1</v>
      </c>
      <c r="AC28" s="2">
        <v>2</v>
      </c>
      <c r="AD28" s="2"/>
      <c r="AE28" s="2"/>
      <c r="AF28" s="2"/>
      <c r="AG28" s="2"/>
      <c r="AH28" s="2"/>
      <c r="AI28" s="2"/>
      <c r="AJ28" s="2"/>
      <c r="AK28" s="4" t="str">
        <f>AZ32</f>
        <v>57 twenty 7</v>
      </c>
      <c r="AL28" s="5">
        <v>27</v>
      </c>
      <c r="AM28" s="5">
        <v>1</v>
      </c>
      <c r="AN28" s="5">
        <v>1</v>
      </c>
      <c r="AO28" s="5">
        <v>1</v>
      </c>
      <c r="AP28" s="5">
        <v>1</v>
      </c>
      <c r="AQ28" s="5">
        <v>1</v>
      </c>
      <c r="AR28" s="2">
        <v>2</v>
      </c>
      <c r="AS28" s="18">
        <v>27</v>
      </c>
      <c r="AT28" s="18">
        <v>1</v>
      </c>
      <c r="AU28" s="18">
        <v>1</v>
      </c>
      <c r="AV28" s="18">
        <v>1</v>
      </c>
      <c r="AW28" s="18">
        <v>1</v>
      </c>
      <c r="AX28" s="18">
        <v>1</v>
      </c>
      <c r="AY28" s="29"/>
      <c r="AZ28" s="18">
        <v>27</v>
      </c>
      <c r="BA28" s="5">
        <v>1</v>
      </c>
      <c r="BB28" s="5">
        <v>1</v>
      </c>
      <c r="BC28" s="5">
        <v>1</v>
      </c>
      <c r="BD28" s="5">
        <v>1</v>
      </c>
      <c r="BE28" s="5">
        <v>1</v>
      </c>
    </row>
    <row r="29" spans="1:57" ht="14.25" customHeight="1">
      <c r="A29" s="2"/>
      <c r="B29" s="2"/>
      <c r="C29" s="2"/>
      <c r="D29" s="2"/>
      <c r="E29" s="2"/>
      <c r="F29" s="2"/>
      <c r="G29" s="2"/>
      <c r="H29" s="69" t="str">
        <f>W37</f>
        <v>28 twenty 8</v>
      </c>
      <c r="I29" s="5" t="s">
        <v>1028</v>
      </c>
      <c r="J29" s="5" t="s">
        <v>99</v>
      </c>
      <c r="K29" s="5" t="s">
        <v>1029</v>
      </c>
      <c r="L29" s="5" t="s">
        <v>1030</v>
      </c>
      <c r="M29" s="5">
        <v>1</v>
      </c>
      <c r="N29" s="5">
        <v>1</v>
      </c>
      <c r="O29" s="5">
        <v>1</v>
      </c>
      <c r="P29" s="5">
        <v>28</v>
      </c>
      <c r="Q29" s="5">
        <v>1</v>
      </c>
      <c r="R29" s="5">
        <v>1</v>
      </c>
      <c r="S29" s="5">
        <v>1</v>
      </c>
      <c r="T29" s="5">
        <v>1</v>
      </c>
      <c r="U29" s="5">
        <v>1</v>
      </c>
      <c r="V29" s="2">
        <v>2</v>
      </c>
      <c r="W29" s="5">
        <v>28</v>
      </c>
      <c r="X29" s="5">
        <v>1</v>
      </c>
      <c r="Y29" s="5">
        <v>1</v>
      </c>
      <c r="Z29" s="5">
        <v>1</v>
      </c>
      <c r="AA29" s="5">
        <v>1</v>
      </c>
      <c r="AB29" s="5">
        <v>1</v>
      </c>
      <c r="AC29" s="2">
        <v>2</v>
      </c>
      <c r="AD29" s="2"/>
      <c r="AE29" s="2"/>
      <c r="AF29" s="2"/>
      <c r="AG29" s="2"/>
      <c r="AH29" s="2"/>
      <c r="AI29" s="2"/>
      <c r="AJ29" s="2"/>
      <c r="AK29" s="4" t="str">
        <f>AZ37</f>
        <v>58 twenty 8</v>
      </c>
      <c r="AL29" s="5">
        <v>28</v>
      </c>
      <c r="AM29" s="5">
        <v>1</v>
      </c>
      <c r="AN29" s="5">
        <v>1</v>
      </c>
      <c r="AO29" s="5">
        <v>1</v>
      </c>
      <c r="AP29" s="5">
        <v>1</v>
      </c>
      <c r="AQ29" s="5">
        <v>1</v>
      </c>
      <c r="AR29" s="2">
        <v>2</v>
      </c>
      <c r="AS29" s="18">
        <v>28</v>
      </c>
      <c r="AT29" s="18">
        <v>1</v>
      </c>
      <c r="AU29" s="18">
        <v>1</v>
      </c>
      <c r="AV29" s="18">
        <v>1</v>
      </c>
      <c r="AW29" s="18">
        <v>1</v>
      </c>
      <c r="AX29" s="18">
        <v>1</v>
      </c>
      <c r="AY29" s="29"/>
      <c r="AZ29" s="18">
        <v>28</v>
      </c>
      <c r="BA29" s="5">
        <v>1</v>
      </c>
      <c r="BB29" s="5">
        <v>1</v>
      </c>
      <c r="BC29" s="5">
        <v>1</v>
      </c>
      <c r="BD29" s="5">
        <v>1</v>
      </c>
      <c r="BE29" s="5">
        <v>1</v>
      </c>
    </row>
    <row r="30" spans="1:57" ht="14.25" customHeight="1">
      <c r="A30" s="2"/>
      <c r="B30" s="2"/>
      <c r="C30" s="2"/>
      <c r="D30" s="2"/>
      <c r="E30" s="2"/>
      <c r="F30" s="2"/>
      <c r="G30" s="2"/>
      <c r="H30" s="69" t="str">
        <f>W42</f>
        <v>29 twnety 9</v>
      </c>
      <c r="I30" s="5" t="s">
        <v>623</v>
      </c>
      <c r="J30" s="5" t="s">
        <v>1031</v>
      </c>
      <c r="K30" s="5" t="s">
        <v>1032</v>
      </c>
      <c r="L30" s="5" t="s">
        <v>1033</v>
      </c>
      <c r="M30" s="5">
        <v>1</v>
      </c>
      <c r="N30" s="5">
        <v>1</v>
      </c>
      <c r="O30" s="5">
        <v>1</v>
      </c>
      <c r="P30" s="5">
        <v>29</v>
      </c>
      <c r="Q30" s="5">
        <v>1</v>
      </c>
      <c r="R30" s="5">
        <v>1</v>
      </c>
      <c r="S30" s="5">
        <v>1</v>
      </c>
      <c r="T30" s="5">
        <v>1</v>
      </c>
      <c r="U30" s="5">
        <v>1</v>
      </c>
      <c r="V30" s="2">
        <v>2</v>
      </c>
      <c r="W30" s="5">
        <v>29</v>
      </c>
      <c r="X30" s="5">
        <v>1</v>
      </c>
      <c r="Y30" s="5">
        <v>1</v>
      </c>
      <c r="Z30" s="5">
        <v>1</v>
      </c>
      <c r="AA30" s="5">
        <v>1</v>
      </c>
      <c r="AB30" s="5">
        <v>1</v>
      </c>
      <c r="AC30" s="2">
        <v>2</v>
      </c>
      <c r="AD30" s="2"/>
      <c r="AE30" s="2"/>
      <c r="AF30" s="2"/>
      <c r="AG30" s="2"/>
      <c r="AH30" s="2"/>
      <c r="AI30" s="2"/>
      <c r="AJ30" s="2"/>
      <c r="AK30" s="4" t="str">
        <f>AZ42</f>
        <v>59 twnety 9</v>
      </c>
      <c r="AL30" s="5">
        <v>29</v>
      </c>
      <c r="AM30" s="5">
        <v>1</v>
      </c>
      <c r="AN30" s="5">
        <v>1</v>
      </c>
      <c r="AO30" s="5">
        <v>1</v>
      </c>
      <c r="AP30" s="5">
        <v>1</v>
      </c>
      <c r="AQ30" s="5">
        <v>1</v>
      </c>
      <c r="AR30" s="2">
        <v>2</v>
      </c>
      <c r="AS30" s="18">
        <v>29</v>
      </c>
      <c r="AT30" s="18">
        <v>1</v>
      </c>
      <c r="AU30" s="18">
        <v>1</v>
      </c>
      <c r="AV30" s="18">
        <v>1</v>
      </c>
      <c r="AW30" s="18">
        <v>1</v>
      </c>
      <c r="AX30" s="18">
        <v>1</v>
      </c>
      <c r="AY30" s="29"/>
      <c r="AZ30" s="18">
        <v>29</v>
      </c>
      <c r="BA30" s="5">
        <v>1</v>
      </c>
      <c r="BB30" s="5">
        <v>1</v>
      </c>
      <c r="BC30" s="5">
        <v>1</v>
      </c>
      <c r="BD30" s="5">
        <v>1</v>
      </c>
      <c r="BE30" s="5">
        <v>1</v>
      </c>
    </row>
    <row r="31" spans="1:57" ht="14.25" customHeight="1">
      <c r="A31" s="2"/>
      <c r="B31" s="2"/>
      <c r="C31" s="2"/>
      <c r="D31" s="2"/>
      <c r="E31" s="2"/>
      <c r="F31" s="2"/>
      <c r="G31" s="2"/>
      <c r="H31" s="69" t="str">
        <f>W47</f>
        <v>30 thirty</v>
      </c>
      <c r="I31" s="5">
        <v>30</v>
      </c>
      <c r="J31" s="5">
        <v>1</v>
      </c>
      <c r="K31" s="5">
        <v>1</v>
      </c>
      <c r="L31" s="5">
        <v>1</v>
      </c>
      <c r="M31" s="5">
        <v>1</v>
      </c>
      <c r="N31" s="5">
        <v>1</v>
      </c>
      <c r="O31" s="5">
        <v>1</v>
      </c>
      <c r="P31" s="5">
        <v>30</v>
      </c>
      <c r="Q31" s="5">
        <v>1</v>
      </c>
      <c r="R31" s="5">
        <v>1</v>
      </c>
      <c r="S31" s="5">
        <v>1</v>
      </c>
      <c r="T31" s="5">
        <v>1</v>
      </c>
      <c r="U31" s="5">
        <v>1</v>
      </c>
      <c r="V31" s="2">
        <v>2</v>
      </c>
      <c r="W31" s="5">
        <v>30</v>
      </c>
      <c r="X31" s="5">
        <v>1</v>
      </c>
      <c r="Y31" s="5">
        <v>1</v>
      </c>
      <c r="Z31" s="5">
        <v>1</v>
      </c>
      <c r="AA31" s="5">
        <v>1</v>
      </c>
      <c r="AB31" s="5">
        <v>1</v>
      </c>
      <c r="AC31" s="2">
        <v>2</v>
      </c>
      <c r="AD31" s="2"/>
      <c r="AE31" s="2"/>
      <c r="AF31" s="2"/>
      <c r="AG31" s="2"/>
      <c r="AH31" s="2"/>
      <c r="AI31" s="2"/>
      <c r="AJ31" s="2"/>
      <c r="AK31" s="4" t="str">
        <f>AZ47</f>
        <v>60 thirty</v>
      </c>
      <c r="AL31" s="5">
        <v>30</v>
      </c>
      <c r="AM31" s="5">
        <v>1</v>
      </c>
      <c r="AN31" s="5">
        <v>1</v>
      </c>
      <c r="AO31" s="5">
        <v>1</v>
      </c>
      <c r="AP31" s="5">
        <v>1</v>
      </c>
      <c r="AQ31" s="5">
        <v>1</v>
      </c>
      <c r="AR31" s="2">
        <v>2</v>
      </c>
      <c r="AS31" s="18">
        <v>30</v>
      </c>
      <c r="AT31" s="18">
        <v>1</v>
      </c>
      <c r="AU31" s="18">
        <v>1</v>
      </c>
      <c r="AV31" s="18">
        <v>1</v>
      </c>
      <c r="AW31" s="18">
        <v>1</v>
      </c>
      <c r="AX31" s="18">
        <v>1</v>
      </c>
      <c r="AY31" s="29"/>
      <c r="AZ31" s="18">
        <v>30</v>
      </c>
      <c r="BA31" s="5">
        <v>1</v>
      </c>
      <c r="BB31" s="5">
        <v>1</v>
      </c>
      <c r="BC31" s="5">
        <v>1</v>
      </c>
      <c r="BD31" s="5">
        <v>1</v>
      </c>
      <c r="BE31" s="5">
        <v>1</v>
      </c>
    </row>
    <row r="32" spans="1:57" ht="14.25" customHeight="1">
      <c r="A32" s="2"/>
      <c r="B32" s="2"/>
      <c r="C32" s="2"/>
      <c r="D32" s="2"/>
      <c r="E32" s="2"/>
      <c r="F32" s="2"/>
      <c r="G32" s="2"/>
      <c r="H32" s="80"/>
      <c r="I32" s="73" t="s">
        <v>1018</v>
      </c>
      <c r="J32" s="5" t="s">
        <v>1034</v>
      </c>
      <c r="K32" s="5" t="s">
        <v>1035</v>
      </c>
      <c r="L32" s="5">
        <v>1</v>
      </c>
      <c r="M32" s="5">
        <v>1</v>
      </c>
      <c r="N32" s="5">
        <v>1</v>
      </c>
      <c r="O32" s="80" t="s">
        <v>1281</v>
      </c>
      <c r="P32" s="73" t="s">
        <v>999</v>
      </c>
      <c r="Q32" s="5">
        <v>1</v>
      </c>
      <c r="R32" s="5">
        <v>1</v>
      </c>
      <c r="S32" s="5">
        <v>1</v>
      </c>
      <c r="T32" s="5">
        <v>1</v>
      </c>
      <c r="U32" s="5">
        <v>1</v>
      </c>
      <c r="V32" s="2">
        <v>2</v>
      </c>
      <c r="W32" s="73" t="s">
        <v>958</v>
      </c>
      <c r="X32" s="5">
        <v>1</v>
      </c>
      <c r="Y32" s="5">
        <v>1</v>
      </c>
      <c r="Z32" s="5">
        <v>1</v>
      </c>
      <c r="AA32" s="5">
        <v>1</v>
      </c>
      <c r="AB32" s="5">
        <v>1</v>
      </c>
      <c r="AC32" s="2">
        <v>2</v>
      </c>
      <c r="AD32" s="2"/>
      <c r="AE32" s="2"/>
      <c r="AF32" s="2"/>
      <c r="AG32" s="2"/>
      <c r="AH32" s="2"/>
      <c r="AI32" s="2"/>
      <c r="AJ32" s="2"/>
      <c r="AK32" s="2"/>
      <c r="AL32" s="73" t="s">
        <v>865</v>
      </c>
      <c r="AM32" s="5">
        <v>1</v>
      </c>
      <c r="AN32" s="5">
        <v>1</v>
      </c>
      <c r="AO32" s="5">
        <v>1</v>
      </c>
      <c r="AP32" s="5">
        <v>1</v>
      </c>
      <c r="AQ32" s="5">
        <v>1</v>
      </c>
      <c r="AR32" s="2">
        <v>2</v>
      </c>
      <c r="AS32" s="17" t="s">
        <v>745</v>
      </c>
      <c r="AT32" s="18">
        <v>1</v>
      </c>
      <c r="AU32" s="18">
        <v>1</v>
      </c>
      <c r="AV32" s="18">
        <v>1</v>
      </c>
      <c r="AW32" s="18">
        <v>1</v>
      </c>
      <c r="AX32" s="18">
        <v>1</v>
      </c>
      <c r="AY32" s="29"/>
      <c r="AZ32" s="17" t="s">
        <v>227</v>
      </c>
      <c r="BA32" s="5">
        <v>1</v>
      </c>
      <c r="BB32" s="5">
        <v>1</v>
      </c>
      <c r="BC32" s="5">
        <v>1</v>
      </c>
      <c r="BD32" s="5">
        <v>1</v>
      </c>
      <c r="BE32" s="5">
        <v>1</v>
      </c>
    </row>
    <row r="33" spans="1:57" ht="14.25" customHeight="1">
      <c r="A33" s="2"/>
      <c r="B33" s="2"/>
      <c r="C33" s="2"/>
      <c r="D33" s="2"/>
      <c r="E33" s="2"/>
      <c r="F33" s="2"/>
      <c r="G33" s="2"/>
      <c r="H33" s="80"/>
      <c r="I33" s="5" t="s">
        <v>1036</v>
      </c>
      <c r="J33" s="5" t="s">
        <v>1037</v>
      </c>
      <c r="K33" s="5">
        <v>1</v>
      </c>
      <c r="L33" s="5">
        <v>1</v>
      </c>
      <c r="M33" s="5">
        <v>1</v>
      </c>
      <c r="N33" s="5">
        <v>1</v>
      </c>
      <c r="O33" s="5">
        <v>1</v>
      </c>
      <c r="P33" s="5">
        <v>32</v>
      </c>
      <c r="Q33" s="5">
        <v>1</v>
      </c>
      <c r="R33" s="5">
        <v>1</v>
      </c>
      <c r="S33" s="5">
        <v>1</v>
      </c>
      <c r="T33" s="5">
        <v>1</v>
      </c>
      <c r="U33" s="5">
        <v>1</v>
      </c>
      <c r="V33" s="2">
        <v>2</v>
      </c>
      <c r="W33" s="5">
        <v>32</v>
      </c>
      <c r="X33" s="5">
        <v>1</v>
      </c>
      <c r="Y33" s="5">
        <v>1</v>
      </c>
      <c r="Z33" s="5">
        <v>1</v>
      </c>
      <c r="AA33" s="5">
        <v>1</v>
      </c>
      <c r="AB33" s="5">
        <v>1</v>
      </c>
      <c r="AC33" s="2">
        <v>2</v>
      </c>
      <c r="AD33" s="2"/>
      <c r="AE33" s="2"/>
      <c r="AF33" s="2"/>
      <c r="AG33" s="2"/>
      <c r="AH33" s="2"/>
      <c r="AI33" s="2"/>
      <c r="AJ33" s="2"/>
      <c r="AK33" s="2"/>
      <c r="AL33" s="5">
        <v>32</v>
      </c>
      <c r="AM33" s="5">
        <v>1</v>
      </c>
      <c r="AN33" s="5">
        <v>1</v>
      </c>
      <c r="AO33" s="5">
        <v>1</v>
      </c>
      <c r="AP33" s="5">
        <v>1</v>
      </c>
      <c r="AQ33" s="5">
        <v>1</v>
      </c>
      <c r="AR33" s="2">
        <v>2</v>
      </c>
      <c r="AS33" s="18">
        <v>32</v>
      </c>
      <c r="AT33" s="18">
        <v>1</v>
      </c>
      <c r="AU33" s="18">
        <v>1</v>
      </c>
      <c r="AV33" s="18">
        <v>1</v>
      </c>
      <c r="AW33" s="18">
        <v>1</v>
      </c>
      <c r="AX33" s="18">
        <v>1</v>
      </c>
      <c r="AY33" s="29"/>
      <c r="AZ33" s="18">
        <v>32</v>
      </c>
      <c r="BA33" s="5">
        <v>1</v>
      </c>
      <c r="BB33" s="5">
        <v>1</v>
      </c>
      <c r="BC33" s="5">
        <v>1</v>
      </c>
      <c r="BD33" s="5">
        <v>1</v>
      </c>
      <c r="BE33" s="5">
        <v>1</v>
      </c>
    </row>
    <row r="34" spans="1:57" ht="14.25" customHeight="1">
      <c r="A34" s="2"/>
      <c r="B34" s="2"/>
      <c r="C34" s="2"/>
      <c r="D34" s="2"/>
      <c r="E34" s="2"/>
      <c r="F34" s="2"/>
      <c r="G34" s="2"/>
      <c r="H34" s="80"/>
      <c r="I34" s="5">
        <v>33</v>
      </c>
      <c r="J34" s="5">
        <v>1</v>
      </c>
      <c r="K34" s="5">
        <v>1</v>
      </c>
      <c r="L34" s="5">
        <v>1</v>
      </c>
      <c r="M34" s="5">
        <v>1</v>
      </c>
      <c r="N34" s="5">
        <v>1</v>
      </c>
      <c r="O34" s="5">
        <v>1</v>
      </c>
      <c r="P34" s="5">
        <v>33</v>
      </c>
      <c r="Q34" s="5">
        <v>1</v>
      </c>
      <c r="R34" s="5">
        <v>1</v>
      </c>
      <c r="S34" s="5">
        <v>1</v>
      </c>
      <c r="T34" s="5">
        <v>1</v>
      </c>
      <c r="U34" s="5">
        <v>1</v>
      </c>
      <c r="V34" s="2">
        <v>2</v>
      </c>
      <c r="W34" s="5">
        <v>33</v>
      </c>
      <c r="X34" s="5">
        <v>1</v>
      </c>
      <c r="Y34" s="5">
        <v>1</v>
      </c>
      <c r="Z34" s="5">
        <v>1</v>
      </c>
      <c r="AA34" s="5">
        <v>1</v>
      </c>
      <c r="AB34" s="5">
        <v>1</v>
      </c>
      <c r="AC34" s="2">
        <v>2</v>
      </c>
      <c r="AD34" s="2"/>
      <c r="AE34" s="2"/>
      <c r="AF34" s="2"/>
      <c r="AG34" s="2"/>
      <c r="AH34" s="2"/>
      <c r="AI34" s="2"/>
      <c r="AJ34" s="2"/>
      <c r="AK34" s="2"/>
      <c r="AL34" s="5">
        <v>33</v>
      </c>
      <c r="AM34" s="5">
        <v>1</v>
      </c>
      <c r="AN34" s="5">
        <v>1</v>
      </c>
      <c r="AO34" s="5">
        <v>1</v>
      </c>
      <c r="AP34" s="5">
        <v>1</v>
      </c>
      <c r="AQ34" s="5">
        <v>1</v>
      </c>
      <c r="AR34" s="2">
        <v>2</v>
      </c>
      <c r="AS34" s="18">
        <v>33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29"/>
      <c r="AZ34" s="18">
        <v>33</v>
      </c>
      <c r="BA34" s="5">
        <v>1</v>
      </c>
      <c r="BB34" s="5">
        <v>1</v>
      </c>
      <c r="BC34" s="5">
        <v>1</v>
      </c>
      <c r="BD34" s="5">
        <v>1</v>
      </c>
      <c r="BE34" s="5">
        <v>1</v>
      </c>
    </row>
    <row r="35" spans="1:57" ht="14.25" customHeight="1">
      <c r="A35" s="2"/>
      <c r="B35" s="2"/>
      <c r="C35" s="2"/>
      <c r="D35" s="2"/>
      <c r="E35" s="2"/>
      <c r="F35" s="2"/>
      <c r="G35" s="2"/>
      <c r="H35" s="80"/>
      <c r="I35" s="5">
        <v>34</v>
      </c>
      <c r="J35" s="5">
        <v>1</v>
      </c>
      <c r="K35" s="5">
        <v>1</v>
      </c>
      <c r="L35" s="5">
        <v>1</v>
      </c>
      <c r="M35" s="5">
        <v>1</v>
      </c>
      <c r="N35" s="5">
        <v>1</v>
      </c>
      <c r="O35" s="5">
        <v>1</v>
      </c>
      <c r="P35" s="5">
        <v>34</v>
      </c>
      <c r="Q35" s="5">
        <v>1</v>
      </c>
      <c r="R35" s="5">
        <v>1</v>
      </c>
      <c r="S35" s="5">
        <v>1</v>
      </c>
      <c r="T35" s="5">
        <v>1</v>
      </c>
      <c r="U35" s="5">
        <v>1</v>
      </c>
      <c r="V35" s="2">
        <v>2</v>
      </c>
      <c r="W35" s="5">
        <v>34</v>
      </c>
      <c r="X35" s="5">
        <v>1</v>
      </c>
      <c r="Y35" s="5">
        <v>1</v>
      </c>
      <c r="Z35" s="5">
        <v>1</v>
      </c>
      <c r="AA35" s="5">
        <v>1</v>
      </c>
      <c r="AB35" s="5">
        <v>1</v>
      </c>
      <c r="AC35" s="2">
        <v>2</v>
      </c>
      <c r="AD35" s="2"/>
      <c r="AE35" s="2"/>
      <c r="AF35" s="2"/>
      <c r="AG35" s="2"/>
      <c r="AH35" s="2"/>
      <c r="AI35" s="2"/>
      <c r="AJ35" s="2"/>
      <c r="AK35" s="2"/>
      <c r="AL35" s="5">
        <v>34</v>
      </c>
      <c r="AM35" s="5">
        <v>1</v>
      </c>
      <c r="AN35" s="5">
        <v>1</v>
      </c>
      <c r="AO35" s="5">
        <v>1</v>
      </c>
      <c r="AP35" s="5">
        <v>1</v>
      </c>
      <c r="AQ35" s="5">
        <v>1</v>
      </c>
      <c r="AR35" s="2">
        <v>2</v>
      </c>
      <c r="AS35" s="18">
        <v>34</v>
      </c>
      <c r="AT35" s="18">
        <v>1</v>
      </c>
      <c r="AU35" s="18">
        <v>1</v>
      </c>
      <c r="AV35" s="18">
        <v>1</v>
      </c>
      <c r="AW35" s="18">
        <v>1</v>
      </c>
      <c r="AX35" s="18">
        <v>1</v>
      </c>
      <c r="AY35" s="29"/>
      <c r="AZ35" s="18">
        <v>34</v>
      </c>
      <c r="BA35" s="5">
        <v>1</v>
      </c>
      <c r="BB35" s="5">
        <v>1</v>
      </c>
      <c r="BC35" s="5">
        <v>1</v>
      </c>
      <c r="BD35" s="5">
        <v>1</v>
      </c>
      <c r="BE35" s="5">
        <v>1</v>
      </c>
    </row>
    <row r="36" spans="1:57" ht="14.25" customHeight="1">
      <c r="A36" s="2"/>
      <c r="B36" s="2"/>
      <c r="C36" s="2"/>
      <c r="D36" s="2"/>
      <c r="E36" s="2"/>
      <c r="F36" s="2"/>
      <c r="G36" s="2"/>
      <c r="H36" s="80"/>
      <c r="I36" s="5">
        <v>35</v>
      </c>
      <c r="J36" s="5">
        <v>1</v>
      </c>
      <c r="K36" s="5">
        <v>1</v>
      </c>
      <c r="L36" s="5">
        <v>1</v>
      </c>
      <c r="M36" s="5">
        <v>1</v>
      </c>
      <c r="N36" s="5">
        <v>1</v>
      </c>
      <c r="O36" s="5">
        <v>1</v>
      </c>
      <c r="P36" s="5">
        <v>35</v>
      </c>
      <c r="Q36" s="5">
        <v>1</v>
      </c>
      <c r="R36" s="5">
        <v>1</v>
      </c>
      <c r="S36" s="5">
        <v>1</v>
      </c>
      <c r="T36" s="5">
        <v>1</v>
      </c>
      <c r="U36" s="5">
        <v>1</v>
      </c>
      <c r="V36" s="2">
        <v>2</v>
      </c>
      <c r="W36" s="5">
        <v>35</v>
      </c>
      <c r="X36" s="5">
        <v>1</v>
      </c>
      <c r="Y36" s="5">
        <v>1</v>
      </c>
      <c r="Z36" s="5">
        <v>1</v>
      </c>
      <c r="AA36" s="5">
        <v>1</v>
      </c>
      <c r="AB36" s="5">
        <v>1</v>
      </c>
      <c r="AC36" s="2">
        <v>2</v>
      </c>
      <c r="AD36" s="2"/>
      <c r="AE36" s="2"/>
      <c r="AF36" s="2"/>
      <c r="AG36" s="2"/>
      <c r="AH36" s="2"/>
      <c r="AI36" s="2"/>
      <c r="AJ36" s="2"/>
      <c r="AK36" s="2"/>
      <c r="AL36" s="5">
        <v>35</v>
      </c>
      <c r="AM36" s="5">
        <v>1</v>
      </c>
      <c r="AN36" s="5">
        <v>1</v>
      </c>
      <c r="AO36" s="5">
        <v>1</v>
      </c>
      <c r="AP36" s="5">
        <v>1</v>
      </c>
      <c r="AQ36" s="5">
        <v>1</v>
      </c>
      <c r="AR36" s="2">
        <v>2</v>
      </c>
      <c r="AS36" s="18">
        <v>35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29"/>
      <c r="AZ36" s="18">
        <v>35</v>
      </c>
      <c r="BA36" s="5">
        <v>1</v>
      </c>
      <c r="BB36" s="5">
        <v>1</v>
      </c>
      <c r="BC36" s="5">
        <v>1</v>
      </c>
      <c r="BD36" s="5">
        <v>1</v>
      </c>
      <c r="BE36" s="5">
        <v>1</v>
      </c>
    </row>
    <row r="37" spans="1:57" ht="14.25" customHeight="1">
      <c r="A37" s="2"/>
      <c r="B37" s="2"/>
      <c r="C37" s="2"/>
      <c r="D37" s="2"/>
      <c r="E37" s="2"/>
      <c r="F37" s="2"/>
      <c r="G37" s="2"/>
      <c r="H37" s="80"/>
      <c r="I37" s="73" t="s">
        <v>1019</v>
      </c>
      <c r="J37" s="5" t="s">
        <v>189</v>
      </c>
      <c r="K37" s="5" t="s">
        <v>1038</v>
      </c>
      <c r="L37" s="5">
        <v>1</v>
      </c>
      <c r="M37" s="5">
        <v>1</v>
      </c>
      <c r="N37" s="5">
        <v>1</v>
      </c>
      <c r="O37" s="80" t="s">
        <v>1282</v>
      </c>
      <c r="P37" s="73" t="s">
        <v>1000</v>
      </c>
      <c r="Q37" s="5">
        <v>1</v>
      </c>
      <c r="R37" s="5">
        <v>1</v>
      </c>
      <c r="S37" s="5">
        <v>1</v>
      </c>
      <c r="T37" s="5">
        <v>1</v>
      </c>
      <c r="U37" s="5">
        <v>1</v>
      </c>
      <c r="V37" s="2">
        <v>2</v>
      </c>
      <c r="W37" s="73" t="s">
        <v>959</v>
      </c>
      <c r="X37" s="5">
        <v>1</v>
      </c>
      <c r="Y37" s="5">
        <v>1</v>
      </c>
      <c r="Z37" s="5">
        <v>1</v>
      </c>
      <c r="AA37" s="5">
        <v>1</v>
      </c>
      <c r="AB37" s="5">
        <v>1</v>
      </c>
      <c r="AC37" s="2">
        <v>2</v>
      </c>
      <c r="AD37" s="2"/>
      <c r="AE37" s="2"/>
      <c r="AF37" s="2"/>
      <c r="AG37" s="2"/>
      <c r="AH37" s="2"/>
      <c r="AI37" s="2"/>
      <c r="AJ37" s="2"/>
      <c r="AK37" s="2"/>
      <c r="AL37" s="73" t="s">
        <v>871</v>
      </c>
      <c r="AM37" s="5">
        <v>1</v>
      </c>
      <c r="AN37" s="5">
        <v>1</v>
      </c>
      <c r="AO37" s="5">
        <v>1</v>
      </c>
      <c r="AP37" s="5">
        <v>1</v>
      </c>
      <c r="AQ37" s="5">
        <v>1</v>
      </c>
      <c r="AR37" s="2">
        <v>2</v>
      </c>
      <c r="AS37" s="17" t="s">
        <v>758</v>
      </c>
      <c r="AT37" s="18">
        <v>1</v>
      </c>
      <c r="AU37" s="18">
        <v>1</v>
      </c>
      <c r="AV37" s="18">
        <v>1</v>
      </c>
      <c r="AW37" s="18">
        <v>1</v>
      </c>
      <c r="AX37" s="18">
        <v>1</v>
      </c>
      <c r="AY37" s="29"/>
      <c r="AZ37" s="17" t="s">
        <v>247</v>
      </c>
      <c r="BA37" s="5">
        <v>1</v>
      </c>
      <c r="BB37" s="5">
        <v>1</v>
      </c>
      <c r="BC37" s="5">
        <v>1</v>
      </c>
      <c r="BD37" s="5">
        <v>1</v>
      </c>
      <c r="BE37" s="5">
        <v>1</v>
      </c>
    </row>
    <row r="38" spans="1:57" ht="14.25" customHeight="1">
      <c r="A38" s="2"/>
      <c r="B38" s="2"/>
      <c r="C38" s="2"/>
      <c r="D38" s="2"/>
      <c r="E38" s="2"/>
      <c r="F38" s="2"/>
      <c r="G38" s="2"/>
      <c r="H38" s="80"/>
      <c r="I38" s="5">
        <v>37</v>
      </c>
      <c r="J38" s="5">
        <v>1</v>
      </c>
      <c r="K38" s="5">
        <v>1</v>
      </c>
      <c r="L38" s="5">
        <v>1</v>
      </c>
      <c r="M38" s="5">
        <v>1</v>
      </c>
      <c r="N38" s="5">
        <v>1</v>
      </c>
      <c r="O38" s="5">
        <v>1</v>
      </c>
      <c r="P38" s="5">
        <v>37</v>
      </c>
      <c r="Q38" s="5">
        <v>1</v>
      </c>
      <c r="R38" s="5">
        <v>1</v>
      </c>
      <c r="S38" s="5">
        <v>1</v>
      </c>
      <c r="T38" s="5">
        <v>1</v>
      </c>
      <c r="U38" s="5">
        <v>1</v>
      </c>
      <c r="V38" s="2">
        <v>2</v>
      </c>
      <c r="W38" s="5">
        <v>37</v>
      </c>
      <c r="X38" s="5">
        <v>1</v>
      </c>
      <c r="Y38" s="5">
        <v>1</v>
      </c>
      <c r="Z38" s="5">
        <v>1</v>
      </c>
      <c r="AA38" s="5">
        <v>1</v>
      </c>
      <c r="AB38" s="5">
        <v>1</v>
      </c>
      <c r="AC38" s="2">
        <v>2</v>
      </c>
      <c r="AD38" s="2"/>
      <c r="AE38" s="2"/>
      <c r="AF38" s="2"/>
      <c r="AG38" s="2"/>
      <c r="AH38" s="2"/>
      <c r="AI38" s="2"/>
      <c r="AJ38" s="2"/>
      <c r="AK38" s="2"/>
      <c r="AL38" s="5">
        <v>37</v>
      </c>
      <c r="AM38" s="5">
        <v>1</v>
      </c>
      <c r="AN38" s="5">
        <v>1</v>
      </c>
      <c r="AO38" s="5">
        <v>1</v>
      </c>
      <c r="AP38" s="5">
        <v>1</v>
      </c>
      <c r="AQ38" s="5">
        <v>1</v>
      </c>
      <c r="AR38" s="2">
        <v>2</v>
      </c>
      <c r="AS38" s="18">
        <v>37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29"/>
      <c r="AZ38" s="18">
        <v>37</v>
      </c>
      <c r="BA38" s="5">
        <v>1</v>
      </c>
      <c r="BB38" s="5">
        <v>1</v>
      </c>
      <c r="BC38" s="5">
        <v>1</v>
      </c>
      <c r="BD38" s="5">
        <v>1</v>
      </c>
      <c r="BE38" s="5">
        <v>1</v>
      </c>
    </row>
    <row r="39" spans="1:57" ht="14.25" customHeight="1">
      <c r="A39" s="2"/>
      <c r="B39" s="2"/>
      <c r="C39" s="2"/>
      <c r="D39" s="2"/>
      <c r="E39" s="2"/>
      <c r="F39" s="2"/>
      <c r="G39" s="2"/>
      <c r="H39" s="80"/>
      <c r="I39" s="5">
        <v>38</v>
      </c>
      <c r="J39" s="5">
        <v>1</v>
      </c>
      <c r="K39" s="5">
        <v>1</v>
      </c>
      <c r="L39" s="5">
        <v>1</v>
      </c>
      <c r="M39" s="5">
        <v>1</v>
      </c>
      <c r="N39" s="5">
        <v>1</v>
      </c>
      <c r="O39" s="5">
        <v>1</v>
      </c>
      <c r="P39" s="5">
        <v>38</v>
      </c>
      <c r="Q39" s="5">
        <v>1</v>
      </c>
      <c r="R39" s="5">
        <v>1</v>
      </c>
      <c r="S39" s="5">
        <v>1</v>
      </c>
      <c r="T39" s="5">
        <v>1</v>
      </c>
      <c r="U39" s="5">
        <v>1</v>
      </c>
      <c r="V39" s="2">
        <v>2</v>
      </c>
      <c r="W39" s="5">
        <v>38</v>
      </c>
      <c r="X39" s="5">
        <v>1</v>
      </c>
      <c r="Y39" s="5">
        <v>1</v>
      </c>
      <c r="Z39" s="5">
        <v>1</v>
      </c>
      <c r="AA39" s="5">
        <v>1</v>
      </c>
      <c r="AB39" s="5">
        <v>1</v>
      </c>
      <c r="AC39" s="2">
        <v>2</v>
      </c>
      <c r="AD39" s="2"/>
      <c r="AE39" s="2"/>
      <c r="AF39" s="2"/>
      <c r="AG39" s="2"/>
      <c r="AH39" s="2"/>
      <c r="AI39" s="2"/>
      <c r="AJ39" s="2"/>
      <c r="AK39" s="2"/>
      <c r="AL39" s="5">
        <v>38</v>
      </c>
      <c r="AM39" s="5">
        <v>1</v>
      </c>
      <c r="AN39" s="5">
        <v>1</v>
      </c>
      <c r="AO39" s="5">
        <v>1</v>
      </c>
      <c r="AP39" s="5">
        <v>1</v>
      </c>
      <c r="AQ39" s="5">
        <v>1</v>
      </c>
      <c r="AR39" s="2">
        <v>2</v>
      </c>
      <c r="AS39" s="18">
        <v>38</v>
      </c>
      <c r="AT39" s="18">
        <v>1</v>
      </c>
      <c r="AU39" s="18">
        <v>1</v>
      </c>
      <c r="AV39" s="18">
        <v>1</v>
      </c>
      <c r="AW39" s="18">
        <v>1</v>
      </c>
      <c r="AX39" s="18">
        <v>1</v>
      </c>
      <c r="AY39" s="29"/>
      <c r="AZ39" s="18">
        <v>38</v>
      </c>
      <c r="BA39" s="5">
        <v>1</v>
      </c>
      <c r="BB39" s="5">
        <v>1</v>
      </c>
      <c r="BC39" s="5">
        <v>1</v>
      </c>
      <c r="BD39" s="5">
        <v>1</v>
      </c>
      <c r="BE39" s="5">
        <v>1</v>
      </c>
    </row>
    <row r="40" spans="1:57" ht="14.25" customHeight="1">
      <c r="A40" s="2"/>
      <c r="B40" s="2"/>
      <c r="C40" s="2"/>
      <c r="D40" s="2"/>
      <c r="E40" s="2"/>
      <c r="F40" s="2"/>
      <c r="G40" s="2"/>
      <c r="H40" s="80"/>
      <c r="I40" s="5">
        <v>39</v>
      </c>
      <c r="J40" s="5">
        <v>1</v>
      </c>
      <c r="K40" s="5">
        <v>1</v>
      </c>
      <c r="L40" s="5">
        <v>1</v>
      </c>
      <c r="M40" s="5">
        <v>1</v>
      </c>
      <c r="N40" s="5">
        <v>1</v>
      </c>
      <c r="O40" s="5">
        <v>1</v>
      </c>
      <c r="P40" s="5">
        <v>39</v>
      </c>
      <c r="Q40" s="5">
        <v>1</v>
      </c>
      <c r="R40" s="5">
        <v>1</v>
      </c>
      <c r="S40" s="5">
        <v>1</v>
      </c>
      <c r="T40" s="5">
        <v>1</v>
      </c>
      <c r="U40" s="5">
        <v>1</v>
      </c>
      <c r="V40" s="2">
        <v>2</v>
      </c>
      <c r="W40" s="5">
        <v>39</v>
      </c>
      <c r="X40" s="5">
        <v>1</v>
      </c>
      <c r="Y40" s="5">
        <v>1</v>
      </c>
      <c r="Z40" s="5">
        <v>1</v>
      </c>
      <c r="AA40" s="5">
        <v>1</v>
      </c>
      <c r="AB40" s="5">
        <v>1</v>
      </c>
      <c r="AC40" s="2">
        <v>2</v>
      </c>
      <c r="AD40" s="2"/>
      <c r="AE40" s="2"/>
      <c r="AF40" s="2"/>
      <c r="AG40" s="2"/>
      <c r="AH40" s="2"/>
      <c r="AI40" s="2"/>
      <c r="AJ40" s="2"/>
      <c r="AK40" s="2"/>
      <c r="AL40" s="5">
        <v>39</v>
      </c>
      <c r="AM40" s="5">
        <v>1</v>
      </c>
      <c r="AN40" s="5">
        <v>1</v>
      </c>
      <c r="AO40" s="5">
        <v>1</v>
      </c>
      <c r="AP40" s="5">
        <v>1</v>
      </c>
      <c r="AQ40" s="5">
        <v>1</v>
      </c>
      <c r="AR40" s="2">
        <v>2</v>
      </c>
      <c r="AS40" s="18">
        <v>39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29"/>
      <c r="AZ40" s="18">
        <v>39</v>
      </c>
      <c r="BA40" s="5">
        <v>1</v>
      </c>
      <c r="BB40" s="5">
        <v>1</v>
      </c>
      <c r="BC40" s="5">
        <v>1</v>
      </c>
      <c r="BD40" s="5">
        <v>1</v>
      </c>
      <c r="BE40" s="5">
        <v>1</v>
      </c>
    </row>
    <row r="41" spans="1:57" ht="14.25" customHeight="1">
      <c r="A41" s="2"/>
      <c r="B41" s="2"/>
      <c r="C41" s="2"/>
      <c r="D41" s="2"/>
      <c r="E41" s="2"/>
      <c r="F41" s="2"/>
      <c r="G41" s="2"/>
      <c r="H41" s="80"/>
      <c r="I41" s="5">
        <v>40</v>
      </c>
      <c r="J41" s="5">
        <v>1</v>
      </c>
      <c r="K41" s="5">
        <v>1</v>
      </c>
      <c r="L41" s="5">
        <v>1</v>
      </c>
      <c r="M41" s="5">
        <v>1</v>
      </c>
      <c r="N41" s="5">
        <v>1</v>
      </c>
      <c r="O41" s="5">
        <v>1</v>
      </c>
      <c r="P41" s="5">
        <v>40</v>
      </c>
      <c r="Q41" s="5">
        <v>1</v>
      </c>
      <c r="R41" s="5">
        <v>1</v>
      </c>
      <c r="S41" s="5">
        <v>1</v>
      </c>
      <c r="T41" s="5">
        <v>1</v>
      </c>
      <c r="U41" s="5">
        <v>1</v>
      </c>
      <c r="V41" s="2">
        <v>2</v>
      </c>
      <c r="W41" s="5">
        <v>40</v>
      </c>
      <c r="X41" s="5">
        <v>1</v>
      </c>
      <c r="Y41" s="5">
        <v>1</v>
      </c>
      <c r="Z41" s="5">
        <v>1</v>
      </c>
      <c r="AA41" s="5">
        <v>1</v>
      </c>
      <c r="AB41" s="5">
        <v>1</v>
      </c>
      <c r="AC41" s="2">
        <v>2</v>
      </c>
      <c r="AD41" s="2"/>
      <c r="AE41" s="2"/>
      <c r="AF41" s="2"/>
      <c r="AG41" s="2"/>
      <c r="AH41" s="2"/>
      <c r="AI41" s="2"/>
      <c r="AJ41" s="2"/>
      <c r="AK41" s="2"/>
      <c r="AL41" s="5">
        <v>40</v>
      </c>
      <c r="AM41" s="5">
        <v>1</v>
      </c>
      <c r="AN41" s="5">
        <v>1</v>
      </c>
      <c r="AO41" s="5">
        <v>1</v>
      </c>
      <c r="AP41" s="5">
        <v>1</v>
      </c>
      <c r="AQ41" s="5">
        <v>1</v>
      </c>
      <c r="AR41" s="2">
        <v>2</v>
      </c>
      <c r="AS41" s="18">
        <v>40</v>
      </c>
      <c r="AT41" s="18">
        <v>1</v>
      </c>
      <c r="AU41" s="18">
        <v>1</v>
      </c>
      <c r="AV41" s="18">
        <v>1</v>
      </c>
      <c r="AW41" s="18">
        <v>1</v>
      </c>
      <c r="AX41" s="18">
        <v>1</v>
      </c>
      <c r="AY41" s="29"/>
      <c r="AZ41" s="18">
        <v>40</v>
      </c>
      <c r="BA41" s="5">
        <v>1</v>
      </c>
      <c r="BB41" s="5">
        <v>1</v>
      </c>
      <c r="BC41" s="5">
        <v>1</v>
      </c>
      <c r="BD41" s="5">
        <v>1</v>
      </c>
      <c r="BE41" s="5">
        <v>1</v>
      </c>
    </row>
    <row r="42" spans="1:57" ht="14.25" customHeight="1">
      <c r="A42" s="2"/>
      <c r="B42" s="2"/>
      <c r="C42" s="2"/>
      <c r="D42" s="2"/>
      <c r="E42" s="2"/>
      <c r="F42" s="2"/>
      <c r="G42" s="2"/>
      <c r="H42" s="80"/>
      <c r="I42" s="73" t="s">
        <v>991</v>
      </c>
      <c r="J42" s="5">
        <v>1</v>
      </c>
      <c r="K42" s="5">
        <v>1</v>
      </c>
      <c r="L42" s="5">
        <v>1</v>
      </c>
      <c r="M42" s="5">
        <v>1</v>
      </c>
      <c r="N42" s="5">
        <v>1</v>
      </c>
      <c r="O42" s="80"/>
      <c r="P42" s="73" t="s">
        <v>1001</v>
      </c>
      <c r="Q42" s="5">
        <v>1</v>
      </c>
      <c r="R42" s="5">
        <v>1</v>
      </c>
      <c r="S42" s="5">
        <v>1</v>
      </c>
      <c r="T42" s="5">
        <v>1</v>
      </c>
      <c r="U42" s="5">
        <v>1</v>
      </c>
      <c r="V42" s="2">
        <v>2</v>
      </c>
      <c r="W42" s="73" t="s">
        <v>960</v>
      </c>
      <c r="X42" s="5">
        <v>1</v>
      </c>
      <c r="Y42" s="5">
        <v>1</v>
      </c>
      <c r="Z42" s="5">
        <v>1</v>
      </c>
      <c r="AA42" s="5">
        <v>1</v>
      </c>
      <c r="AB42" s="5">
        <v>1</v>
      </c>
      <c r="AC42" s="2">
        <v>2</v>
      </c>
      <c r="AD42" s="2"/>
      <c r="AE42" s="2"/>
      <c r="AF42" s="2"/>
      <c r="AG42" s="2"/>
      <c r="AH42" s="2"/>
      <c r="AI42" s="2"/>
      <c r="AJ42" s="2"/>
      <c r="AK42" s="2"/>
      <c r="AL42" s="73" t="s">
        <v>881</v>
      </c>
      <c r="AM42" s="5">
        <v>1</v>
      </c>
      <c r="AN42" s="5">
        <v>1</v>
      </c>
      <c r="AO42" s="5">
        <v>1</v>
      </c>
      <c r="AP42" s="5">
        <v>1</v>
      </c>
      <c r="AQ42" s="5">
        <v>1</v>
      </c>
      <c r="AR42" s="2">
        <v>2</v>
      </c>
      <c r="AS42" s="17" t="s">
        <v>765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29"/>
      <c r="AZ42" s="17" t="s">
        <v>270</v>
      </c>
      <c r="BA42" s="5">
        <v>1</v>
      </c>
      <c r="BB42" s="5">
        <v>1</v>
      </c>
      <c r="BC42" s="5">
        <v>1</v>
      </c>
      <c r="BD42" s="5">
        <v>1</v>
      </c>
      <c r="BE42" s="5">
        <v>1</v>
      </c>
    </row>
    <row r="43" spans="1:57" ht="14.25" customHeight="1">
      <c r="A43" s="2"/>
      <c r="B43" s="2"/>
      <c r="C43" s="2"/>
      <c r="D43" s="2"/>
      <c r="E43" s="2"/>
      <c r="F43" s="2"/>
      <c r="G43" s="2"/>
      <c r="H43" s="80"/>
      <c r="I43" s="5">
        <v>42</v>
      </c>
      <c r="J43" s="5">
        <v>1</v>
      </c>
      <c r="K43" s="5">
        <v>1</v>
      </c>
      <c r="L43" s="5">
        <v>1</v>
      </c>
      <c r="M43" s="5">
        <v>1</v>
      </c>
      <c r="N43" s="5">
        <v>1</v>
      </c>
      <c r="O43" s="5">
        <v>1</v>
      </c>
      <c r="P43" s="5">
        <v>42</v>
      </c>
      <c r="Q43" s="5">
        <v>1</v>
      </c>
      <c r="R43" s="5">
        <v>1</v>
      </c>
      <c r="S43" s="5">
        <v>1</v>
      </c>
      <c r="T43" s="5">
        <v>1</v>
      </c>
      <c r="U43" s="5">
        <v>1</v>
      </c>
      <c r="V43" s="2">
        <v>2</v>
      </c>
      <c r="W43" s="5">
        <v>42</v>
      </c>
      <c r="X43" s="5">
        <v>1</v>
      </c>
      <c r="Y43" s="5">
        <v>1</v>
      </c>
      <c r="Z43" s="5">
        <v>1</v>
      </c>
      <c r="AA43" s="5">
        <v>1</v>
      </c>
      <c r="AB43" s="5">
        <v>1</v>
      </c>
      <c r="AC43" s="2">
        <v>2</v>
      </c>
      <c r="AD43" s="2"/>
      <c r="AE43" s="2"/>
      <c r="AF43" s="2"/>
      <c r="AG43" s="2"/>
      <c r="AH43" s="2"/>
      <c r="AI43" s="2"/>
      <c r="AJ43" s="2"/>
      <c r="AK43" s="2"/>
      <c r="AL43" s="5">
        <v>42</v>
      </c>
      <c r="AM43" s="5">
        <v>1</v>
      </c>
      <c r="AN43" s="5">
        <v>1</v>
      </c>
      <c r="AO43" s="5">
        <v>1</v>
      </c>
      <c r="AP43" s="5">
        <v>1</v>
      </c>
      <c r="AQ43" s="5">
        <v>1</v>
      </c>
      <c r="AR43" s="2">
        <v>2</v>
      </c>
      <c r="AS43" s="18">
        <v>42</v>
      </c>
      <c r="AT43" s="18">
        <v>1</v>
      </c>
      <c r="AU43" s="18">
        <v>1</v>
      </c>
      <c r="AV43" s="18">
        <v>1</v>
      </c>
      <c r="AW43" s="18">
        <v>1</v>
      </c>
      <c r="AX43" s="18">
        <v>1</v>
      </c>
      <c r="AY43" s="29"/>
      <c r="AZ43" s="18">
        <v>42</v>
      </c>
      <c r="BA43" s="5">
        <v>1</v>
      </c>
      <c r="BB43" s="5">
        <v>1</v>
      </c>
      <c r="BC43" s="5">
        <v>1</v>
      </c>
      <c r="BD43" s="5">
        <v>1</v>
      </c>
      <c r="BE43" s="5">
        <v>1</v>
      </c>
    </row>
    <row r="44" spans="1:57" ht="14.25" customHeight="1">
      <c r="A44" s="2"/>
      <c r="B44" s="2"/>
      <c r="C44" s="2"/>
      <c r="D44" s="2"/>
      <c r="E44" s="2"/>
      <c r="F44" s="2"/>
      <c r="G44" s="2"/>
      <c r="H44" s="80"/>
      <c r="I44" s="5">
        <v>43</v>
      </c>
      <c r="J44" s="5">
        <v>1</v>
      </c>
      <c r="K44" s="5">
        <v>1</v>
      </c>
      <c r="L44" s="5">
        <v>1</v>
      </c>
      <c r="M44" s="5">
        <v>1</v>
      </c>
      <c r="N44" s="5">
        <v>1</v>
      </c>
      <c r="O44" s="5">
        <v>1</v>
      </c>
      <c r="P44" s="5">
        <v>43</v>
      </c>
      <c r="Q44" s="5">
        <v>1</v>
      </c>
      <c r="R44" s="5">
        <v>1</v>
      </c>
      <c r="S44" s="5">
        <v>1</v>
      </c>
      <c r="T44" s="5">
        <v>1</v>
      </c>
      <c r="U44" s="5">
        <v>1</v>
      </c>
      <c r="V44" s="2">
        <v>2</v>
      </c>
      <c r="W44" s="5">
        <v>43</v>
      </c>
      <c r="X44" s="5">
        <v>1</v>
      </c>
      <c r="Y44" s="5">
        <v>1</v>
      </c>
      <c r="Z44" s="5">
        <v>1</v>
      </c>
      <c r="AA44" s="5">
        <v>1</v>
      </c>
      <c r="AB44" s="5">
        <v>1</v>
      </c>
      <c r="AC44" s="2">
        <v>2</v>
      </c>
      <c r="AD44" s="2"/>
      <c r="AE44" s="2"/>
      <c r="AF44" s="2"/>
      <c r="AG44" s="2"/>
      <c r="AH44" s="2"/>
      <c r="AI44" s="2"/>
      <c r="AJ44" s="2"/>
      <c r="AK44" s="2"/>
      <c r="AL44" s="5">
        <v>43</v>
      </c>
      <c r="AM44" s="5">
        <v>1</v>
      </c>
      <c r="AN44" s="5">
        <v>1</v>
      </c>
      <c r="AO44" s="5">
        <v>1</v>
      </c>
      <c r="AP44" s="5">
        <v>1</v>
      </c>
      <c r="AQ44" s="5">
        <v>1</v>
      </c>
      <c r="AR44" s="2">
        <v>2</v>
      </c>
      <c r="AS44" s="18">
        <v>43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29"/>
      <c r="AZ44" s="18">
        <v>43</v>
      </c>
      <c r="BA44" s="5">
        <v>1</v>
      </c>
      <c r="BB44" s="5">
        <v>1</v>
      </c>
      <c r="BC44" s="5">
        <v>1</v>
      </c>
      <c r="BD44" s="5">
        <v>1</v>
      </c>
      <c r="BE44" s="5">
        <v>1</v>
      </c>
    </row>
    <row r="45" spans="1:57" ht="14.25" customHeight="1">
      <c r="A45" s="2"/>
      <c r="B45" s="2"/>
      <c r="C45" s="2"/>
      <c r="D45" s="2"/>
      <c r="E45" s="2"/>
      <c r="F45" s="2"/>
      <c r="G45" s="2"/>
      <c r="H45" s="80"/>
      <c r="I45" s="5">
        <v>44</v>
      </c>
      <c r="J45" s="5">
        <v>1</v>
      </c>
      <c r="K45" s="5">
        <v>1</v>
      </c>
      <c r="L45" s="5">
        <v>1</v>
      </c>
      <c r="M45" s="5">
        <v>1</v>
      </c>
      <c r="N45" s="5">
        <v>1</v>
      </c>
      <c r="O45" s="5">
        <v>1</v>
      </c>
      <c r="P45" s="5">
        <v>44</v>
      </c>
      <c r="Q45" s="5">
        <v>1</v>
      </c>
      <c r="R45" s="5">
        <v>1</v>
      </c>
      <c r="S45" s="5">
        <v>1</v>
      </c>
      <c r="T45" s="5">
        <v>1</v>
      </c>
      <c r="U45" s="5">
        <v>1</v>
      </c>
      <c r="V45" s="2">
        <v>2</v>
      </c>
      <c r="W45" s="5">
        <v>44</v>
      </c>
      <c r="X45" s="5">
        <v>1</v>
      </c>
      <c r="Y45" s="5">
        <v>1</v>
      </c>
      <c r="Z45" s="5">
        <v>1</v>
      </c>
      <c r="AA45" s="5">
        <v>1</v>
      </c>
      <c r="AB45" s="5">
        <v>1</v>
      </c>
      <c r="AC45" s="2">
        <v>2</v>
      </c>
      <c r="AD45" s="2"/>
      <c r="AE45" s="2"/>
      <c r="AF45" s="2"/>
      <c r="AG45" s="2"/>
      <c r="AH45" s="2"/>
      <c r="AI45" s="2"/>
      <c r="AJ45" s="2"/>
      <c r="AK45" s="2"/>
      <c r="AL45" s="5">
        <v>44</v>
      </c>
      <c r="AM45" s="5">
        <v>1</v>
      </c>
      <c r="AN45" s="5">
        <v>1</v>
      </c>
      <c r="AO45" s="5">
        <v>1</v>
      </c>
      <c r="AP45" s="5">
        <v>1</v>
      </c>
      <c r="AQ45" s="5">
        <v>1</v>
      </c>
      <c r="AR45" s="2">
        <v>2</v>
      </c>
      <c r="AS45" s="18">
        <v>44</v>
      </c>
      <c r="AT45" s="18">
        <v>1</v>
      </c>
      <c r="AU45" s="18">
        <v>1</v>
      </c>
      <c r="AV45" s="18">
        <v>1</v>
      </c>
      <c r="AW45" s="18">
        <v>1</v>
      </c>
      <c r="AX45" s="18">
        <v>1</v>
      </c>
      <c r="AY45" s="29"/>
      <c r="AZ45" s="18">
        <v>44</v>
      </c>
      <c r="BA45" s="5">
        <v>1</v>
      </c>
      <c r="BB45" s="5">
        <v>1</v>
      </c>
      <c r="BC45" s="5">
        <v>1</v>
      </c>
      <c r="BD45" s="5">
        <v>1</v>
      </c>
      <c r="BE45" s="5">
        <v>1</v>
      </c>
    </row>
    <row r="46" spans="1:57" ht="14.25" customHeight="1">
      <c r="A46" s="2"/>
      <c r="B46" s="2"/>
      <c r="C46" s="2"/>
      <c r="D46" s="2"/>
      <c r="E46" s="2"/>
      <c r="F46" s="2"/>
      <c r="G46" s="2"/>
      <c r="H46" s="80"/>
      <c r="I46" s="5">
        <v>45</v>
      </c>
      <c r="J46" s="5">
        <v>1</v>
      </c>
      <c r="K46" s="5">
        <v>1</v>
      </c>
      <c r="L46" s="5">
        <v>1</v>
      </c>
      <c r="M46" s="5">
        <v>1</v>
      </c>
      <c r="N46" s="5">
        <v>1</v>
      </c>
      <c r="O46" s="5">
        <v>1</v>
      </c>
      <c r="P46" s="5">
        <v>45</v>
      </c>
      <c r="Q46" s="5">
        <v>1</v>
      </c>
      <c r="R46" s="5">
        <v>1</v>
      </c>
      <c r="S46" s="5">
        <v>1</v>
      </c>
      <c r="T46" s="5">
        <v>1</v>
      </c>
      <c r="U46" s="5">
        <v>1</v>
      </c>
      <c r="V46" s="2">
        <v>2</v>
      </c>
      <c r="W46" s="5">
        <v>45</v>
      </c>
      <c r="X46" s="5">
        <v>1</v>
      </c>
      <c r="Y46" s="5">
        <v>1</v>
      </c>
      <c r="Z46" s="5">
        <v>1</v>
      </c>
      <c r="AA46" s="5">
        <v>1</v>
      </c>
      <c r="AB46" s="5">
        <v>1</v>
      </c>
      <c r="AC46" s="2">
        <v>2</v>
      </c>
      <c r="AD46" s="2"/>
      <c r="AE46" s="2"/>
      <c r="AF46" s="2"/>
      <c r="AG46" s="2"/>
      <c r="AH46" s="2"/>
      <c r="AI46" s="2"/>
      <c r="AJ46" s="2"/>
      <c r="AK46" s="2"/>
      <c r="AL46" s="5">
        <v>45</v>
      </c>
      <c r="AM46" s="5">
        <v>1</v>
      </c>
      <c r="AN46" s="5">
        <v>1</v>
      </c>
      <c r="AO46" s="5">
        <v>1</v>
      </c>
      <c r="AP46" s="5">
        <v>1</v>
      </c>
      <c r="AQ46" s="5">
        <v>1</v>
      </c>
      <c r="AR46" s="2">
        <v>2</v>
      </c>
      <c r="AS46" s="18">
        <v>45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29"/>
      <c r="AZ46" s="18">
        <v>45</v>
      </c>
      <c r="BA46" s="5">
        <v>1</v>
      </c>
      <c r="BB46" s="5">
        <v>1</v>
      </c>
      <c r="BC46" s="5">
        <v>1</v>
      </c>
      <c r="BD46" s="5">
        <v>1</v>
      </c>
      <c r="BE46" s="5">
        <v>1</v>
      </c>
    </row>
    <row r="47" spans="1:57" ht="14.25" customHeight="1">
      <c r="A47" s="2"/>
      <c r="B47" s="2"/>
      <c r="C47" s="2"/>
      <c r="D47" s="2"/>
      <c r="E47" s="2"/>
      <c r="F47" s="2"/>
      <c r="G47" s="2"/>
      <c r="H47" s="80"/>
      <c r="I47" s="73" t="s">
        <v>992</v>
      </c>
      <c r="J47" s="5">
        <v>1</v>
      </c>
      <c r="K47" s="5">
        <v>1</v>
      </c>
      <c r="L47" s="5">
        <v>1</v>
      </c>
      <c r="M47" s="5">
        <v>1</v>
      </c>
      <c r="N47" s="5">
        <v>1</v>
      </c>
      <c r="O47" s="80"/>
      <c r="P47" s="73" t="s">
        <v>1002</v>
      </c>
      <c r="Q47" s="5">
        <v>1</v>
      </c>
      <c r="R47" s="5">
        <v>1</v>
      </c>
      <c r="S47" s="5">
        <v>1</v>
      </c>
      <c r="T47" s="5">
        <v>1</v>
      </c>
      <c r="U47" s="5">
        <v>1</v>
      </c>
      <c r="V47" s="2">
        <v>2</v>
      </c>
      <c r="W47" s="73" t="s">
        <v>961</v>
      </c>
      <c r="X47" s="5">
        <v>1</v>
      </c>
      <c r="Y47" s="5">
        <v>1</v>
      </c>
      <c r="Z47" s="5">
        <v>1</v>
      </c>
      <c r="AA47" s="5">
        <v>1</v>
      </c>
      <c r="AB47" s="5">
        <v>1</v>
      </c>
      <c r="AC47" s="2">
        <v>2</v>
      </c>
      <c r="AD47" s="2"/>
      <c r="AE47" s="2"/>
      <c r="AF47" s="2"/>
      <c r="AG47" s="2"/>
      <c r="AH47" s="2"/>
      <c r="AI47" s="2"/>
      <c r="AJ47" s="2"/>
      <c r="AK47" s="2"/>
      <c r="AL47" s="73" t="s">
        <v>885</v>
      </c>
      <c r="AM47" s="5">
        <v>1</v>
      </c>
      <c r="AN47" s="5">
        <v>1</v>
      </c>
      <c r="AO47" s="5">
        <v>1</v>
      </c>
      <c r="AP47" s="5">
        <v>1</v>
      </c>
      <c r="AQ47" s="5">
        <v>1</v>
      </c>
      <c r="AR47" s="2">
        <v>2</v>
      </c>
      <c r="AS47" s="17" t="s">
        <v>772</v>
      </c>
      <c r="AT47" s="18">
        <v>1</v>
      </c>
      <c r="AU47" s="18">
        <v>1</v>
      </c>
      <c r="AV47" s="18">
        <v>1</v>
      </c>
      <c r="AW47" s="18">
        <v>1</v>
      </c>
      <c r="AX47" s="18">
        <v>1</v>
      </c>
      <c r="AY47" s="29"/>
      <c r="AZ47" s="17" t="s">
        <v>298</v>
      </c>
      <c r="BA47" s="5">
        <v>1</v>
      </c>
      <c r="BB47" s="5">
        <v>1</v>
      </c>
      <c r="BC47" s="5">
        <v>1</v>
      </c>
      <c r="BD47" s="5">
        <v>1</v>
      </c>
      <c r="BE47" s="5">
        <v>1</v>
      </c>
    </row>
    <row r="48" spans="1:57" ht="14.25" customHeight="1">
      <c r="A48" s="2"/>
      <c r="B48" s="2"/>
      <c r="C48" s="2"/>
      <c r="D48" s="2"/>
      <c r="E48" s="2"/>
      <c r="F48" s="2"/>
      <c r="G48" s="2"/>
      <c r="H48" s="80"/>
      <c r="I48" s="5">
        <v>47</v>
      </c>
      <c r="J48" s="5">
        <v>1</v>
      </c>
      <c r="K48" s="5">
        <v>1</v>
      </c>
      <c r="L48" s="5">
        <v>1</v>
      </c>
      <c r="M48" s="5">
        <v>1</v>
      </c>
      <c r="N48" s="5">
        <v>1</v>
      </c>
      <c r="O48" s="5">
        <v>1</v>
      </c>
      <c r="P48" s="5">
        <v>47</v>
      </c>
      <c r="Q48" s="5">
        <v>1</v>
      </c>
      <c r="R48" s="5">
        <v>1</v>
      </c>
      <c r="S48" s="5">
        <v>1</v>
      </c>
      <c r="T48" s="5">
        <v>1</v>
      </c>
      <c r="U48" s="5">
        <v>1</v>
      </c>
      <c r="V48" s="2">
        <v>2</v>
      </c>
      <c r="W48" s="5">
        <v>47</v>
      </c>
      <c r="X48" s="5">
        <v>1</v>
      </c>
      <c r="Y48" s="5">
        <v>1</v>
      </c>
      <c r="Z48" s="5">
        <v>1</v>
      </c>
      <c r="AA48" s="5">
        <v>1</v>
      </c>
      <c r="AB48" s="5">
        <v>1</v>
      </c>
      <c r="AC48" s="2">
        <v>2</v>
      </c>
      <c r="AD48" s="2"/>
      <c r="AE48" s="2"/>
      <c r="AF48" s="2"/>
      <c r="AG48" s="2"/>
      <c r="AH48" s="2"/>
      <c r="AI48" s="2"/>
      <c r="AJ48" s="2"/>
      <c r="AK48" s="2"/>
      <c r="AL48" s="5">
        <v>47</v>
      </c>
      <c r="AM48" s="5">
        <v>1</v>
      </c>
      <c r="AN48" s="5">
        <v>1</v>
      </c>
      <c r="AO48" s="5">
        <v>1</v>
      </c>
      <c r="AP48" s="5">
        <v>1</v>
      </c>
      <c r="AQ48" s="5">
        <v>1</v>
      </c>
      <c r="AR48" s="2">
        <v>2</v>
      </c>
      <c r="AS48" s="18">
        <v>47</v>
      </c>
      <c r="AT48" s="18">
        <v>1</v>
      </c>
      <c r="AU48" s="18">
        <v>1</v>
      </c>
      <c r="AV48" s="18">
        <v>1</v>
      </c>
      <c r="AW48" s="18">
        <v>1</v>
      </c>
      <c r="AX48" s="18">
        <v>1</v>
      </c>
      <c r="AY48" s="29"/>
      <c r="AZ48" s="18">
        <v>47</v>
      </c>
      <c r="BA48" s="5">
        <v>1</v>
      </c>
      <c r="BB48" s="5">
        <v>1</v>
      </c>
      <c r="BC48" s="5">
        <v>1</v>
      </c>
      <c r="BD48" s="5">
        <v>1</v>
      </c>
      <c r="BE48" s="5">
        <v>1</v>
      </c>
    </row>
    <row r="49" spans="1:57" ht="14.25" customHeight="1">
      <c r="A49" s="2"/>
      <c r="B49" s="2"/>
      <c r="C49" s="2"/>
      <c r="D49" s="2"/>
      <c r="E49" s="2"/>
      <c r="F49" s="2"/>
      <c r="G49" s="2"/>
      <c r="H49" s="80"/>
      <c r="I49" s="5">
        <v>48</v>
      </c>
      <c r="J49" s="5">
        <v>1</v>
      </c>
      <c r="K49" s="5">
        <v>1</v>
      </c>
      <c r="L49" s="5">
        <v>1</v>
      </c>
      <c r="M49" s="5">
        <v>1</v>
      </c>
      <c r="N49" s="5">
        <v>1</v>
      </c>
      <c r="O49" s="5">
        <v>1</v>
      </c>
      <c r="P49" s="5">
        <v>48</v>
      </c>
      <c r="Q49" s="5">
        <v>1</v>
      </c>
      <c r="R49" s="5">
        <v>1</v>
      </c>
      <c r="S49" s="5">
        <v>1</v>
      </c>
      <c r="T49" s="5">
        <v>1</v>
      </c>
      <c r="U49" s="5">
        <v>1</v>
      </c>
      <c r="V49" s="2">
        <v>2</v>
      </c>
      <c r="W49" s="5">
        <v>48</v>
      </c>
      <c r="X49" s="5">
        <v>1</v>
      </c>
      <c r="Y49" s="5">
        <v>1</v>
      </c>
      <c r="Z49" s="5">
        <v>1</v>
      </c>
      <c r="AA49" s="5">
        <v>1</v>
      </c>
      <c r="AB49" s="5">
        <v>1</v>
      </c>
      <c r="AC49" s="2">
        <v>2</v>
      </c>
      <c r="AD49" s="2"/>
      <c r="AE49" s="2"/>
      <c r="AF49" s="2"/>
      <c r="AG49" s="2"/>
      <c r="AH49" s="2"/>
      <c r="AI49" s="2"/>
      <c r="AJ49" s="2"/>
      <c r="AK49" s="2"/>
      <c r="AL49" s="5">
        <v>48</v>
      </c>
      <c r="AM49" s="5">
        <v>1</v>
      </c>
      <c r="AN49" s="5">
        <v>1</v>
      </c>
      <c r="AO49" s="5">
        <v>1</v>
      </c>
      <c r="AP49" s="5">
        <v>1</v>
      </c>
      <c r="AQ49" s="5">
        <v>1</v>
      </c>
      <c r="AR49" s="2">
        <v>2</v>
      </c>
      <c r="AS49" s="18">
        <v>48</v>
      </c>
      <c r="AT49" s="18">
        <v>1</v>
      </c>
      <c r="AU49" s="18">
        <v>1</v>
      </c>
      <c r="AV49" s="18">
        <v>1</v>
      </c>
      <c r="AW49" s="18">
        <v>1</v>
      </c>
      <c r="AX49" s="18">
        <v>1</v>
      </c>
      <c r="AY49" s="29"/>
      <c r="AZ49" s="18">
        <v>48</v>
      </c>
      <c r="BA49" s="5">
        <v>1</v>
      </c>
      <c r="BB49" s="5">
        <v>1</v>
      </c>
      <c r="BC49" s="5">
        <v>1</v>
      </c>
      <c r="BD49" s="5">
        <v>1</v>
      </c>
      <c r="BE49" s="5">
        <v>1</v>
      </c>
    </row>
    <row r="50" spans="1:57" ht="14.25" customHeight="1">
      <c r="A50" s="2"/>
      <c r="B50" s="2"/>
      <c r="C50" s="2"/>
      <c r="D50" s="2"/>
      <c r="E50" s="2"/>
      <c r="F50" s="2"/>
      <c r="G50" s="2"/>
      <c r="H50" s="80"/>
      <c r="I50" s="5">
        <v>49</v>
      </c>
      <c r="J50" s="5">
        <v>1</v>
      </c>
      <c r="K50" s="5">
        <v>1</v>
      </c>
      <c r="L50" s="5">
        <v>1</v>
      </c>
      <c r="M50" s="5">
        <v>1</v>
      </c>
      <c r="N50" s="5">
        <v>1</v>
      </c>
      <c r="O50" s="5">
        <v>1</v>
      </c>
      <c r="P50" s="5">
        <v>49</v>
      </c>
      <c r="Q50" s="5">
        <v>1</v>
      </c>
      <c r="R50" s="5">
        <v>1</v>
      </c>
      <c r="S50" s="5">
        <v>1</v>
      </c>
      <c r="T50" s="5">
        <v>1</v>
      </c>
      <c r="U50" s="5">
        <v>1</v>
      </c>
      <c r="V50" s="2">
        <v>2</v>
      </c>
      <c r="W50" s="5">
        <v>49</v>
      </c>
      <c r="X50" s="5">
        <v>1</v>
      </c>
      <c r="Y50" s="5">
        <v>1</v>
      </c>
      <c r="Z50" s="5">
        <v>1</v>
      </c>
      <c r="AA50" s="5">
        <v>1</v>
      </c>
      <c r="AB50" s="5">
        <v>1</v>
      </c>
      <c r="AC50" s="2">
        <v>2</v>
      </c>
      <c r="AD50" s="2"/>
      <c r="AE50" s="2"/>
      <c r="AF50" s="2"/>
      <c r="AG50" s="2"/>
      <c r="AH50" s="2"/>
      <c r="AI50" s="2"/>
      <c r="AJ50" s="2"/>
      <c r="AK50" s="2"/>
      <c r="AL50" s="5">
        <v>49</v>
      </c>
      <c r="AM50" s="5">
        <v>1</v>
      </c>
      <c r="AN50" s="5">
        <v>1</v>
      </c>
      <c r="AO50" s="5">
        <v>1</v>
      </c>
      <c r="AP50" s="5">
        <v>1</v>
      </c>
      <c r="AQ50" s="5">
        <v>1</v>
      </c>
      <c r="AR50" s="2">
        <v>2</v>
      </c>
      <c r="AS50" s="18">
        <v>49</v>
      </c>
      <c r="AT50" s="18">
        <v>1</v>
      </c>
      <c r="AU50" s="18">
        <v>1</v>
      </c>
      <c r="AV50" s="18">
        <v>1</v>
      </c>
      <c r="AW50" s="18">
        <v>1</v>
      </c>
      <c r="AX50" s="18">
        <v>1</v>
      </c>
      <c r="AY50" s="29"/>
      <c r="AZ50" s="18">
        <v>49</v>
      </c>
      <c r="BA50" s="5">
        <v>1</v>
      </c>
      <c r="BB50" s="5">
        <v>1</v>
      </c>
      <c r="BC50" s="5">
        <v>1</v>
      </c>
      <c r="BD50" s="5">
        <v>1</v>
      </c>
      <c r="BE50" s="5">
        <v>1</v>
      </c>
    </row>
    <row r="51" spans="1:57" ht="14.25" customHeight="1">
      <c r="A51" s="2"/>
      <c r="B51" s="2"/>
      <c r="C51" s="2"/>
      <c r="D51" s="2"/>
      <c r="E51" s="2"/>
      <c r="F51" s="2"/>
      <c r="G51" s="2"/>
      <c r="H51" s="80"/>
      <c r="I51" s="5">
        <v>50</v>
      </c>
      <c r="J51" s="5">
        <v>1</v>
      </c>
      <c r="K51" s="5">
        <v>1</v>
      </c>
      <c r="L51" s="5">
        <v>1</v>
      </c>
      <c r="M51" s="5">
        <v>1</v>
      </c>
      <c r="N51" s="5">
        <v>1</v>
      </c>
      <c r="O51" s="5">
        <v>1</v>
      </c>
      <c r="P51" s="5">
        <v>50</v>
      </c>
      <c r="Q51" s="5">
        <v>1</v>
      </c>
      <c r="R51" s="5">
        <v>1</v>
      </c>
      <c r="S51" s="5">
        <v>1</v>
      </c>
      <c r="T51" s="5">
        <v>1</v>
      </c>
      <c r="U51" s="5">
        <v>1</v>
      </c>
      <c r="V51" s="2">
        <v>2</v>
      </c>
      <c r="W51" s="5">
        <v>50</v>
      </c>
      <c r="X51" s="5">
        <v>1</v>
      </c>
      <c r="Y51" s="5">
        <v>1</v>
      </c>
      <c r="Z51" s="5">
        <v>1</v>
      </c>
      <c r="AA51" s="5">
        <v>1</v>
      </c>
      <c r="AB51" s="5">
        <v>1</v>
      </c>
      <c r="AC51" s="2">
        <v>2</v>
      </c>
      <c r="AD51" s="2"/>
      <c r="AE51" s="2"/>
      <c r="AF51" s="2"/>
      <c r="AG51" s="2"/>
      <c r="AH51" s="2"/>
      <c r="AI51" s="2"/>
      <c r="AJ51" s="2"/>
      <c r="AK51" s="2"/>
      <c r="AL51" s="5">
        <v>50</v>
      </c>
      <c r="AM51" s="5">
        <v>1</v>
      </c>
      <c r="AN51" s="5">
        <v>1</v>
      </c>
      <c r="AO51" s="5">
        <v>1</v>
      </c>
      <c r="AP51" s="5">
        <v>1</v>
      </c>
      <c r="AQ51" s="5">
        <v>1</v>
      </c>
      <c r="AR51" s="2">
        <v>2</v>
      </c>
      <c r="AS51" s="18">
        <v>50</v>
      </c>
      <c r="AT51" s="18">
        <v>1</v>
      </c>
      <c r="AU51" s="18">
        <v>1</v>
      </c>
      <c r="AV51" s="18">
        <v>1</v>
      </c>
      <c r="AW51" s="18">
        <v>1</v>
      </c>
      <c r="AX51" s="18">
        <v>1</v>
      </c>
      <c r="AY51" s="29"/>
      <c r="AZ51" s="18">
        <v>50</v>
      </c>
      <c r="BA51" s="5">
        <v>1</v>
      </c>
      <c r="BB51" s="5">
        <v>1</v>
      </c>
      <c r="BC51" s="5">
        <v>1</v>
      </c>
      <c r="BD51" s="5">
        <v>1</v>
      </c>
      <c r="BE51" s="5">
        <v>1</v>
      </c>
    </row>
    <row r="52" spans="1:57" ht="14.25" customHeight="1">
      <c r="A52" s="2"/>
      <c r="B52" s="2"/>
      <c r="C52" s="2"/>
      <c r="D52" s="2"/>
      <c r="E52" s="2"/>
      <c r="F52" s="2"/>
      <c r="G52" s="2"/>
      <c r="H52" s="80"/>
      <c r="I52" s="2"/>
      <c r="J52" s="2"/>
      <c r="K52" s="2"/>
      <c r="L52" s="2"/>
      <c r="M52" s="2"/>
      <c r="N52" s="2"/>
      <c r="O52" s="80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</row>
    <row r="53" spans="1:57" ht="14.25" customHeight="1">
      <c r="A53" s="2"/>
      <c r="B53" s="2"/>
      <c r="C53" s="2"/>
      <c r="D53" s="2"/>
      <c r="E53" s="2"/>
      <c r="F53" s="2"/>
      <c r="G53" s="2"/>
      <c r="H53" s="80"/>
      <c r="I53" s="2"/>
      <c r="J53" s="2"/>
      <c r="K53" s="2"/>
      <c r="L53" s="2"/>
      <c r="M53" s="2"/>
      <c r="N53" s="2"/>
      <c r="O53" s="80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</row>
    <row r="54" spans="1:57" ht="14.25" customHeight="1">
      <c r="A54" s="2"/>
      <c r="B54" s="2"/>
      <c r="C54" s="2"/>
      <c r="D54" s="2"/>
      <c r="E54" s="2"/>
      <c r="F54" s="2"/>
      <c r="G54" s="2"/>
      <c r="H54" s="80"/>
      <c r="I54" s="2"/>
      <c r="J54" s="2"/>
      <c r="K54" s="2"/>
      <c r="L54" s="2"/>
      <c r="M54" s="2"/>
      <c r="N54" s="2"/>
      <c r="O54" s="80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</row>
    <row r="55" spans="1:57" ht="14.25" customHeight="1">
      <c r="A55" s="2"/>
      <c r="B55" s="2"/>
      <c r="C55" s="2"/>
      <c r="D55" s="2"/>
      <c r="E55" s="2"/>
      <c r="F55" s="2"/>
      <c r="G55" s="2"/>
      <c r="H55" s="80"/>
      <c r="I55" s="2"/>
      <c r="J55" s="2"/>
      <c r="K55" s="2"/>
      <c r="L55" s="2"/>
      <c r="M55" s="2"/>
      <c r="N55" s="2"/>
      <c r="O55" s="80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</row>
    <row r="56" spans="1:57" ht="14.25" customHeight="1">
      <c r="A56" s="2"/>
      <c r="B56" s="2"/>
      <c r="C56" s="2"/>
      <c r="D56" s="2"/>
      <c r="E56" s="2"/>
      <c r="F56" s="2"/>
      <c r="G56" s="2"/>
      <c r="H56" s="80"/>
      <c r="I56" s="2"/>
      <c r="J56" s="2"/>
      <c r="K56" s="2"/>
      <c r="L56" s="2"/>
      <c r="M56" s="2"/>
      <c r="N56" s="2"/>
      <c r="O56" s="80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</row>
    <row r="57" spans="1:57" ht="14.25" customHeight="1">
      <c r="A57" s="2"/>
      <c r="B57" s="2"/>
      <c r="C57" s="2"/>
      <c r="D57" s="2"/>
      <c r="E57" s="2"/>
      <c r="F57" s="2"/>
      <c r="G57" s="2"/>
      <c r="H57" s="80"/>
      <c r="I57" s="2"/>
      <c r="J57" s="2"/>
      <c r="K57" s="2"/>
      <c r="L57" s="2"/>
      <c r="M57" s="2"/>
      <c r="N57" s="2"/>
      <c r="O57" s="80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 t="b">
        <f>IF($AE$1=$AK$2,AL2,IF($AE$1=$AK$3,AL7,IF($AE$1=$AK$4,AL12,IF($AE$1=$AK$5,AL17,IF($AE$1=$AK$6,AL22,IF($AE$1=$AK$7,AL27,IF($AE$1=$AK$8,AL32,IF($AE$1=$AK$9,AL37,IF($AE$1=$AK$10,AL42,IF($AE$1=$AK$11,AL47,IF($AE$1=$AK$12,AS2,IF($AE$1=$AK$13,AS7,IF($AE$1=$AK$14,AS12,IF($AE$1=$AK$15,AS17,IF($AE$1=$AK$16,AS22,IF($AE$1=$AK$17,AS27,IF($AE$1=$AK$18,AS32,IF($AE$1=$AK$19,AS37,IF($AE$1=$AK$20,AS42,IF($AE$1=$AK$21,AS47,IF($AE$1=$AK$22,AS52,IF($AE$1=$AK$22,AZ2,IF($AE$1=$AK$23,AZ7,IF($AE$1=$AK$24,AZ12,IF($AE$1=$AK$25,AZ17,IF($AE$1=$AK$26,AZ22,IF($AE$1=$AK$27,AZ27,IF($AE$1=$AK$28,AZ32,IF($AE$1=$AK$29,AZ37,IF($AE$1=$AK$30,AZ42,IF($AE$1=$AK$31,AZ47)))))))))))))))))))))))))))))))</f>
        <v>0</v>
      </c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</row>
    <row r="58" spans="1:57" ht="14.25" customHeight="1">
      <c r="A58" s="2"/>
      <c r="B58" s="2"/>
      <c r="C58" s="2"/>
      <c r="D58" s="2"/>
      <c r="E58" s="2"/>
      <c r="F58" s="2"/>
      <c r="G58" s="2"/>
      <c r="H58" s="80"/>
      <c r="I58" s="2"/>
      <c r="J58" s="2"/>
      <c r="K58" s="2"/>
      <c r="L58" s="2"/>
      <c r="M58" s="2"/>
      <c r="N58" s="2"/>
      <c r="O58" s="80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</row>
    <row r="59" spans="1:57" ht="14.25" customHeight="1">
      <c r="A59" s="2"/>
      <c r="B59" s="2"/>
      <c r="C59" s="2"/>
      <c r="D59" s="2"/>
      <c r="E59" s="2"/>
      <c r="F59" s="2"/>
      <c r="G59" s="2"/>
      <c r="H59" s="80"/>
      <c r="I59" s="2"/>
      <c r="J59" s="2"/>
      <c r="K59" s="2"/>
      <c r="L59" s="2"/>
      <c r="M59" s="2"/>
      <c r="N59" s="2"/>
      <c r="O59" s="80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</row>
    <row r="60" spans="1:57" ht="14.25" customHeight="1">
      <c r="A60" s="2"/>
      <c r="B60" s="2"/>
      <c r="C60" s="2"/>
      <c r="D60" s="2"/>
      <c r="E60" s="2"/>
      <c r="F60" s="2"/>
      <c r="G60" s="2"/>
      <c r="H60" s="80"/>
      <c r="I60" s="2"/>
      <c r="J60" s="2"/>
      <c r="K60" s="2"/>
      <c r="L60" s="2"/>
      <c r="M60" s="2"/>
      <c r="N60" s="2"/>
      <c r="O60" s="80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</row>
    <row r="61" spans="1:57" ht="14.25" customHeight="1">
      <c r="A61" s="2"/>
      <c r="B61" s="2"/>
      <c r="C61" s="2"/>
      <c r="D61" s="2"/>
      <c r="E61" s="2"/>
      <c r="F61" s="2"/>
      <c r="G61" s="2"/>
      <c r="H61" s="80"/>
      <c r="I61" s="2"/>
      <c r="J61" s="2"/>
      <c r="K61" s="2"/>
      <c r="L61" s="2"/>
      <c r="M61" s="2"/>
      <c r="N61" s="2"/>
      <c r="O61" s="80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</row>
    <row r="62" spans="1:57" ht="14.25" customHeight="1">
      <c r="A62" s="2"/>
      <c r="B62" s="2"/>
      <c r="C62" s="2"/>
      <c r="D62" s="2"/>
      <c r="E62" s="2"/>
      <c r="F62" s="2"/>
      <c r="G62" s="2"/>
      <c r="H62" s="80"/>
      <c r="I62" s="2"/>
      <c r="J62" s="2"/>
      <c r="K62" s="2"/>
      <c r="L62" s="2"/>
      <c r="M62" s="2"/>
      <c r="N62" s="2"/>
      <c r="O62" s="80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</row>
    <row r="63" spans="1:57" ht="14.25" customHeight="1">
      <c r="A63" s="2"/>
      <c r="B63" s="2"/>
      <c r="C63" s="2"/>
      <c r="D63" s="2"/>
      <c r="E63" s="2"/>
      <c r="F63" s="2"/>
      <c r="G63" s="2"/>
      <c r="H63" s="80"/>
      <c r="I63" s="2"/>
      <c r="J63" s="2"/>
      <c r="K63" s="2"/>
      <c r="L63" s="2"/>
      <c r="M63" s="2"/>
      <c r="N63" s="2"/>
      <c r="O63" s="80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</row>
    <row r="64" spans="1:57" ht="14.25" customHeight="1">
      <c r="A64" s="2"/>
      <c r="B64" s="2"/>
      <c r="C64" s="2"/>
      <c r="D64" s="2"/>
      <c r="E64" s="2"/>
      <c r="F64" s="2"/>
      <c r="G64" s="2"/>
      <c r="H64" s="80"/>
      <c r="I64" s="2"/>
      <c r="J64" s="2"/>
      <c r="K64" s="2"/>
      <c r="L64" s="2"/>
      <c r="M64" s="2"/>
      <c r="N64" s="2"/>
      <c r="O64" s="80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</row>
    <row r="65" spans="1:57" ht="14.25" customHeight="1">
      <c r="A65" s="2"/>
      <c r="B65" s="2"/>
      <c r="C65" s="2"/>
      <c r="D65" s="2"/>
      <c r="E65" s="2"/>
      <c r="F65" s="2"/>
      <c r="G65" s="2"/>
      <c r="H65" s="80"/>
      <c r="I65" s="2"/>
      <c r="J65" s="2"/>
      <c r="K65" s="2"/>
      <c r="L65" s="2"/>
      <c r="M65" s="2"/>
      <c r="N65" s="2"/>
      <c r="O65" s="80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</row>
    <row r="66" spans="1:57" ht="14.25" customHeight="1">
      <c r="A66" s="2"/>
      <c r="B66" s="2"/>
      <c r="C66" s="2"/>
      <c r="D66" s="2"/>
      <c r="E66" s="2"/>
      <c r="F66" s="2"/>
      <c r="G66" s="2"/>
      <c r="H66" s="80"/>
      <c r="I66" s="2"/>
      <c r="J66" s="2"/>
      <c r="K66" s="2"/>
      <c r="L66" s="2"/>
      <c r="M66" s="2"/>
      <c r="N66" s="2"/>
      <c r="O66" s="80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6"/>
      <c r="AF66" s="6"/>
      <c r="AG66" s="6"/>
      <c r="AH66" s="6"/>
      <c r="AI66" s="6"/>
      <c r="AJ66" s="6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</row>
    <row r="67" spans="1:57" ht="14.25" customHeight="1">
      <c r="A67" s="2"/>
      <c r="B67" s="2"/>
      <c r="C67" s="2"/>
      <c r="D67" s="2"/>
      <c r="E67" s="2"/>
      <c r="F67" s="2"/>
      <c r="G67" s="2"/>
      <c r="H67" s="80"/>
      <c r="I67" s="2"/>
      <c r="J67" s="2"/>
      <c r="K67" s="2"/>
      <c r="L67" s="2"/>
      <c r="M67" s="2"/>
      <c r="N67" s="2"/>
      <c r="O67" s="80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6"/>
      <c r="AF67" s="6"/>
      <c r="AG67" s="6"/>
      <c r="AH67" s="6"/>
      <c r="AI67" s="6"/>
      <c r="AJ67" s="6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</row>
    <row r="68" spans="1:57" ht="14.25" customHeight="1">
      <c r="A68" s="6"/>
      <c r="B68" s="6"/>
      <c r="C68" s="6"/>
      <c r="D68" s="6"/>
      <c r="E68" s="6"/>
      <c r="F68" s="6"/>
      <c r="G68" s="6"/>
      <c r="H68" s="80"/>
      <c r="I68" s="2"/>
      <c r="J68" s="2"/>
      <c r="K68" s="2"/>
      <c r="L68" s="2"/>
      <c r="M68" s="2"/>
      <c r="N68" s="2"/>
      <c r="O68" s="80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6"/>
      <c r="AF68" s="6"/>
      <c r="AG68" s="6"/>
      <c r="AH68" s="6"/>
      <c r="AI68" s="6"/>
      <c r="AJ68" s="6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</row>
    <row r="69" spans="1:57" ht="14.25" customHeight="1">
      <c r="A69" s="6"/>
      <c r="B69" s="6"/>
      <c r="C69" s="6"/>
      <c r="D69" s="6"/>
      <c r="E69" s="6"/>
      <c r="F69" s="6"/>
      <c r="G69" s="6"/>
      <c r="H69" s="80"/>
      <c r="I69" s="2"/>
      <c r="J69" s="2"/>
      <c r="K69" s="2"/>
      <c r="L69" s="2"/>
      <c r="M69" s="2"/>
      <c r="N69" s="2"/>
      <c r="O69" s="80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6"/>
      <c r="AF69" s="6"/>
      <c r="AG69" s="6"/>
      <c r="AH69" s="6"/>
      <c r="AI69" s="6"/>
      <c r="AJ69" s="6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</row>
    <row r="70" spans="1:57" ht="14.25" customHeight="1">
      <c r="A70" s="6"/>
      <c r="B70" s="6"/>
      <c r="C70" s="6"/>
      <c r="D70" s="6"/>
      <c r="E70" s="6"/>
      <c r="F70" s="6"/>
      <c r="G70" s="6"/>
      <c r="H70" s="80"/>
      <c r="I70" s="2"/>
      <c r="J70" s="2"/>
      <c r="K70" s="2"/>
      <c r="L70" s="2"/>
      <c r="M70" s="2"/>
      <c r="N70" s="2"/>
      <c r="O70" s="80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6"/>
      <c r="AF70" s="6"/>
      <c r="AG70" s="6"/>
      <c r="AH70" s="6"/>
      <c r="AI70" s="6"/>
      <c r="AJ70" s="6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</row>
    <row r="71" spans="1:57" ht="14.25" customHeight="1">
      <c r="A71" s="6"/>
      <c r="B71" s="6"/>
      <c r="C71" s="6"/>
      <c r="D71" s="6"/>
      <c r="E71" s="6"/>
      <c r="F71" s="6"/>
      <c r="G71" s="6"/>
      <c r="H71" s="80"/>
      <c r="I71" s="2"/>
      <c r="J71" s="2"/>
      <c r="K71" s="2"/>
      <c r="L71" s="2"/>
      <c r="M71" s="2"/>
      <c r="N71" s="2"/>
      <c r="O71" s="80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6"/>
      <c r="AF71" s="6"/>
      <c r="AG71" s="6"/>
      <c r="AH71" s="6"/>
      <c r="AI71" s="6"/>
      <c r="AJ71" s="6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</row>
    <row r="72" spans="1:57" ht="14.25" customHeight="1">
      <c r="A72" s="6"/>
      <c r="B72" s="6"/>
      <c r="C72" s="6"/>
      <c r="D72" s="6"/>
      <c r="E72" s="6"/>
      <c r="F72" s="6"/>
      <c r="G72" s="6"/>
      <c r="H72" s="80"/>
      <c r="I72" s="2"/>
      <c r="J72" s="2"/>
      <c r="K72" s="2"/>
      <c r="L72" s="2"/>
      <c r="M72" s="2"/>
      <c r="N72" s="2"/>
      <c r="O72" s="80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6"/>
      <c r="AF72" s="6"/>
      <c r="AG72" s="6"/>
      <c r="AH72" s="6"/>
      <c r="AI72" s="6"/>
      <c r="AJ72" s="6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</row>
    <row r="73" spans="1:57" ht="14.25" customHeight="1">
      <c r="A73" s="6"/>
      <c r="B73" s="6"/>
      <c r="C73" s="6"/>
      <c r="D73" s="6"/>
      <c r="E73" s="6"/>
      <c r="F73" s="6"/>
      <c r="G73" s="6"/>
      <c r="H73" s="80"/>
      <c r="I73" s="2"/>
      <c r="J73" s="2"/>
      <c r="K73" s="2"/>
      <c r="L73" s="2"/>
      <c r="M73" s="2"/>
      <c r="N73" s="2"/>
      <c r="O73" s="80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6"/>
      <c r="AF73" s="6"/>
      <c r="AG73" s="6"/>
      <c r="AH73" s="6"/>
      <c r="AI73" s="6"/>
      <c r="AJ73" s="6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</row>
    <row r="74" spans="1:57" ht="14.25" customHeight="1">
      <c r="A74" s="6"/>
      <c r="B74" s="6"/>
      <c r="C74" s="6"/>
      <c r="D74" s="6"/>
      <c r="E74" s="6"/>
      <c r="F74" s="6"/>
      <c r="G74" s="6"/>
      <c r="H74" s="80"/>
      <c r="I74" s="2"/>
      <c r="J74" s="2"/>
      <c r="K74" s="2"/>
      <c r="L74" s="2"/>
      <c r="M74" s="2"/>
      <c r="N74" s="2"/>
      <c r="O74" s="80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6"/>
      <c r="AF74" s="6"/>
      <c r="AG74" s="6"/>
      <c r="AH74" s="6"/>
      <c r="AI74" s="6"/>
      <c r="AJ74" s="6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</row>
    <row r="75" spans="1:57" ht="14.25" customHeight="1">
      <c r="A75" s="6"/>
      <c r="B75" s="6"/>
      <c r="C75" s="6"/>
      <c r="D75" s="6"/>
      <c r="E75" s="6"/>
      <c r="F75" s="6"/>
      <c r="G75" s="6"/>
      <c r="H75" s="80"/>
      <c r="I75" s="2"/>
      <c r="J75" s="2"/>
      <c r="K75" s="2"/>
      <c r="L75" s="2"/>
      <c r="M75" s="2"/>
      <c r="N75" s="2"/>
      <c r="O75" s="80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6"/>
      <c r="AF75" s="6"/>
      <c r="AG75" s="6"/>
      <c r="AH75" s="6"/>
      <c r="AI75" s="6"/>
      <c r="AJ75" s="6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</row>
    <row r="76" spans="1:57" ht="14.25" customHeight="1">
      <c r="A76" s="6"/>
      <c r="B76" s="6"/>
      <c r="C76" s="6"/>
      <c r="D76" s="6"/>
      <c r="E76" s="6"/>
      <c r="F76" s="6"/>
      <c r="G76" s="6"/>
      <c r="H76" s="80"/>
      <c r="I76" s="2"/>
      <c r="J76" s="2"/>
      <c r="K76" s="2"/>
      <c r="L76" s="2"/>
      <c r="M76" s="2"/>
      <c r="N76" s="2"/>
      <c r="O76" s="80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6"/>
      <c r="AF76" s="6"/>
      <c r="AG76" s="6"/>
      <c r="AH76" s="6"/>
      <c r="AI76" s="6"/>
      <c r="AJ76" s="6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</row>
    <row r="77" spans="1:57" ht="14.25" customHeight="1">
      <c r="A77" s="6"/>
      <c r="B77" s="6"/>
      <c r="C77" s="6"/>
      <c r="D77" s="6"/>
      <c r="E77" s="6"/>
      <c r="F77" s="6"/>
      <c r="G77" s="6"/>
      <c r="H77" s="80"/>
      <c r="I77" s="2"/>
      <c r="J77" s="2"/>
      <c r="K77" s="2"/>
      <c r="L77" s="2"/>
      <c r="M77" s="2"/>
      <c r="N77" s="2"/>
      <c r="O77" s="80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6"/>
      <c r="AF77" s="6"/>
      <c r="AG77" s="6"/>
      <c r="AH77" s="6"/>
      <c r="AI77" s="6"/>
      <c r="AJ77" s="6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</row>
    <row r="78" spans="1:57" ht="14.25" customHeight="1">
      <c r="A78" s="6" t="b">
        <f>IF(A1=H12,P2,IF(A1=H13,P7,IF(A1=H14,P12,IF(A1=H15,P17,IF(A1=H16,P22,IF(A1=H17,P27,IF(A1=H18,P32,IF(A1=H19,P37,IF(A1=H20,P42,IF(A1=H21,P47,IF(A1=H22,P52)))))))))))</f>
        <v>0</v>
      </c>
      <c r="B78" s="6"/>
      <c r="C78" s="6"/>
      <c r="D78" s="6"/>
      <c r="E78" s="6"/>
      <c r="F78" s="6"/>
      <c r="G78" s="6"/>
      <c r="H78" s="80"/>
      <c r="I78" s="2"/>
      <c r="J78" s="2"/>
      <c r="K78" s="2"/>
      <c r="L78" s="2"/>
      <c r="M78" s="2"/>
      <c r="N78" s="2"/>
      <c r="O78" s="80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6"/>
      <c r="AF78" s="6"/>
      <c r="AG78" s="6"/>
      <c r="AH78" s="6"/>
      <c r="AI78" s="6"/>
      <c r="AJ78" s="6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</row>
    <row r="79" spans="1:57" ht="14.25" customHeight="1">
      <c r="A79" s="6" t="b">
        <f>IF(A1=H22,W2,IF(A1=H23,W7,IF(A1=H24,W12,IF(A1=H25,W17,IF(A1=H26,W22,IF(A1=H27,W27,IF(A1=H28,W32,IF(A1=H29,W37,IF(A1=H30,W42,IF(A1=H31,W47))))))))))</f>
        <v>0</v>
      </c>
      <c r="B79" s="6"/>
      <c r="C79" s="6"/>
      <c r="D79" s="6"/>
      <c r="E79" s="6"/>
      <c r="F79" s="6"/>
      <c r="G79" s="6"/>
      <c r="H79" s="80"/>
      <c r="I79" s="2"/>
      <c r="J79" s="2"/>
      <c r="K79" s="2"/>
      <c r="L79" s="2"/>
      <c r="M79" s="2"/>
      <c r="N79" s="2"/>
      <c r="O79" s="80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6"/>
      <c r="AF79" s="6"/>
      <c r="AG79" s="6"/>
      <c r="AH79" s="6"/>
      <c r="AI79" s="6"/>
      <c r="AJ79" s="6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</row>
    <row r="80" spans="1:57" ht="14.25" customHeight="1">
      <c r="A80" s="6"/>
      <c r="B80" s="6"/>
      <c r="C80" s="6"/>
      <c r="D80" s="6"/>
      <c r="E80" s="6"/>
      <c r="F80" s="6"/>
      <c r="G80" s="6"/>
      <c r="H80" s="80"/>
      <c r="I80" s="2"/>
      <c r="J80" s="2"/>
      <c r="K80" s="2"/>
      <c r="L80" s="2"/>
      <c r="M80" s="2"/>
      <c r="N80" s="2"/>
      <c r="O80" s="80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6"/>
      <c r="AF80" s="6"/>
      <c r="AG80" s="6"/>
      <c r="AH80" s="6"/>
      <c r="AI80" s="6"/>
      <c r="AJ80" s="6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</row>
    <row r="81" spans="1:57" ht="14.25" customHeight="1">
      <c r="A81" s="6"/>
      <c r="B81" s="6"/>
      <c r="C81" s="6"/>
      <c r="D81" s="6"/>
      <c r="E81" s="6"/>
      <c r="F81" s="6"/>
      <c r="G81" s="6"/>
      <c r="H81" s="80"/>
      <c r="I81" s="2"/>
      <c r="J81" s="2"/>
      <c r="K81" s="2"/>
      <c r="L81" s="2"/>
      <c r="M81" s="2"/>
      <c r="N81" s="2"/>
      <c r="O81" s="80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6"/>
      <c r="AF81" s="6"/>
      <c r="AG81" s="6"/>
      <c r="AH81" s="6"/>
      <c r="AI81" s="6"/>
      <c r="AJ81" s="6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</row>
    <row r="82" spans="1:57" ht="14.25" customHeight="1">
      <c r="A82" s="6"/>
      <c r="B82" s="6"/>
      <c r="C82" s="6"/>
      <c r="D82" s="6"/>
      <c r="E82" s="6"/>
      <c r="F82" s="6"/>
      <c r="G82" s="6"/>
      <c r="H82" s="80"/>
      <c r="I82" s="2"/>
      <c r="J82" s="2"/>
      <c r="K82" s="2"/>
      <c r="L82" s="2"/>
      <c r="M82" s="2"/>
      <c r="N82" s="2"/>
      <c r="O82" s="80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6"/>
      <c r="AF82" s="6"/>
      <c r="AG82" s="6"/>
      <c r="AH82" s="6"/>
      <c r="AI82" s="6"/>
      <c r="AJ82" s="6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</row>
    <row r="83" spans="1:57" ht="14.25" customHeight="1">
      <c r="A83" s="6"/>
      <c r="B83" s="6"/>
      <c r="C83" s="6"/>
      <c r="D83" s="6"/>
      <c r="E83" s="6"/>
      <c r="F83" s="6"/>
      <c r="G83" s="6"/>
      <c r="H83" s="80"/>
      <c r="I83" s="2"/>
      <c r="J83" s="2"/>
      <c r="K83" s="2"/>
      <c r="L83" s="2"/>
      <c r="M83" s="2"/>
      <c r="N83" s="2"/>
      <c r="O83" s="80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6"/>
      <c r="AF83" s="6"/>
      <c r="AG83" s="6"/>
      <c r="AH83" s="6"/>
      <c r="AI83" s="6"/>
      <c r="AJ83" s="6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</row>
    <row r="84" spans="1:57" ht="14.25" customHeight="1">
      <c r="A84" s="6"/>
      <c r="B84" s="6"/>
      <c r="C84" s="6"/>
      <c r="D84" s="6"/>
      <c r="E84" s="6"/>
      <c r="F84" s="6"/>
      <c r="G84" s="6"/>
      <c r="H84" s="80"/>
      <c r="I84" s="2"/>
      <c r="J84" s="2"/>
      <c r="K84" s="2"/>
      <c r="L84" s="2"/>
      <c r="M84" s="2"/>
      <c r="N84" s="2"/>
      <c r="O84" s="80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6"/>
      <c r="AF84" s="6"/>
      <c r="AG84" s="6"/>
      <c r="AH84" s="6"/>
      <c r="AI84" s="6"/>
      <c r="AJ84" s="6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</row>
    <row r="85" spans="1:57" ht="14.25" customHeight="1">
      <c r="A85" s="6"/>
      <c r="B85" s="6"/>
      <c r="C85" s="6"/>
      <c r="D85" s="6"/>
      <c r="E85" s="6"/>
      <c r="F85" s="6"/>
      <c r="G85" s="6"/>
      <c r="H85" s="80"/>
      <c r="I85" s="2"/>
      <c r="J85" s="2"/>
      <c r="K85" s="2"/>
      <c r="L85" s="2"/>
      <c r="M85" s="2"/>
      <c r="N85" s="2"/>
      <c r="O85" s="80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6"/>
      <c r="AF85" s="6"/>
      <c r="AG85" s="6"/>
      <c r="AH85" s="6"/>
      <c r="AI85" s="6"/>
      <c r="AJ85" s="6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</row>
    <row r="86" spans="1:57" ht="14.25" customHeight="1">
      <c r="A86" s="6"/>
      <c r="B86" s="6"/>
      <c r="C86" s="6"/>
      <c r="D86" s="6"/>
      <c r="E86" s="6"/>
      <c r="F86" s="6"/>
      <c r="G86" s="6"/>
      <c r="H86" s="80"/>
      <c r="I86" s="2"/>
      <c r="J86" s="2"/>
      <c r="K86" s="2"/>
      <c r="L86" s="2"/>
      <c r="M86" s="2"/>
      <c r="N86" s="2"/>
      <c r="O86" s="80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6"/>
      <c r="AF86" s="6"/>
      <c r="AG86" s="6"/>
      <c r="AH86" s="6"/>
      <c r="AI86" s="6"/>
      <c r="AJ86" s="6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</row>
    <row r="87" spans="1:57" ht="14.25" customHeight="1">
      <c r="A87" s="6"/>
      <c r="B87" s="6"/>
      <c r="C87" s="6"/>
      <c r="D87" s="6"/>
      <c r="E87" s="6"/>
      <c r="F87" s="6"/>
      <c r="G87" s="6"/>
      <c r="H87" s="80"/>
      <c r="I87" s="2"/>
      <c r="J87" s="2"/>
      <c r="K87" s="2"/>
      <c r="L87" s="2"/>
      <c r="M87" s="2"/>
      <c r="N87" s="2"/>
      <c r="O87" s="80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6"/>
      <c r="AF87" s="6"/>
      <c r="AG87" s="6"/>
      <c r="AH87" s="6"/>
      <c r="AI87" s="6"/>
      <c r="AJ87" s="6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</row>
    <row r="88" spans="1:57" ht="14.25" customHeight="1">
      <c r="A88" s="6"/>
      <c r="B88" s="6"/>
      <c r="C88" s="6"/>
      <c r="D88" s="6"/>
      <c r="E88" s="6"/>
      <c r="F88" s="6"/>
      <c r="G88" s="6"/>
      <c r="H88" s="80"/>
      <c r="I88" s="2"/>
      <c r="J88" s="2"/>
      <c r="K88" s="2"/>
      <c r="L88" s="2"/>
      <c r="M88" s="2"/>
      <c r="N88" s="2"/>
      <c r="O88" s="80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6"/>
      <c r="AF88" s="6"/>
      <c r="AG88" s="6"/>
      <c r="AH88" s="6"/>
      <c r="AI88" s="6"/>
      <c r="AJ88" s="6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</row>
    <row r="89" spans="1:57" ht="14.25" customHeight="1">
      <c r="A89" s="6"/>
      <c r="B89" s="6"/>
      <c r="C89" s="6"/>
      <c r="D89" s="6"/>
      <c r="E89" s="6"/>
      <c r="F89" s="6"/>
      <c r="G89" s="6"/>
      <c r="H89" s="80"/>
      <c r="I89" s="2"/>
      <c r="J89" s="2"/>
      <c r="K89" s="2"/>
      <c r="L89" s="2"/>
      <c r="M89" s="2"/>
      <c r="N89" s="2"/>
      <c r="O89" s="80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6"/>
      <c r="AF89" s="6"/>
      <c r="AG89" s="6"/>
      <c r="AH89" s="6"/>
      <c r="AI89" s="6"/>
      <c r="AJ89" s="6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</row>
    <row r="90" spans="1:57" ht="14.25" customHeight="1">
      <c r="A90" s="6"/>
      <c r="B90" s="6"/>
      <c r="C90" s="6"/>
      <c r="D90" s="6"/>
      <c r="E90" s="6"/>
      <c r="F90" s="6"/>
      <c r="G90" s="6"/>
      <c r="H90" s="80"/>
      <c r="I90" s="2"/>
      <c r="J90" s="2"/>
      <c r="K90" s="2"/>
      <c r="L90" s="2"/>
      <c r="M90" s="2"/>
      <c r="N90" s="2"/>
      <c r="O90" s="80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6"/>
      <c r="AF90" s="6"/>
      <c r="AG90" s="6"/>
      <c r="AH90" s="6"/>
      <c r="AI90" s="6"/>
      <c r="AJ90" s="6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</row>
    <row r="91" spans="1:57" ht="14.25" customHeight="1">
      <c r="A91" s="6"/>
      <c r="B91" s="6"/>
      <c r="C91" s="6"/>
      <c r="D91" s="6"/>
      <c r="E91" s="6"/>
      <c r="F91" s="6"/>
      <c r="G91" s="6"/>
      <c r="H91" s="80"/>
      <c r="I91" s="2"/>
      <c r="J91" s="2"/>
      <c r="K91" s="2"/>
      <c r="L91" s="2"/>
      <c r="M91" s="2"/>
      <c r="N91" s="2"/>
      <c r="O91" s="80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6"/>
      <c r="AF91" s="6"/>
      <c r="AG91" s="6"/>
      <c r="AH91" s="6"/>
      <c r="AI91" s="6"/>
      <c r="AJ91" s="6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</row>
    <row r="92" spans="1:57" ht="14.25" customHeight="1">
      <c r="A92" s="6"/>
      <c r="B92" s="6"/>
      <c r="C92" s="6"/>
      <c r="D92" s="6"/>
      <c r="E92" s="6"/>
      <c r="F92" s="6"/>
      <c r="G92" s="6"/>
      <c r="H92" s="80"/>
      <c r="I92" s="2"/>
      <c r="J92" s="2"/>
      <c r="K92" s="2"/>
      <c r="L92" s="2"/>
      <c r="M92" s="2"/>
      <c r="N92" s="2"/>
      <c r="O92" s="80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6"/>
      <c r="AF92" s="6"/>
      <c r="AG92" s="6"/>
      <c r="AH92" s="6"/>
      <c r="AI92" s="6"/>
      <c r="AJ92" s="6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</row>
    <row r="93" spans="1:57" ht="14.25" customHeight="1">
      <c r="A93" s="6"/>
      <c r="B93" s="6"/>
      <c r="C93" s="6"/>
      <c r="D93" s="6"/>
      <c r="E93" s="6"/>
      <c r="F93" s="6"/>
      <c r="G93" s="6"/>
      <c r="H93" s="80"/>
      <c r="I93" s="2"/>
      <c r="J93" s="2"/>
      <c r="K93" s="2"/>
      <c r="L93" s="2"/>
      <c r="M93" s="2"/>
      <c r="N93" s="2"/>
      <c r="O93" s="80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6"/>
      <c r="AF93" s="6"/>
      <c r="AG93" s="6"/>
      <c r="AH93" s="6"/>
      <c r="AI93" s="6"/>
      <c r="AJ93" s="6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</row>
    <row r="94" spans="1:57" ht="14.25" customHeight="1">
      <c r="A94" s="6"/>
      <c r="B94" s="6"/>
      <c r="C94" s="6"/>
      <c r="D94" s="6"/>
      <c r="E94" s="6"/>
      <c r="F94" s="6"/>
      <c r="G94" s="6"/>
      <c r="H94" s="80"/>
      <c r="I94" s="2"/>
      <c r="J94" s="2"/>
      <c r="K94" s="2"/>
      <c r="L94" s="2"/>
      <c r="M94" s="2"/>
      <c r="N94" s="2"/>
      <c r="O94" s="80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6"/>
      <c r="AF94" s="6"/>
      <c r="AG94" s="6"/>
      <c r="AH94" s="6"/>
      <c r="AI94" s="6"/>
      <c r="AJ94" s="6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</row>
    <row r="95" spans="1:57" ht="14.25" customHeight="1">
      <c r="A95" s="6"/>
      <c r="B95" s="6"/>
      <c r="C95" s="6"/>
      <c r="D95" s="6"/>
      <c r="E95" s="6"/>
      <c r="F95" s="6"/>
      <c r="G95" s="6"/>
      <c r="H95" s="80"/>
      <c r="I95" s="2"/>
      <c r="J95" s="2"/>
      <c r="K95" s="2"/>
      <c r="L95" s="2"/>
      <c r="M95" s="2"/>
      <c r="N95" s="2"/>
      <c r="O95" s="80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6"/>
      <c r="AF95" s="6"/>
      <c r="AG95" s="6"/>
      <c r="AH95" s="6"/>
      <c r="AI95" s="6"/>
      <c r="AJ95" s="6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</row>
    <row r="96" spans="1:57" ht="14.25" customHeight="1">
      <c r="A96" s="6"/>
      <c r="B96" s="6"/>
      <c r="C96" s="6"/>
      <c r="D96" s="6"/>
      <c r="E96" s="6"/>
      <c r="F96" s="6"/>
      <c r="G96" s="6"/>
      <c r="H96" s="80"/>
      <c r="I96" s="2"/>
      <c r="J96" s="2"/>
      <c r="K96" s="2"/>
      <c r="L96" s="2"/>
      <c r="M96" s="2"/>
      <c r="N96" s="2"/>
      <c r="O96" s="80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6"/>
      <c r="AF96" s="6"/>
      <c r="AG96" s="6"/>
      <c r="AH96" s="6"/>
      <c r="AI96" s="6"/>
      <c r="AJ96" s="6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</row>
    <row r="97" spans="1:57" ht="14.25" customHeight="1">
      <c r="A97" s="6"/>
      <c r="B97" s="6"/>
      <c r="C97" s="6"/>
      <c r="D97" s="6"/>
      <c r="E97" s="6"/>
      <c r="F97" s="6"/>
      <c r="G97" s="6"/>
      <c r="H97" s="80"/>
      <c r="I97" s="2"/>
      <c r="J97" s="2"/>
      <c r="K97" s="2"/>
      <c r="L97" s="2"/>
      <c r="M97" s="2"/>
      <c r="N97" s="2"/>
      <c r="O97" s="80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6"/>
      <c r="AF97" s="6"/>
      <c r="AG97" s="6"/>
      <c r="AH97" s="6"/>
      <c r="AI97" s="6"/>
      <c r="AJ97" s="6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</row>
    <row r="98" spans="1:57" ht="14.25" customHeight="1">
      <c r="A98" s="6"/>
      <c r="B98" s="6"/>
      <c r="C98" s="6"/>
      <c r="D98" s="6"/>
      <c r="E98" s="6"/>
      <c r="F98" s="6"/>
      <c r="G98" s="6"/>
      <c r="H98" s="80"/>
      <c r="I98" s="2"/>
      <c r="J98" s="2"/>
      <c r="K98" s="2"/>
      <c r="L98" s="2"/>
      <c r="M98" s="2"/>
      <c r="N98" s="2"/>
      <c r="O98" s="80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6"/>
      <c r="AF98" s="6"/>
      <c r="AG98" s="6"/>
      <c r="AH98" s="6"/>
      <c r="AI98" s="6"/>
      <c r="AJ98" s="6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</row>
    <row r="99" spans="1:57" ht="14.25" customHeight="1">
      <c r="A99" s="6"/>
      <c r="B99" s="6"/>
      <c r="C99" s="6"/>
      <c r="D99" s="6"/>
      <c r="E99" s="6"/>
      <c r="F99" s="6"/>
      <c r="G99" s="6"/>
      <c r="H99" s="80"/>
      <c r="I99" s="2"/>
      <c r="J99" s="2"/>
      <c r="K99" s="2"/>
      <c r="L99" s="2"/>
      <c r="M99" s="2"/>
      <c r="N99" s="2"/>
      <c r="O99" s="80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6"/>
      <c r="AF99" s="6"/>
      <c r="AG99" s="6"/>
      <c r="AH99" s="6"/>
      <c r="AI99" s="6"/>
      <c r="AJ99" s="6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</row>
    <row r="100" spans="1:57" ht="14.25" customHeight="1">
      <c r="A100" s="6"/>
      <c r="B100" s="6"/>
      <c r="C100" s="6"/>
      <c r="D100" s="6"/>
      <c r="E100" s="6"/>
      <c r="F100" s="6"/>
      <c r="G100" s="6"/>
      <c r="H100" s="80"/>
      <c r="I100" s="2"/>
      <c r="J100" s="2"/>
      <c r="K100" s="2"/>
      <c r="L100" s="2"/>
      <c r="M100" s="2"/>
      <c r="N100" s="2"/>
      <c r="O100" s="80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6"/>
      <c r="AF100" s="6"/>
      <c r="AG100" s="6"/>
      <c r="AH100" s="6"/>
      <c r="AI100" s="6"/>
      <c r="AJ100" s="6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</row>
  </sheetData>
  <dataValidations count="2">
    <dataValidation type="list" allowBlank="1" showErrorMessage="1" sqref="AE1">
      <formula1>$AK$2:$AK$31</formula1>
    </dataValidation>
    <dataValidation type="list" allowBlank="1" showErrorMessage="1" sqref="A1">
      <formula1>$H$2:$H$31</formula1>
    </dataValidation>
  </dataValidations>
  <pageMargins left="0.7" right="0.7" top="0.75" bottom="0.75" header="0" footer="0"/>
  <pageSetup orientation="portrait" useFirstPageNumber="1"/>
  <headerFooter>
    <oddHeader>&amp;L&amp;C&amp;R</oddHeader>
    <oddFooter>&amp;L&amp;C&amp;R</oddFooter>
  </headerFooter>
  <extLst/>
</worksheet>
</file>

<file path=xl/worksheets/sheet9.xml><?xml version="1.0" encoding="utf-8"?>
<worksheet xmlns="http://schemas.openxmlformats.org/spreadsheetml/2006/main" xmlns:r="http://schemas.openxmlformats.org/officeDocument/2006/relationships">
  <dimension ref="A1:BJ100"/>
  <sheetViews>
    <sheetView workbookViewId="0">
      <selection activeCell="B24" sqref="B24"/>
    </sheetView>
  </sheetViews>
  <sheetFormatPr defaultColWidth="9.140625" defaultRowHeight="15" customHeight="1"/>
  <cols>
    <col min="1" max="1" width="27.42578125" customWidth="1"/>
    <col min="2" max="2" width="14.85546875" customWidth="1"/>
    <col min="3" max="3" width="12.5703125" customWidth="1"/>
    <col min="4" max="4" width="13.5703125" customWidth="1"/>
    <col min="5" max="5" width="15.28515625" customWidth="1"/>
    <col min="6" max="6" width="7.7109375" customWidth="1"/>
    <col min="7" max="7" width="13.28515625" hidden="1" customWidth="1"/>
    <col min="8" max="8" width="23.42578125" style="82" hidden="1" customWidth="1"/>
    <col min="9" max="9" width="19" style="9" hidden="1" customWidth="1"/>
    <col min="10" max="10" width="12.85546875" style="9" hidden="1" customWidth="1"/>
    <col min="11" max="14" width="7.7109375" style="9" hidden="1" customWidth="1"/>
    <col min="15" max="15" width="15" style="82" hidden="1" customWidth="1"/>
    <col min="16" max="16" width="19" style="9" hidden="1" customWidth="1"/>
    <col min="17" max="22" width="7.7109375" style="9" hidden="1" customWidth="1"/>
    <col min="23" max="23" width="19" style="9" hidden="1" customWidth="1"/>
    <col min="24" max="30" width="7.7109375" style="9" hidden="1" customWidth="1"/>
    <col min="31" max="34" width="7.7109375" hidden="1" customWidth="1"/>
    <col min="35" max="35" width="12.85546875" hidden="1" customWidth="1"/>
    <col min="36" max="36" width="7.7109375" hidden="1" customWidth="1"/>
    <col min="37" max="37" width="7.7109375" style="9" hidden="1" customWidth="1"/>
    <col min="38" max="38" width="19" style="9" hidden="1" customWidth="1"/>
    <col min="39" max="44" width="7.7109375" style="9" hidden="1" customWidth="1"/>
    <col min="45" max="45" width="19" style="9" hidden="1" customWidth="1"/>
    <col min="46" max="51" width="7.7109375" style="9" hidden="1" customWidth="1"/>
    <col min="52" max="52" width="19" style="9" hidden="1" customWidth="1"/>
    <col min="53" max="57" width="7.7109375" style="9" hidden="1" customWidth="1"/>
    <col min="58" max="61" width="7.7109375" customWidth="1"/>
    <col min="62" max="62" width="9.140625" style="9" customWidth="1"/>
  </cols>
  <sheetData>
    <row r="1" spans="1:57" ht="24" customHeight="1" thickBot="1">
      <c r="A1" s="1" t="s">
        <v>1039</v>
      </c>
      <c r="B1" s="2"/>
      <c r="C1" s="2"/>
      <c r="D1" s="2"/>
      <c r="E1" s="2"/>
      <c r="F1" s="2"/>
      <c r="G1" s="2"/>
      <c r="H1" s="80"/>
      <c r="I1" s="2"/>
      <c r="J1" s="2"/>
      <c r="K1" s="2"/>
      <c r="L1" s="2"/>
      <c r="M1" s="2"/>
      <c r="N1" s="2"/>
      <c r="O1" s="80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 t="s">
        <v>0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</row>
    <row r="2" spans="1:57" ht="15" hidden="1" customHeight="1" thickBot="1">
      <c r="A2" s="3" t="str">
        <f t="shared" ref="A2:G2" si="0">IF($A$1=$H$2,I2,IF($A$1=$H$3,I7,IF($A$1=$H$4,I12,IF($A$1=$H$5,I17,IF($A$1=$H$6,I22,IF($A$1=$H$7,I27,IF($A$1=$H$8,I32,IF($A$1=$H$9,I37,IF($A$1=$H$10,I42,IF($A$1=$H$11,I47,IF($A$1=$H$12,P2,IF($A$1=$H$13,P7,IF($A$1=$H$14,P12,IF($A$1=$H$15,P17,IF($A$1=$H$16,P22,IF($A$1=$H$17,P27,IF($A$1=$H$18,P32,IF($A$1=$H$19,P37,IF($A$1=$H$20,P42,IF($A$1=$H$21,P47,IF($A$1=$H$21,P52,IF($A$1=$H$22,W2,IF($A$1=$H$23,W7,IF($A$1=$H$24,W12,IF($A$1=$H$25,W17,IF($A$1=$H$26,W22,IF($A$1=$H$27,W27,IF($A$1=$H$28,W32,IF($A$1=$H$29,W37,IF($A$1=$H$30,W42,IF($A$1=$H$31,W47)))))))))))))))))))))))))))))))</f>
        <v>34 ਬਾਗ ਚੰਦ ਚੌਕੀਦਾਰ</v>
      </c>
      <c r="B2" s="3" t="str">
        <f t="shared" si="0"/>
        <v>ਸ਼ੀਲਾ ਰਾਣੀ</v>
      </c>
      <c r="C2" s="3" t="str">
        <f t="shared" si="0"/>
        <v>ਕੈਲਾਸ਼ ਰਾਣੀ</v>
      </c>
      <c r="D2" s="3" t="str">
        <f t="shared" si="0"/>
        <v>ਵੀਨਾ ਰਾਣੀ</v>
      </c>
      <c r="E2" s="3" t="str">
        <f t="shared" si="0"/>
        <v>ਪਵਨ ਕੰਬੋਜ</v>
      </c>
      <c r="F2" s="108">
        <f t="shared" si="0"/>
        <v>1</v>
      </c>
      <c r="G2" s="126" t="str">
        <f t="shared" si="0"/>
        <v>https://serving.photos.photobox.com/34259206cf330a348a9911a0db3e1ad7ee4ebdc5a955f4782bb6d24367c883eb8e9059fd.jpg</v>
      </c>
      <c r="H2" s="111" t="str">
        <f>I2</f>
        <v>1 ਜਾਂਜੀ ਰਾਮ</v>
      </c>
      <c r="I2" s="73" t="s">
        <v>1041</v>
      </c>
      <c r="J2" s="5" t="s">
        <v>284</v>
      </c>
      <c r="K2" s="5">
        <v>1</v>
      </c>
      <c r="L2" s="5">
        <v>1</v>
      </c>
      <c r="M2" s="5">
        <v>1</v>
      </c>
      <c r="N2" s="5">
        <v>1</v>
      </c>
      <c r="O2" s="80" t="s">
        <v>1286</v>
      </c>
      <c r="P2" s="73" t="s">
        <v>979</v>
      </c>
      <c r="Q2" s="5">
        <v>1</v>
      </c>
      <c r="R2" s="5">
        <v>1</v>
      </c>
      <c r="S2" s="5">
        <v>1</v>
      </c>
      <c r="T2" s="5">
        <v>1</v>
      </c>
      <c r="U2" s="5">
        <v>1</v>
      </c>
      <c r="V2" s="2">
        <v>2</v>
      </c>
      <c r="W2" s="73" t="s">
        <v>904</v>
      </c>
      <c r="X2" s="5">
        <v>1</v>
      </c>
      <c r="Y2" s="5">
        <v>1</v>
      </c>
      <c r="Z2" s="5">
        <v>1</v>
      </c>
      <c r="AA2" s="5">
        <v>1</v>
      </c>
      <c r="AB2" s="5">
        <v>1</v>
      </c>
      <c r="AC2" s="2">
        <v>2</v>
      </c>
      <c r="AD2" s="2"/>
      <c r="AE2" s="3" t="b">
        <f t="shared" ref="AE2:AJ6" si="1">IF($AE$1=$AK$2,AL2,IF($AE$1=$AK$3,AL7,IF($AE$1=$AK$4,AL12,IF($AE$1=$AK$5,AL17,IF($AE$1=$AK$6,AL22,IF($AE$1=$AK$7,AL27,IF($AE$1=$AK$8,AL32,IF($AE$1=$AK$9,AL37,IF($AE$1=$AK$10,AL42,IF($AE$1=$AK$11,AL47,IF($AE$1=$AK$12,AS2,IF($AE$1=$AK$13,AS7,IF($AE$1=$AK$14,AS12,IF($AE$1=$AK$15,AS17,IF($AE$1=$AK$16,AS22,IF($AE$1=$AK$17,AS27,IF($AE$1=$AK$18,AS32,IF($AE$1=$AK$19,AS37,IF($AE$1=$AK$20,AS42,IF($AE$1=$AK$21,AS47,IF($AE$1=$AK$21,AS52,IF($AE$1=$AK$22,AZ2,IF($AE$1=$AK$23,AZ7,IF($AE$1=$AK$24,AZ12,IF($AE$1=$AK$25,AZ17,IF($AE$1=$AK$26,AZ22,IF($AE$1=$AK$27,AZ27,IF($AE$1=$AK$28,AZ32,IF($AE$1=$AK$29,AZ37,IF($AE$1=$AK$30,AZ42,IF($AE$1=$AK$31,AZ47)))))))))))))))))))))))))))))))</f>
        <v>0</v>
      </c>
      <c r="AF2" s="3" t="b">
        <f t="shared" si="1"/>
        <v>0</v>
      </c>
      <c r="AG2" s="3" t="b">
        <f t="shared" si="1"/>
        <v>0</v>
      </c>
      <c r="AH2" s="3" t="b">
        <f t="shared" si="1"/>
        <v>0</v>
      </c>
      <c r="AI2" s="3" t="b">
        <f t="shared" si="1"/>
        <v>0</v>
      </c>
      <c r="AJ2" s="3" t="b">
        <f t="shared" si="1"/>
        <v>0</v>
      </c>
      <c r="AK2" s="4" t="str">
        <f>AL2</f>
        <v>31 one</v>
      </c>
      <c r="AL2" s="73" t="s">
        <v>900</v>
      </c>
      <c r="AM2" s="5">
        <v>1</v>
      </c>
      <c r="AN2" s="5">
        <v>1</v>
      </c>
      <c r="AO2" s="5">
        <v>1</v>
      </c>
      <c r="AP2" s="5">
        <v>1</v>
      </c>
      <c r="AQ2" s="5">
        <v>1</v>
      </c>
      <c r="AR2" s="2">
        <v>2</v>
      </c>
      <c r="AS2" s="17" t="s">
        <v>785</v>
      </c>
      <c r="AT2" s="18">
        <v>1</v>
      </c>
      <c r="AU2" s="18">
        <v>1</v>
      </c>
      <c r="AV2" s="18">
        <v>1</v>
      </c>
      <c r="AW2" s="18">
        <v>1</v>
      </c>
      <c r="AX2" s="18">
        <v>1</v>
      </c>
      <c r="AY2" s="29"/>
      <c r="AZ2" s="17" t="s">
        <v>51</v>
      </c>
      <c r="BA2" s="5">
        <v>1</v>
      </c>
      <c r="BB2" s="5">
        <v>1</v>
      </c>
      <c r="BC2" s="5">
        <v>1</v>
      </c>
      <c r="BD2" s="5">
        <v>1</v>
      </c>
      <c r="BE2" s="5">
        <v>1</v>
      </c>
    </row>
    <row r="3" spans="1:57" ht="14.25" hidden="1" customHeight="1">
      <c r="A3" s="3" t="str">
        <f t="shared" ref="A3:F6" si="2">IF($A$1=$H$2,I3,IF($A$1=$H$3,I8,IF($A$1=$H$4,I13,IF($A$1=$H$5,I18,IF($A$1=$H$6,I23,IF($A$1=$H$7,I28,IF($A$1=$H$8,I33,IF($A$1=$H$9,I38,IF($A$1=$H$10,I43,IF($A$1=$H$11,I48,IF($A$1=$H$12,P3,IF($A$1=$H$13,P8,IF($A$1=$H$14,P13,IF($A$1=$H$15,P18,IF($A$1=$H$16,P23,IF($A$1=$H$17,P28,IF($A$1=$H$18,P33,IF($A$1=$H$19,P38,IF($A$1=$H$20,P43,IF($A$1=$H$21,P48,IF($A$1=$H$21,P53,IF($A$1=$H$22,W3,IF($A$1=$H$23,W8,IF($A$1=$H$24,W13,IF($A$1=$H$25,W18,IF($A$1=$H$26,W23,IF($A$1=$H$27,W28,IF($A$1=$H$28,W33,IF($A$1=$H$29,W38,IF($A$1=$H$30,W43,IF($A$1=$H$31,W48)))))))))))))))))))))))))))))))</f>
        <v>ਰਮਨਦੀਪ</v>
      </c>
      <c r="B3" s="3" t="str">
        <f t="shared" si="2"/>
        <v>ਅਸ਼ਨਾ ਰਾਣੀ</v>
      </c>
      <c r="C3" s="3">
        <f t="shared" si="2"/>
        <v>1</v>
      </c>
      <c r="D3" s="3">
        <f t="shared" si="2"/>
        <v>1</v>
      </c>
      <c r="E3" s="3">
        <f t="shared" si="2"/>
        <v>1</v>
      </c>
      <c r="F3" s="3">
        <f t="shared" si="2"/>
        <v>1</v>
      </c>
      <c r="G3" s="105"/>
      <c r="H3" s="69" t="str">
        <f>I7</f>
        <v>2 ਬੂਟਾ ਰਾਮ ਮਾਝੀ ਰਾਮ</v>
      </c>
      <c r="I3" s="5" t="s">
        <v>89</v>
      </c>
      <c r="J3" s="5" t="s">
        <v>1031</v>
      </c>
      <c r="K3" s="213" t="s">
        <v>1342</v>
      </c>
      <c r="L3" s="213" t="s">
        <v>1343</v>
      </c>
      <c r="M3" s="5">
        <v>1</v>
      </c>
      <c r="N3" s="5">
        <v>1</v>
      </c>
      <c r="O3" s="5">
        <v>1</v>
      </c>
      <c r="P3" s="5">
        <v>2</v>
      </c>
      <c r="Q3" s="5">
        <v>1</v>
      </c>
      <c r="R3" s="5">
        <v>1</v>
      </c>
      <c r="S3" s="5">
        <v>1</v>
      </c>
      <c r="T3" s="5">
        <v>1</v>
      </c>
      <c r="U3" s="5">
        <v>1</v>
      </c>
      <c r="V3" s="2">
        <v>2</v>
      </c>
      <c r="W3" s="5">
        <v>2</v>
      </c>
      <c r="X3" s="5">
        <v>1</v>
      </c>
      <c r="Y3" s="5">
        <v>1</v>
      </c>
      <c r="Z3" s="5">
        <v>1</v>
      </c>
      <c r="AA3" s="5">
        <v>1</v>
      </c>
      <c r="AB3" s="5">
        <v>1</v>
      </c>
      <c r="AC3" s="2">
        <v>2</v>
      </c>
      <c r="AD3" s="2"/>
      <c r="AE3" s="3" t="b">
        <f t="shared" si="1"/>
        <v>0</v>
      </c>
      <c r="AF3" s="3" t="b">
        <f t="shared" si="1"/>
        <v>0</v>
      </c>
      <c r="AG3" s="3" t="b">
        <f t="shared" si="1"/>
        <v>0</v>
      </c>
      <c r="AH3" s="3" t="b">
        <f t="shared" si="1"/>
        <v>0</v>
      </c>
      <c r="AI3" s="3" t="b">
        <f t="shared" si="1"/>
        <v>0</v>
      </c>
      <c r="AJ3" s="3" t="b">
        <f t="shared" si="1"/>
        <v>0</v>
      </c>
      <c r="AK3" s="4" t="str">
        <f>AL7</f>
        <v>32 two</v>
      </c>
      <c r="AL3" s="5">
        <v>2</v>
      </c>
      <c r="AM3" s="5">
        <v>1</v>
      </c>
      <c r="AN3" s="5">
        <v>1</v>
      </c>
      <c r="AO3" s="5">
        <v>1</v>
      </c>
      <c r="AP3" s="5">
        <v>1</v>
      </c>
      <c r="AQ3" s="5">
        <v>1</v>
      </c>
      <c r="AR3" s="2">
        <v>2</v>
      </c>
      <c r="AS3" s="18">
        <v>2</v>
      </c>
      <c r="AT3" s="18">
        <v>1</v>
      </c>
      <c r="AU3" s="18">
        <v>1</v>
      </c>
      <c r="AV3" s="18">
        <v>1</v>
      </c>
      <c r="AW3" s="18">
        <v>1</v>
      </c>
      <c r="AX3" s="18">
        <v>1</v>
      </c>
      <c r="AY3" s="29"/>
      <c r="AZ3" s="18">
        <v>2</v>
      </c>
      <c r="BA3" s="5">
        <v>1</v>
      </c>
      <c r="BB3" s="5">
        <v>1</v>
      </c>
      <c r="BC3" s="5">
        <v>1</v>
      </c>
      <c r="BD3" s="5">
        <v>1</v>
      </c>
      <c r="BE3" s="5">
        <v>1</v>
      </c>
    </row>
    <row r="4" spans="1:57" ht="14.25" hidden="1" customHeight="1">
      <c r="A4" s="3">
        <f t="shared" si="2"/>
        <v>48</v>
      </c>
      <c r="B4" s="3">
        <f t="shared" si="2"/>
        <v>1</v>
      </c>
      <c r="C4" s="3">
        <f t="shared" si="2"/>
        <v>1</v>
      </c>
      <c r="D4" s="3">
        <f t="shared" si="2"/>
        <v>1</v>
      </c>
      <c r="E4" s="3">
        <f t="shared" si="2"/>
        <v>1</v>
      </c>
      <c r="F4" s="3">
        <f t="shared" si="2"/>
        <v>1</v>
      </c>
      <c r="G4" s="105"/>
      <c r="H4" s="69" t="str">
        <f>I12</f>
        <v>3 ਹੀਰਾ ਲਾਲ</v>
      </c>
      <c r="I4" s="5" t="s">
        <v>604</v>
      </c>
      <c r="J4" s="213" t="s">
        <v>704</v>
      </c>
      <c r="K4" s="5">
        <v>1</v>
      </c>
      <c r="L4" s="5">
        <v>1</v>
      </c>
      <c r="M4" s="5">
        <v>1</v>
      </c>
      <c r="N4" s="5">
        <v>1</v>
      </c>
      <c r="O4" s="5">
        <v>1</v>
      </c>
      <c r="P4" s="5">
        <v>3</v>
      </c>
      <c r="Q4" s="5">
        <v>1</v>
      </c>
      <c r="R4" s="5">
        <v>1</v>
      </c>
      <c r="S4" s="5">
        <v>1</v>
      </c>
      <c r="T4" s="5">
        <v>1</v>
      </c>
      <c r="U4" s="5">
        <v>1</v>
      </c>
      <c r="V4" s="2">
        <v>2</v>
      </c>
      <c r="W4" s="5">
        <v>3</v>
      </c>
      <c r="X4" s="5">
        <v>1</v>
      </c>
      <c r="Y4" s="5">
        <v>1</v>
      </c>
      <c r="Z4" s="5">
        <v>1</v>
      </c>
      <c r="AA4" s="5">
        <v>1</v>
      </c>
      <c r="AB4" s="5">
        <v>1</v>
      </c>
      <c r="AC4" s="2">
        <v>2</v>
      </c>
      <c r="AD4" s="2"/>
      <c r="AE4" s="3" t="b">
        <f t="shared" si="1"/>
        <v>0</v>
      </c>
      <c r="AF4" s="3" t="b">
        <f t="shared" si="1"/>
        <v>0</v>
      </c>
      <c r="AG4" s="3" t="b">
        <f t="shared" si="1"/>
        <v>0</v>
      </c>
      <c r="AH4" s="3" t="b">
        <f t="shared" si="1"/>
        <v>0</v>
      </c>
      <c r="AI4" s="3" t="b">
        <f t="shared" si="1"/>
        <v>0</v>
      </c>
      <c r="AJ4" s="3" t="b">
        <f t="shared" si="1"/>
        <v>0</v>
      </c>
      <c r="AK4" s="4" t="str">
        <f>AL12</f>
        <v>33 three</v>
      </c>
      <c r="AL4" s="5">
        <v>3</v>
      </c>
      <c r="AM4" s="5">
        <v>1</v>
      </c>
      <c r="AN4" s="5">
        <v>1</v>
      </c>
      <c r="AO4" s="5">
        <v>1</v>
      </c>
      <c r="AP4" s="5">
        <v>1</v>
      </c>
      <c r="AQ4" s="5">
        <v>1</v>
      </c>
      <c r="AR4" s="2">
        <v>2</v>
      </c>
      <c r="AS4" s="18">
        <v>3</v>
      </c>
      <c r="AT4" s="18">
        <v>1</v>
      </c>
      <c r="AU4" s="18">
        <v>1</v>
      </c>
      <c r="AV4" s="18">
        <v>1</v>
      </c>
      <c r="AW4" s="18">
        <v>1</v>
      </c>
      <c r="AX4" s="18">
        <v>1</v>
      </c>
      <c r="AY4" s="29"/>
      <c r="AZ4" s="18">
        <v>3</v>
      </c>
      <c r="BA4" s="5">
        <v>1</v>
      </c>
      <c r="BB4" s="5">
        <v>1</v>
      </c>
      <c r="BC4" s="5">
        <v>1</v>
      </c>
      <c r="BD4" s="5">
        <v>1</v>
      </c>
      <c r="BE4" s="5">
        <v>1</v>
      </c>
    </row>
    <row r="5" spans="1:57" ht="14.25" hidden="1" customHeight="1">
      <c r="A5" s="3">
        <f t="shared" si="2"/>
        <v>49</v>
      </c>
      <c r="B5" s="3">
        <f t="shared" si="2"/>
        <v>1</v>
      </c>
      <c r="C5" s="3">
        <f t="shared" si="2"/>
        <v>1</v>
      </c>
      <c r="D5" s="3">
        <f t="shared" si="2"/>
        <v>1</v>
      </c>
      <c r="E5" s="3">
        <f t="shared" si="2"/>
        <v>1</v>
      </c>
      <c r="F5" s="3">
        <f t="shared" si="2"/>
        <v>1</v>
      </c>
      <c r="G5" s="105"/>
      <c r="H5" s="69" t="str">
        <f>I17</f>
        <v>4 ਸੇਰ ਚੰਦ ਰਾਜੂ ਰਾਮ</v>
      </c>
      <c r="I5" s="5">
        <v>4</v>
      </c>
      <c r="J5" s="5">
        <v>1</v>
      </c>
      <c r="K5" s="5">
        <v>1</v>
      </c>
      <c r="L5" s="5">
        <v>1</v>
      </c>
      <c r="M5" s="5">
        <v>1</v>
      </c>
      <c r="N5" s="5">
        <v>1</v>
      </c>
      <c r="O5" s="5">
        <v>1</v>
      </c>
      <c r="P5" s="5">
        <v>4</v>
      </c>
      <c r="Q5" s="5">
        <v>1</v>
      </c>
      <c r="R5" s="5">
        <v>1</v>
      </c>
      <c r="S5" s="5">
        <v>1</v>
      </c>
      <c r="T5" s="5">
        <v>1</v>
      </c>
      <c r="U5" s="5">
        <v>1</v>
      </c>
      <c r="V5" s="2">
        <v>2</v>
      </c>
      <c r="W5" s="5">
        <v>4</v>
      </c>
      <c r="X5" s="5">
        <v>1</v>
      </c>
      <c r="Y5" s="5">
        <v>1</v>
      </c>
      <c r="Z5" s="5">
        <v>1</v>
      </c>
      <c r="AA5" s="5">
        <v>1</v>
      </c>
      <c r="AB5" s="5">
        <v>1</v>
      </c>
      <c r="AC5" s="2">
        <v>2</v>
      </c>
      <c r="AD5" s="2"/>
      <c r="AE5" s="3" t="b">
        <f t="shared" si="1"/>
        <v>0</v>
      </c>
      <c r="AF5" s="3" t="b">
        <f t="shared" si="1"/>
        <v>0</v>
      </c>
      <c r="AG5" s="3" t="b">
        <f t="shared" si="1"/>
        <v>0</v>
      </c>
      <c r="AH5" s="3" t="b">
        <f t="shared" si="1"/>
        <v>0</v>
      </c>
      <c r="AI5" s="3" t="b">
        <f t="shared" si="1"/>
        <v>0</v>
      </c>
      <c r="AJ5" s="3" t="b">
        <f t="shared" si="1"/>
        <v>0</v>
      </c>
      <c r="AK5" s="4" t="str">
        <f>AL17</f>
        <v>34 four</v>
      </c>
      <c r="AL5" s="5">
        <v>4</v>
      </c>
      <c r="AM5" s="5">
        <v>1</v>
      </c>
      <c r="AN5" s="5">
        <v>1</v>
      </c>
      <c r="AO5" s="5">
        <v>1</v>
      </c>
      <c r="AP5" s="5">
        <v>1</v>
      </c>
      <c r="AQ5" s="5">
        <v>1</v>
      </c>
      <c r="AR5" s="2">
        <v>2</v>
      </c>
      <c r="AS5" s="18">
        <v>4</v>
      </c>
      <c r="AT5" s="18">
        <v>1</v>
      </c>
      <c r="AU5" s="18">
        <v>1</v>
      </c>
      <c r="AV5" s="18">
        <v>1</v>
      </c>
      <c r="AW5" s="18">
        <v>1</v>
      </c>
      <c r="AX5" s="18">
        <v>1</v>
      </c>
      <c r="AY5" s="29"/>
      <c r="AZ5" s="18">
        <v>4</v>
      </c>
      <c r="BA5" s="5">
        <v>1</v>
      </c>
      <c r="BB5" s="5">
        <v>1</v>
      </c>
      <c r="BC5" s="5">
        <v>1</v>
      </c>
      <c r="BD5" s="5">
        <v>1</v>
      </c>
      <c r="BE5" s="5">
        <v>1</v>
      </c>
    </row>
    <row r="6" spans="1:57" ht="14.25" hidden="1" customHeight="1">
      <c r="A6" s="3">
        <f t="shared" si="2"/>
        <v>50</v>
      </c>
      <c r="B6" s="3">
        <f t="shared" si="2"/>
        <v>1</v>
      </c>
      <c r="C6" s="3">
        <f t="shared" si="2"/>
        <v>1</v>
      </c>
      <c r="D6" s="3">
        <f t="shared" si="2"/>
        <v>1</v>
      </c>
      <c r="E6" s="3">
        <f t="shared" si="2"/>
        <v>1</v>
      </c>
      <c r="F6" s="3">
        <f t="shared" si="2"/>
        <v>1</v>
      </c>
      <c r="G6" s="105"/>
      <c r="H6" s="69" t="str">
        <f>I22</f>
        <v>5 ਹਰੀ ਚੰਦ ਸੂਬਾ ਰਾਮ</v>
      </c>
      <c r="I6" s="5">
        <v>5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5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2">
        <v>2</v>
      </c>
      <c r="W6" s="5">
        <v>5</v>
      </c>
      <c r="X6" s="5">
        <v>1</v>
      </c>
      <c r="Y6" s="5">
        <v>1</v>
      </c>
      <c r="Z6" s="5">
        <v>1</v>
      </c>
      <c r="AA6" s="5">
        <v>1</v>
      </c>
      <c r="AB6" s="5">
        <v>1</v>
      </c>
      <c r="AC6" s="2">
        <v>2</v>
      </c>
      <c r="AD6" s="2"/>
      <c r="AE6" s="3" t="b">
        <f t="shared" si="1"/>
        <v>0</v>
      </c>
      <c r="AF6" s="3" t="b">
        <f t="shared" si="1"/>
        <v>0</v>
      </c>
      <c r="AG6" s="3" t="b">
        <f t="shared" si="1"/>
        <v>0</v>
      </c>
      <c r="AH6" s="3" t="b">
        <f t="shared" si="1"/>
        <v>0</v>
      </c>
      <c r="AI6" s="3" t="b">
        <f t="shared" si="1"/>
        <v>0</v>
      </c>
      <c r="AJ6" s="3" t="b">
        <f t="shared" si="1"/>
        <v>0</v>
      </c>
      <c r="AK6" s="4" t="str">
        <f>AL22</f>
        <v>35 five</v>
      </c>
      <c r="AL6" s="5">
        <v>5</v>
      </c>
      <c r="AM6" s="5">
        <v>1</v>
      </c>
      <c r="AN6" s="5">
        <v>1</v>
      </c>
      <c r="AO6" s="5">
        <v>1</v>
      </c>
      <c r="AP6" s="5">
        <v>1</v>
      </c>
      <c r="AQ6" s="5">
        <v>1</v>
      </c>
      <c r="AR6" s="2">
        <v>2</v>
      </c>
      <c r="AS6" s="18">
        <v>5</v>
      </c>
      <c r="AT6" s="18">
        <v>1</v>
      </c>
      <c r="AU6" s="18">
        <v>1</v>
      </c>
      <c r="AV6" s="18">
        <v>1</v>
      </c>
      <c r="AW6" s="18">
        <v>1</v>
      </c>
      <c r="AX6" s="18">
        <v>1</v>
      </c>
      <c r="AY6" s="29"/>
      <c r="AZ6" s="18">
        <v>5</v>
      </c>
      <c r="BA6" s="5">
        <v>1</v>
      </c>
      <c r="BB6" s="5">
        <v>1</v>
      </c>
      <c r="BC6" s="5">
        <v>1</v>
      </c>
      <c r="BD6" s="5">
        <v>1</v>
      </c>
      <c r="BE6" s="5">
        <v>1</v>
      </c>
    </row>
    <row r="7" spans="1:57" ht="14.25" hidden="1" customHeight="1">
      <c r="A7" s="6"/>
      <c r="B7" s="6"/>
      <c r="C7" s="6"/>
      <c r="D7" s="6"/>
      <c r="E7" s="6"/>
      <c r="F7" s="6"/>
      <c r="G7" s="106"/>
      <c r="H7" s="69" t="str">
        <f>I27</f>
        <v>6 ਰੂਪ ਲਾਲ ਸੂਬਾ ਰਾਮ</v>
      </c>
      <c r="I7" s="73" t="s">
        <v>1043</v>
      </c>
      <c r="J7" s="5" t="s">
        <v>1047</v>
      </c>
      <c r="K7" s="5">
        <v>1</v>
      </c>
      <c r="L7" s="5">
        <v>1</v>
      </c>
      <c r="M7" s="5">
        <v>1</v>
      </c>
      <c r="N7" s="5">
        <v>1</v>
      </c>
      <c r="O7" s="80" t="s">
        <v>1287</v>
      </c>
      <c r="P7" s="73" t="s">
        <v>985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2">
        <v>2</v>
      </c>
      <c r="W7" s="73" t="s">
        <v>986</v>
      </c>
      <c r="X7" s="5">
        <v>1</v>
      </c>
      <c r="Y7" s="5">
        <v>1</v>
      </c>
      <c r="Z7" s="5">
        <v>1</v>
      </c>
      <c r="AA7" s="5">
        <v>1</v>
      </c>
      <c r="AB7" s="5">
        <v>1</v>
      </c>
      <c r="AC7" s="2">
        <v>2</v>
      </c>
      <c r="AD7" s="2"/>
      <c r="AE7" s="6"/>
      <c r="AF7" s="6"/>
      <c r="AG7" s="6"/>
      <c r="AH7" s="6"/>
      <c r="AI7" s="6"/>
      <c r="AJ7" s="6"/>
      <c r="AK7" s="4" t="str">
        <f>AL27</f>
        <v>36 six</v>
      </c>
      <c r="AL7" s="73" t="s">
        <v>907</v>
      </c>
      <c r="AM7" s="5">
        <v>1</v>
      </c>
      <c r="AN7" s="5">
        <v>1</v>
      </c>
      <c r="AO7" s="5">
        <v>1</v>
      </c>
      <c r="AP7" s="5">
        <v>1</v>
      </c>
      <c r="AQ7" s="5">
        <v>1</v>
      </c>
      <c r="AR7" s="2">
        <v>2</v>
      </c>
      <c r="AS7" s="17" t="s">
        <v>680</v>
      </c>
      <c r="AT7" s="18">
        <v>1</v>
      </c>
      <c r="AU7" s="18">
        <v>1</v>
      </c>
      <c r="AV7" s="18">
        <v>1</v>
      </c>
      <c r="AW7" s="18">
        <v>1</v>
      </c>
      <c r="AX7" s="18">
        <v>1</v>
      </c>
      <c r="AY7" s="29"/>
      <c r="AZ7" s="17" t="s">
        <v>85</v>
      </c>
      <c r="BA7" s="5">
        <v>1</v>
      </c>
      <c r="BB7" s="5">
        <v>1</v>
      </c>
      <c r="BC7" s="5">
        <v>1</v>
      </c>
      <c r="BD7" s="5">
        <v>1</v>
      </c>
      <c r="BE7" s="5">
        <v>1</v>
      </c>
    </row>
    <row r="8" spans="1:57" ht="14.25" hidden="1" customHeight="1">
      <c r="A8" s="6"/>
      <c r="B8" s="6"/>
      <c r="C8" s="6"/>
      <c r="D8" s="6"/>
      <c r="E8" s="6"/>
      <c r="F8" s="6"/>
      <c r="G8" s="106"/>
      <c r="H8" s="69" t="str">
        <f>I32</f>
        <v>7 ਲਛਮਣ ਰਾਮ ਸੂਬਾ ਰਾਮ</v>
      </c>
      <c r="I8" s="5" t="s">
        <v>274</v>
      </c>
      <c r="J8" s="5" t="s">
        <v>94</v>
      </c>
      <c r="K8" s="5" t="s">
        <v>1049</v>
      </c>
      <c r="L8" s="5" t="s">
        <v>295</v>
      </c>
      <c r="M8" s="5" t="s">
        <v>181</v>
      </c>
      <c r="N8" s="5">
        <v>1</v>
      </c>
      <c r="O8" s="5">
        <v>1</v>
      </c>
      <c r="P8" s="5">
        <v>7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2">
        <v>2</v>
      </c>
      <c r="W8" s="5">
        <v>7</v>
      </c>
      <c r="X8" s="5">
        <v>1</v>
      </c>
      <c r="Y8" s="5">
        <v>1</v>
      </c>
      <c r="Z8" s="5">
        <v>1</v>
      </c>
      <c r="AA8" s="5">
        <v>1</v>
      </c>
      <c r="AB8" s="5">
        <v>1</v>
      </c>
      <c r="AC8" s="2">
        <v>2</v>
      </c>
      <c r="AD8" s="2"/>
      <c r="AE8" s="6"/>
      <c r="AF8" s="6"/>
      <c r="AG8" s="6"/>
      <c r="AH8" s="6"/>
      <c r="AI8" s="6"/>
      <c r="AJ8" s="6"/>
      <c r="AK8" s="4" t="str">
        <f>AL32</f>
        <v>37 seven</v>
      </c>
      <c r="AL8" s="5">
        <v>7</v>
      </c>
      <c r="AM8" s="5">
        <v>1</v>
      </c>
      <c r="AN8" s="5">
        <v>1</v>
      </c>
      <c r="AO8" s="5">
        <v>1</v>
      </c>
      <c r="AP8" s="5">
        <v>1</v>
      </c>
      <c r="AQ8" s="5">
        <v>1</v>
      </c>
      <c r="AR8" s="2">
        <v>2</v>
      </c>
      <c r="AS8" s="18">
        <v>7</v>
      </c>
      <c r="AT8" s="18">
        <v>1</v>
      </c>
      <c r="AU8" s="18">
        <v>1</v>
      </c>
      <c r="AV8" s="18">
        <v>1</v>
      </c>
      <c r="AW8" s="18">
        <v>1</v>
      </c>
      <c r="AX8" s="18">
        <v>1</v>
      </c>
      <c r="AY8" s="29"/>
      <c r="AZ8" s="18">
        <v>7</v>
      </c>
      <c r="BA8" s="5">
        <v>1</v>
      </c>
      <c r="BB8" s="5">
        <v>1</v>
      </c>
      <c r="BC8" s="5">
        <v>1</v>
      </c>
      <c r="BD8" s="5">
        <v>1</v>
      </c>
      <c r="BE8" s="5">
        <v>1</v>
      </c>
    </row>
    <row r="9" spans="1:57" ht="14.25" hidden="1" customHeight="1">
      <c r="A9" s="6"/>
      <c r="B9" s="6"/>
      <c r="C9" s="6"/>
      <c r="D9" s="6"/>
      <c r="E9" s="6"/>
      <c r="F9" s="6"/>
      <c r="G9" s="106"/>
      <c r="H9" s="69" t="str">
        <f>I37</f>
        <v>8 ਲੇਖ ਰਾਜ ਸੂਬਾ ਰਾਮ</v>
      </c>
      <c r="I9" s="5" t="s">
        <v>194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8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2">
        <v>2</v>
      </c>
      <c r="W9" s="5">
        <v>8</v>
      </c>
      <c r="X9" s="5">
        <v>1</v>
      </c>
      <c r="Y9" s="5">
        <v>1</v>
      </c>
      <c r="Z9" s="5">
        <v>1</v>
      </c>
      <c r="AA9" s="5">
        <v>1</v>
      </c>
      <c r="AB9" s="5">
        <v>1</v>
      </c>
      <c r="AC9" s="2">
        <v>2</v>
      </c>
      <c r="AD9" s="2"/>
      <c r="AE9" s="6"/>
      <c r="AF9" s="6"/>
      <c r="AG9" s="6"/>
      <c r="AH9" s="6"/>
      <c r="AI9" s="6"/>
      <c r="AJ9" s="6"/>
      <c r="AK9" s="4" t="str">
        <f>AL37</f>
        <v>38 eight</v>
      </c>
      <c r="AL9" s="5">
        <v>8</v>
      </c>
      <c r="AM9" s="5">
        <v>1</v>
      </c>
      <c r="AN9" s="5">
        <v>1</v>
      </c>
      <c r="AO9" s="5">
        <v>1</v>
      </c>
      <c r="AP9" s="5">
        <v>1</v>
      </c>
      <c r="AQ9" s="5">
        <v>1</v>
      </c>
      <c r="AR9" s="2">
        <v>2</v>
      </c>
      <c r="AS9" s="18">
        <v>8</v>
      </c>
      <c r="AT9" s="18">
        <v>1</v>
      </c>
      <c r="AU9" s="18">
        <v>1</v>
      </c>
      <c r="AV9" s="18">
        <v>1</v>
      </c>
      <c r="AW9" s="18">
        <v>1</v>
      </c>
      <c r="AX9" s="18">
        <v>1</v>
      </c>
      <c r="AY9" s="29"/>
      <c r="AZ9" s="18">
        <v>8</v>
      </c>
      <c r="BA9" s="5">
        <v>1</v>
      </c>
      <c r="BB9" s="5">
        <v>1</v>
      </c>
      <c r="BC9" s="5">
        <v>1</v>
      </c>
      <c r="BD9" s="5">
        <v>1</v>
      </c>
      <c r="BE9" s="5">
        <v>1</v>
      </c>
    </row>
    <row r="10" spans="1:57" ht="14.25" customHeight="1">
      <c r="A10" s="6"/>
      <c r="B10" s="6"/>
      <c r="C10" s="6"/>
      <c r="D10" s="6"/>
      <c r="E10" s="6"/>
      <c r="F10" s="6"/>
      <c r="G10" s="106"/>
      <c r="H10" s="69" t="str">
        <f>I42</f>
        <v>9 ਬੂਟਾ ਰਾਮ ਸੂਬਾ ਰਾਮ</v>
      </c>
      <c r="I10" s="5" t="s">
        <v>81</v>
      </c>
      <c r="J10" s="5" t="s">
        <v>197</v>
      </c>
      <c r="K10" s="213" t="s">
        <v>1386</v>
      </c>
      <c r="L10" s="5">
        <v>1</v>
      </c>
      <c r="M10" s="5">
        <v>1</v>
      </c>
      <c r="N10" s="5">
        <v>1</v>
      </c>
      <c r="O10" s="5">
        <v>1</v>
      </c>
      <c r="P10" s="5">
        <v>9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2">
        <v>2</v>
      </c>
      <c r="W10" s="5">
        <v>9</v>
      </c>
      <c r="X10" s="5">
        <v>1</v>
      </c>
      <c r="Y10" s="5">
        <v>1</v>
      </c>
      <c r="Z10" s="5">
        <v>1</v>
      </c>
      <c r="AA10" s="5">
        <v>1</v>
      </c>
      <c r="AB10" s="5">
        <v>1</v>
      </c>
      <c r="AC10" s="2">
        <v>2</v>
      </c>
      <c r="AD10" s="2"/>
      <c r="AE10" s="6"/>
      <c r="AF10" s="6"/>
      <c r="AG10" s="6"/>
      <c r="AH10" s="6"/>
      <c r="AI10" s="6"/>
      <c r="AJ10" s="6"/>
      <c r="AK10" s="4" t="str">
        <f>AL42</f>
        <v>39 nine</v>
      </c>
      <c r="AL10" s="5">
        <v>9</v>
      </c>
      <c r="AM10" s="5">
        <v>1</v>
      </c>
      <c r="AN10" s="5">
        <v>1</v>
      </c>
      <c r="AO10" s="5">
        <v>1</v>
      </c>
      <c r="AP10" s="5">
        <v>1</v>
      </c>
      <c r="AQ10" s="5">
        <v>1</v>
      </c>
      <c r="AR10" s="2">
        <v>2</v>
      </c>
      <c r="AS10" s="18">
        <v>9</v>
      </c>
      <c r="AT10" s="18">
        <v>1</v>
      </c>
      <c r="AU10" s="18">
        <v>1</v>
      </c>
      <c r="AV10" s="18">
        <v>1</v>
      </c>
      <c r="AW10" s="18">
        <v>1</v>
      </c>
      <c r="AX10" s="18">
        <v>1</v>
      </c>
      <c r="AY10" s="29"/>
      <c r="AZ10" s="18">
        <v>9</v>
      </c>
      <c r="BA10" s="5">
        <v>1</v>
      </c>
      <c r="BB10" s="5">
        <v>1</v>
      </c>
      <c r="BC10" s="5">
        <v>1</v>
      </c>
      <c r="BD10" s="5">
        <v>1</v>
      </c>
      <c r="BE10" s="5">
        <v>1</v>
      </c>
    </row>
    <row r="11" spans="1:57" ht="14.25" customHeight="1">
      <c r="A11" s="7" t="s">
        <v>13</v>
      </c>
      <c r="B11" s="7" t="s">
        <v>14</v>
      </c>
      <c r="C11" s="7" t="s">
        <v>15</v>
      </c>
      <c r="D11" s="7" t="s">
        <v>16</v>
      </c>
      <c r="E11" s="7" t="s">
        <v>17</v>
      </c>
      <c r="F11" s="7" t="s">
        <v>18</v>
      </c>
      <c r="G11" s="107"/>
      <c r="H11" s="69" t="str">
        <f>I47</f>
        <v>34 ਬਾਗ ਚੰਦ ਚੌਕੀਦਾਰ</v>
      </c>
      <c r="I11" s="5">
        <v>10</v>
      </c>
      <c r="J11" s="213" t="s">
        <v>134</v>
      </c>
      <c r="K11" s="5">
        <v>1</v>
      </c>
      <c r="L11" s="5">
        <v>1</v>
      </c>
      <c r="M11" s="5">
        <v>1</v>
      </c>
      <c r="N11" s="5">
        <v>1</v>
      </c>
      <c r="O11" s="5">
        <v>1</v>
      </c>
      <c r="P11" s="5">
        <v>10</v>
      </c>
      <c r="Q11" s="5">
        <v>1</v>
      </c>
      <c r="R11" s="5">
        <v>1</v>
      </c>
      <c r="S11" s="5">
        <v>1</v>
      </c>
      <c r="T11" s="5">
        <v>1</v>
      </c>
      <c r="U11" s="5">
        <v>1</v>
      </c>
      <c r="V11" s="2">
        <v>2</v>
      </c>
      <c r="W11" s="5">
        <v>10</v>
      </c>
      <c r="X11" s="5">
        <v>1</v>
      </c>
      <c r="Y11" s="5">
        <v>1</v>
      </c>
      <c r="Z11" s="5">
        <v>1</v>
      </c>
      <c r="AA11" s="5">
        <v>1</v>
      </c>
      <c r="AB11" s="5">
        <v>1</v>
      </c>
      <c r="AC11" s="2">
        <v>2</v>
      </c>
      <c r="AD11" s="2"/>
      <c r="AE11" s="7" t="s">
        <v>13</v>
      </c>
      <c r="AF11" s="7" t="s">
        <v>14</v>
      </c>
      <c r="AG11" s="7" t="s">
        <v>15</v>
      </c>
      <c r="AH11" s="7" t="s">
        <v>16</v>
      </c>
      <c r="AI11" s="7" t="s">
        <v>17</v>
      </c>
      <c r="AJ11" s="7" t="s">
        <v>18</v>
      </c>
      <c r="AK11" s="4" t="str">
        <f>AL47</f>
        <v>40 ten</v>
      </c>
      <c r="AL11" s="5">
        <v>10</v>
      </c>
      <c r="AM11" s="5">
        <v>1</v>
      </c>
      <c r="AN11" s="5">
        <v>1</v>
      </c>
      <c r="AO11" s="5">
        <v>1</v>
      </c>
      <c r="AP11" s="5">
        <v>1</v>
      </c>
      <c r="AQ11" s="5">
        <v>1</v>
      </c>
      <c r="AR11" s="2">
        <v>2</v>
      </c>
      <c r="AS11" s="18">
        <v>10</v>
      </c>
      <c r="AT11" s="18">
        <v>1</v>
      </c>
      <c r="AU11" s="18">
        <v>1</v>
      </c>
      <c r="AV11" s="18">
        <v>1</v>
      </c>
      <c r="AW11" s="18">
        <v>1</v>
      </c>
      <c r="AX11" s="18">
        <v>1</v>
      </c>
      <c r="AY11" s="29"/>
      <c r="AZ11" s="18">
        <v>10</v>
      </c>
      <c r="BA11" s="5">
        <v>1</v>
      </c>
      <c r="BB11" s="5">
        <v>1</v>
      </c>
      <c r="BC11" s="5">
        <v>1</v>
      </c>
      <c r="BD11" s="5">
        <v>1</v>
      </c>
      <c r="BE11" s="5">
        <v>1</v>
      </c>
    </row>
    <row r="12" spans="1:57" ht="14.25" customHeight="1">
      <c r="A12" s="8" t="str">
        <f t="shared" ref="A12:F16" si="3">IF(A2&lt;100,"",A2)</f>
        <v>34 ਬਾਗ ਚੰਦ ਚੌਕੀਦਾਰ</v>
      </c>
      <c r="B12" s="8" t="str">
        <f t="shared" si="3"/>
        <v>ਸ਼ੀਲਾ ਰਾਣੀ</v>
      </c>
      <c r="C12" s="8" t="str">
        <f t="shared" si="3"/>
        <v>ਕੈਲਾਸ਼ ਰਾਣੀ</v>
      </c>
      <c r="D12" s="8" t="str">
        <f t="shared" si="3"/>
        <v>ਵੀਨਾ ਰਾਣੀ</v>
      </c>
      <c r="E12" s="8" t="str">
        <f t="shared" si="3"/>
        <v>ਪਵਨ ਕੰਬੋਜ</v>
      </c>
      <c r="F12" s="8" t="str">
        <f t="shared" si="3"/>
        <v/>
      </c>
      <c r="G12" s="107"/>
      <c r="H12" s="69" t="str">
        <f>P2</f>
        <v>11 eleven</v>
      </c>
      <c r="I12" s="73" t="s">
        <v>794</v>
      </c>
      <c r="J12" s="5">
        <v>1</v>
      </c>
      <c r="K12" s="5">
        <v>1</v>
      </c>
      <c r="L12" s="5">
        <v>1</v>
      </c>
      <c r="M12" s="5">
        <v>1</v>
      </c>
      <c r="N12" s="5">
        <v>1</v>
      </c>
      <c r="O12" s="80" t="s">
        <v>1288</v>
      </c>
      <c r="P12" s="73" t="s">
        <v>993</v>
      </c>
      <c r="Q12" s="5">
        <v>1</v>
      </c>
      <c r="R12" s="5">
        <v>1</v>
      </c>
      <c r="S12" s="5">
        <v>1</v>
      </c>
      <c r="T12" s="5">
        <v>1</v>
      </c>
      <c r="U12" s="5">
        <v>1</v>
      </c>
      <c r="V12" s="2">
        <v>2</v>
      </c>
      <c r="W12" s="73" t="s">
        <v>994</v>
      </c>
      <c r="X12" s="5">
        <v>1</v>
      </c>
      <c r="Y12" s="5">
        <v>1</v>
      </c>
      <c r="Z12" s="5">
        <v>1</v>
      </c>
      <c r="AA12" s="5">
        <v>1</v>
      </c>
      <c r="AB12" s="5">
        <v>1</v>
      </c>
      <c r="AC12" s="2">
        <v>2</v>
      </c>
      <c r="AD12" s="2"/>
      <c r="AE12" s="8" t="b">
        <f t="shared" ref="AE12:AJ16" si="4">IF(AE2&lt;100,"",AE2)</f>
        <v>0</v>
      </c>
      <c r="AF12" s="8" t="b">
        <f t="shared" si="4"/>
        <v>0</v>
      </c>
      <c r="AG12" s="8" t="b">
        <f t="shared" si="4"/>
        <v>0</v>
      </c>
      <c r="AH12" s="8" t="b">
        <f t="shared" si="4"/>
        <v>0</v>
      </c>
      <c r="AI12" s="8" t="b">
        <f t="shared" si="4"/>
        <v>0</v>
      </c>
      <c r="AJ12" s="8" t="b">
        <f t="shared" si="4"/>
        <v>0</v>
      </c>
      <c r="AK12" s="4" t="str">
        <f>AS2</f>
        <v>41 eleven</v>
      </c>
      <c r="AL12" s="73" t="s">
        <v>909</v>
      </c>
      <c r="AM12" s="5">
        <v>1</v>
      </c>
      <c r="AN12" s="5">
        <v>1</v>
      </c>
      <c r="AO12" s="5">
        <v>1</v>
      </c>
      <c r="AP12" s="5">
        <v>1</v>
      </c>
      <c r="AQ12" s="5">
        <v>1</v>
      </c>
      <c r="AR12" s="2">
        <v>2</v>
      </c>
      <c r="AS12" s="17" t="s">
        <v>698</v>
      </c>
      <c r="AT12" s="18">
        <v>1</v>
      </c>
      <c r="AU12" s="18">
        <v>1</v>
      </c>
      <c r="AV12" s="18">
        <v>1</v>
      </c>
      <c r="AW12" s="18">
        <v>1</v>
      </c>
      <c r="AX12" s="18">
        <v>1</v>
      </c>
      <c r="AY12" s="29"/>
      <c r="AZ12" s="17" t="s">
        <v>123</v>
      </c>
      <c r="BA12" s="5">
        <v>1</v>
      </c>
      <c r="BB12" s="5">
        <v>1</v>
      </c>
      <c r="BC12" s="5">
        <v>1</v>
      </c>
      <c r="BD12" s="5">
        <v>1</v>
      </c>
      <c r="BE12" s="5">
        <v>1</v>
      </c>
    </row>
    <row r="13" spans="1:57" ht="14.25" customHeight="1">
      <c r="A13" s="8" t="str">
        <f t="shared" si="3"/>
        <v>ਰਮਨਦੀਪ</v>
      </c>
      <c r="B13" s="8" t="str">
        <f t="shared" si="3"/>
        <v>ਅਸ਼ਨਾ ਰਾਣੀ</v>
      </c>
      <c r="C13" s="8" t="str">
        <f t="shared" si="3"/>
        <v/>
      </c>
      <c r="D13" s="8" t="str">
        <f t="shared" si="3"/>
        <v/>
      </c>
      <c r="E13" s="8" t="str">
        <f t="shared" si="3"/>
        <v/>
      </c>
      <c r="F13" s="8" t="str">
        <f t="shared" si="3"/>
        <v/>
      </c>
      <c r="G13" s="107"/>
      <c r="H13" s="69" t="str">
        <f>P7</f>
        <v xml:space="preserve"> 12 twelve</v>
      </c>
      <c r="I13" s="5" t="s">
        <v>112</v>
      </c>
      <c r="J13" s="5" t="s">
        <v>1052</v>
      </c>
      <c r="K13" s="5" t="s">
        <v>1053</v>
      </c>
      <c r="L13" s="5" t="s">
        <v>59</v>
      </c>
      <c r="M13" s="5">
        <v>1</v>
      </c>
      <c r="N13" s="5">
        <v>1</v>
      </c>
      <c r="O13" s="5">
        <v>1</v>
      </c>
      <c r="P13" s="5">
        <v>12</v>
      </c>
      <c r="Q13" s="5">
        <v>1</v>
      </c>
      <c r="R13" s="5">
        <v>1</v>
      </c>
      <c r="S13" s="5">
        <v>1</v>
      </c>
      <c r="T13" s="5">
        <v>1</v>
      </c>
      <c r="U13" s="5">
        <v>1</v>
      </c>
      <c r="V13" s="2">
        <v>2</v>
      </c>
      <c r="W13" s="5">
        <v>12</v>
      </c>
      <c r="X13" s="5">
        <v>1</v>
      </c>
      <c r="Y13" s="5">
        <v>1</v>
      </c>
      <c r="Z13" s="5">
        <v>1</v>
      </c>
      <c r="AA13" s="5">
        <v>1</v>
      </c>
      <c r="AB13" s="5">
        <v>1</v>
      </c>
      <c r="AC13" s="2">
        <v>2</v>
      </c>
      <c r="AD13" s="2"/>
      <c r="AE13" s="8" t="b">
        <f t="shared" si="4"/>
        <v>0</v>
      </c>
      <c r="AF13" s="8" t="b">
        <f t="shared" si="4"/>
        <v>0</v>
      </c>
      <c r="AG13" s="8" t="b">
        <f t="shared" si="4"/>
        <v>0</v>
      </c>
      <c r="AH13" s="8" t="b">
        <f t="shared" si="4"/>
        <v>0</v>
      </c>
      <c r="AI13" s="8" t="b">
        <f t="shared" si="4"/>
        <v>0</v>
      </c>
      <c r="AJ13" s="8" t="b">
        <f t="shared" si="4"/>
        <v>0</v>
      </c>
      <c r="AK13" s="4" t="str">
        <f>AS7</f>
        <v>42 twelve</v>
      </c>
      <c r="AL13" s="5">
        <v>12</v>
      </c>
      <c r="AM13" s="5">
        <v>1</v>
      </c>
      <c r="AN13" s="5">
        <v>1</v>
      </c>
      <c r="AO13" s="5">
        <v>1</v>
      </c>
      <c r="AP13" s="5">
        <v>1</v>
      </c>
      <c r="AQ13" s="5">
        <v>1</v>
      </c>
      <c r="AR13" s="2">
        <v>2</v>
      </c>
      <c r="AS13" s="18">
        <v>12</v>
      </c>
      <c r="AT13" s="18">
        <v>1</v>
      </c>
      <c r="AU13" s="18">
        <v>1</v>
      </c>
      <c r="AV13" s="18">
        <v>1</v>
      </c>
      <c r="AW13" s="18">
        <v>1</v>
      </c>
      <c r="AX13" s="18">
        <v>1</v>
      </c>
      <c r="AY13" s="29"/>
      <c r="AZ13" s="18">
        <v>12</v>
      </c>
      <c r="BA13" s="5">
        <v>1</v>
      </c>
      <c r="BB13" s="5">
        <v>1</v>
      </c>
      <c r="BC13" s="5">
        <v>1</v>
      </c>
      <c r="BD13" s="5">
        <v>1</v>
      </c>
      <c r="BE13" s="5">
        <v>1</v>
      </c>
    </row>
    <row r="14" spans="1:57" ht="14.25" customHeight="1">
      <c r="A14" s="8" t="str">
        <f t="shared" si="3"/>
        <v/>
      </c>
      <c r="B14" s="8" t="str">
        <f t="shared" si="3"/>
        <v/>
      </c>
      <c r="C14" s="8" t="str">
        <f t="shared" si="3"/>
        <v/>
      </c>
      <c r="D14" s="8" t="str">
        <f t="shared" si="3"/>
        <v/>
      </c>
      <c r="E14" s="8" t="str">
        <f t="shared" si="3"/>
        <v/>
      </c>
      <c r="F14" s="8" t="str">
        <f t="shared" si="3"/>
        <v/>
      </c>
      <c r="G14" s="107"/>
      <c r="H14" s="69" t="str">
        <f>P12</f>
        <v>13 thirteen</v>
      </c>
      <c r="I14" s="5" t="s">
        <v>89</v>
      </c>
      <c r="J14" s="5" t="s">
        <v>272</v>
      </c>
      <c r="K14" s="5">
        <v>1</v>
      </c>
      <c r="L14" s="5">
        <v>1</v>
      </c>
      <c r="M14" s="5">
        <v>1</v>
      </c>
      <c r="N14" s="5">
        <v>1</v>
      </c>
      <c r="O14" s="5">
        <v>1</v>
      </c>
      <c r="P14" s="5">
        <v>13</v>
      </c>
      <c r="Q14" s="5">
        <v>1</v>
      </c>
      <c r="R14" s="5">
        <v>1</v>
      </c>
      <c r="S14" s="5">
        <v>1</v>
      </c>
      <c r="T14" s="5">
        <v>1</v>
      </c>
      <c r="U14" s="5">
        <v>1</v>
      </c>
      <c r="V14" s="2">
        <v>2</v>
      </c>
      <c r="W14" s="5">
        <v>13</v>
      </c>
      <c r="X14" s="5">
        <v>1</v>
      </c>
      <c r="Y14" s="5">
        <v>1</v>
      </c>
      <c r="Z14" s="5">
        <v>1</v>
      </c>
      <c r="AA14" s="5">
        <v>1</v>
      </c>
      <c r="AB14" s="5">
        <v>1</v>
      </c>
      <c r="AC14" s="2">
        <v>2</v>
      </c>
      <c r="AD14" s="2"/>
      <c r="AE14" s="8" t="b">
        <f t="shared" si="4"/>
        <v>0</v>
      </c>
      <c r="AF14" s="8" t="b">
        <f t="shared" si="4"/>
        <v>0</v>
      </c>
      <c r="AG14" s="8" t="b">
        <f t="shared" si="4"/>
        <v>0</v>
      </c>
      <c r="AH14" s="8" t="b">
        <f t="shared" si="4"/>
        <v>0</v>
      </c>
      <c r="AI14" s="8" t="b">
        <f t="shared" si="4"/>
        <v>0</v>
      </c>
      <c r="AJ14" s="8" t="b">
        <f t="shared" si="4"/>
        <v>0</v>
      </c>
      <c r="AK14" s="4" t="str">
        <f>AS12</f>
        <v>43 thirteen</v>
      </c>
      <c r="AL14" s="5">
        <v>13</v>
      </c>
      <c r="AM14" s="5">
        <v>1</v>
      </c>
      <c r="AN14" s="5">
        <v>1</v>
      </c>
      <c r="AO14" s="5">
        <v>1</v>
      </c>
      <c r="AP14" s="5">
        <v>1</v>
      </c>
      <c r="AQ14" s="5">
        <v>1</v>
      </c>
      <c r="AR14" s="2">
        <v>2</v>
      </c>
      <c r="AS14" s="18">
        <v>13</v>
      </c>
      <c r="AT14" s="18">
        <v>1</v>
      </c>
      <c r="AU14" s="18">
        <v>1</v>
      </c>
      <c r="AV14" s="18">
        <v>1</v>
      </c>
      <c r="AW14" s="18">
        <v>1</v>
      </c>
      <c r="AX14" s="18">
        <v>1</v>
      </c>
      <c r="AY14" s="29"/>
      <c r="AZ14" s="18">
        <v>13</v>
      </c>
      <c r="BA14" s="5">
        <v>1</v>
      </c>
      <c r="BB14" s="5">
        <v>1</v>
      </c>
      <c r="BC14" s="5">
        <v>1</v>
      </c>
      <c r="BD14" s="5">
        <v>1</v>
      </c>
      <c r="BE14" s="5">
        <v>1</v>
      </c>
    </row>
    <row r="15" spans="1:57" ht="14.25" customHeight="1">
      <c r="A15" s="8" t="str">
        <f t="shared" si="3"/>
        <v/>
      </c>
      <c r="B15" s="8" t="str">
        <f t="shared" si="3"/>
        <v/>
      </c>
      <c r="C15" s="8" t="str">
        <f t="shared" si="3"/>
        <v/>
      </c>
      <c r="D15" s="8" t="str">
        <f t="shared" si="3"/>
        <v/>
      </c>
      <c r="E15" s="8" t="str">
        <f t="shared" si="3"/>
        <v/>
      </c>
      <c r="F15" s="8" t="str">
        <f t="shared" si="3"/>
        <v/>
      </c>
      <c r="G15" s="107"/>
      <c r="H15" s="69" t="str">
        <f>P17</f>
        <v>14 fourteen</v>
      </c>
      <c r="I15" s="5">
        <v>14</v>
      </c>
      <c r="J15" s="5">
        <v>1</v>
      </c>
      <c r="K15" s="5">
        <v>1</v>
      </c>
      <c r="L15" s="5">
        <v>1</v>
      </c>
      <c r="M15" s="5">
        <v>1</v>
      </c>
      <c r="N15" s="5">
        <v>1</v>
      </c>
      <c r="O15" s="5">
        <v>1</v>
      </c>
      <c r="P15" s="5">
        <v>14</v>
      </c>
      <c r="Q15" s="5">
        <v>1</v>
      </c>
      <c r="R15" s="5">
        <v>1</v>
      </c>
      <c r="S15" s="5">
        <v>1</v>
      </c>
      <c r="T15" s="5">
        <v>1</v>
      </c>
      <c r="U15" s="5">
        <v>1</v>
      </c>
      <c r="V15" s="2">
        <v>2</v>
      </c>
      <c r="W15" s="5">
        <v>14</v>
      </c>
      <c r="X15" s="5">
        <v>1</v>
      </c>
      <c r="Y15" s="5">
        <v>1</v>
      </c>
      <c r="Z15" s="5">
        <v>1</v>
      </c>
      <c r="AA15" s="5">
        <v>1</v>
      </c>
      <c r="AB15" s="5">
        <v>1</v>
      </c>
      <c r="AC15" s="2">
        <v>2</v>
      </c>
      <c r="AD15" s="2"/>
      <c r="AE15" s="8" t="b">
        <f t="shared" si="4"/>
        <v>0</v>
      </c>
      <c r="AF15" s="8" t="b">
        <f t="shared" si="4"/>
        <v>0</v>
      </c>
      <c r="AG15" s="8" t="b">
        <f t="shared" si="4"/>
        <v>0</v>
      </c>
      <c r="AH15" s="8" t="b">
        <f t="shared" si="4"/>
        <v>0</v>
      </c>
      <c r="AI15" s="8" t="b">
        <f t="shared" si="4"/>
        <v>0</v>
      </c>
      <c r="AJ15" s="8" t="b">
        <f t="shared" si="4"/>
        <v>0</v>
      </c>
      <c r="AK15" s="4" t="str">
        <f>AS17</f>
        <v>44 fourteen</v>
      </c>
      <c r="AL15" s="5">
        <v>14</v>
      </c>
      <c r="AM15" s="5">
        <v>1</v>
      </c>
      <c r="AN15" s="5">
        <v>1</v>
      </c>
      <c r="AO15" s="5">
        <v>1</v>
      </c>
      <c r="AP15" s="5">
        <v>1</v>
      </c>
      <c r="AQ15" s="5">
        <v>1</v>
      </c>
      <c r="AR15" s="2">
        <v>2</v>
      </c>
      <c r="AS15" s="18">
        <v>14</v>
      </c>
      <c r="AT15" s="18">
        <v>1</v>
      </c>
      <c r="AU15" s="18">
        <v>1</v>
      </c>
      <c r="AV15" s="18">
        <v>1</v>
      </c>
      <c r="AW15" s="18">
        <v>1</v>
      </c>
      <c r="AX15" s="18">
        <v>1</v>
      </c>
      <c r="AY15" s="29"/>
      <c r="AZ15" s="18">
        <v>14</v>
      </c>
      <c r="BA15" s="5">
        <v>1</v>
      </c>
      <c r="BB15" s="5">
        <v>1</v>
      </c>
      <c r="BC15" s="5">
        <v>1</v>
      </c>
      <c r="BD15" s="5">
        <v>1</v>
      </c>
      <c r="BE15" s="5">
        <v>1</v>
      </c>
    </row>
    <row r="16" spans="1:57" ht="14.25" customHeight="1">
      <c r="A16" s="8" t="str">
        <f t="shared" si="3"/>
        <v/>
      </c>
      <c r="B16" s="8" t="str">
        <f t="shared" si="3"/>
        <v/>
      </c>
      <c r="C16" s="8" t="str">
        <f t="shared" si="3"/>
        <v/>
      </c>
      <c r="D16" s="8" t="str">
        <f t="shared" si="3"/>
        <v/>
      </c>
      <c r="E16" s="8" t="str">
        <f t="shared" si="3"/>
        <v/>
      </c>
      <c r="F16" s="8" t="str">
        <f t="shared" si="3"/>
        <v/>
      </c>
      <c r="G16" s="107"/>
      <c r="H16" s="69" t="str">
        <f>P22</f>
        <v>15 fifteen</v>
      </c>
      <c r="I16" s="5">
        <v>15</v>
      </c>
      <c r="J16" s="5">
        <v>1</v>
      </c>
      <c r="K16" s="5">
        <v>1</v>
      </c>
      <c r="L16" s="5">
        <v>1</v>
      </c>
      <c r="M16" s="5">
        <v>1</v>
      </c>
      <c r="N16" s="5">
        <v>1</v>
      </c>
      <c r="O16" s="5">
        <v>1</v>
      </c>
      <c r="P16" s="5">
        <v>15</v>
      </c>
      <c r="Q16" s="5">
        <v>1</v>
      </c>
      <c r="R16" s="5">
        <v>1</v>
      </c>
      <c r="S16" s="5">
        <v>1</v>
      </c>
      <c r="T16" s="5">
        <v>1</v>
      </c>
      <c r="U16" s="5">
        <v>1</v>
      </c>
      <c r="V16" s="2">
        <v>2</v>
      </c>
      <c r="W16" s="5">
        <v>15</v>
      </c>
      <c r="X16" s="5">
        <v>1</v>
      </c>
      <c r="Y16" s="5">
        <v>1</v>
      </c>
      <c r="Z16" s="5">
        <v>1</v>
      </c>
      <c r="AA16" s="5">
        <v>1</v>
      </c>
      <c r="AB16" s="5">
        <v>1</v>
      </c>
      <c r="AC16" s="2">
        <v>2</v>
      </c>
      <c r="AD16" s="2"/>
      <c r="AE16" s="8" t="b">
        <f t="shared" si="4"/>
        <v>0</v>
      </c>
      <c r="AF16" s="8" t="b">
        <f t="shared" si="4"/>
        <v>0</v>
      </c>
      <c r="AG16" s="8" t="b">
        <f t="shared" si="4"/>
        <v>0</v>
      </c>
      <c r="AH16" s="8" t="b">
        <f t="shared" si="4"/>
        <v>0</v>
      </c>
      <c r="AI16" s="8" t="b">
        <f t="shared" si="4"/>
        <v>0</v>
      </c>
      <c r="AJ16" s="8" t="b">
        <f t="shared" si="4"/>
        <v>0</v>
      </c>
      <c r="AK16" s="4" t="str">
        <f>AS22</f>
        <v>45 fifteen</v>
      </c>
      <c r="AL16" s="5">
        <v>15</v>
      </c>
      <c r="AM16" s="5">
        <v>1</v>
      </c>
      <c r="AN16" s="5">
        <v>1</v>
      </c>
      <c r="AO16" s="5">
        <v>1</v>
      </c>
      <c r="AP16" s="5">
        <v>1</v>
      </c>
      <c r="AQ16" s="5">
        <v>1</v>
      </c>
      <c r="AR16" s="2">
        <v>2</v>
      </c>
      <c r="AS16" s="18">
        <v>15</v>
      </c>
      <c r="AT16" s="18">
        <v>1</v>
      </c>
      <c r="AU16" s="18">
        <v>1</v>
      </c>
      <c r="AV16" s="18">
        <v>1</v>
      </c>
      <c r="AW16" s="18">
        <v>1</v>
      </c>
      <c r="AX16" s="18">
        <v>1</v>
      </c>
      <c r="AY16" s="29"/>
      <c r="AZ16" s="18">
        <v>15</v>
      </c>
      <c r="BA16" s="5">
        <v>1</v>
      </c>
      <c r="BB16" s="5">
        <v>1</v>
      </c>
      <c r="BC16" s="5">
        <v>1</v>
      </c>
      <c r="BD16" s="5">
        <v>1</v>
      </c>
      <c r="BE16" s="5">
        <v>1</v>
      </c>
    </row>
    <row r="17" spans="1:57" ht="14.25" customHeight="1">
      <c r="A17" s="6"/>
      <c r="B17" s="6"/>
      <c r="C17" s="6"/>
      <c r="D17" s="6"/>
      <c r="E17" s="6"/>
      <c r="F17" s="6"/>
      <c r="G17" s="106"/>
      <c r="H17" s="69" t="str">
        <f>P27</f>
        <v>16 sixteen</v>
      </c>
      <c r="I17" s="73" t="s">
        <v>1044</v>
      </c>
      <c r="J17" s="5" t="s">
        <v>103</v>
      </c>
      <c r="K17" s="5">
        <v>1</v>
      </c>
      <c r="L17" s="5">
        <v>1</v>
      </c>
      <c r="M17" s="5">
        <v>1</v>
      </c>
      <c r="N17" s="5">
        <v>1</v>
      </c>
      <c r="O17" s="80" t="s">
        <v>1289</v>
      </c>
      <c r="P17" s="73" t="s">
        <v>995</v>
      </c>
      <c r="Q17" s="5">
        <v>1</v>
      </c>
      <c r="R17" s="5">
        <v>1</v>
      </c>
      <c r="S17" s="5">
        <v>1</v>
      </c>
      <c r="T17" s="5">
        <v>1</v>
      </c>
      <c r="U17" s="5">
        <v>1</v>
      </c>
      <c r="V17" s="2">
        <v>2</v>
      </c>
      <c r="W17" s="73" t="s">
        <v>998</v>
      </c>
      <c r="X17" s="5">
        <v>1</v>
      </c>
      <c r="Y17" s="5">
        <v>1</v>
      </c>
      <c r="Z17" s="5">
        <v>1</v>
      </c>
      <c r="AA17" s="5">
        <v>1</v>
      </c>
      <c r="AB17" s="5">
        <v>1</v>
      </c>
      <c r="AC17" s="2">
        <v>2</v>
      </c>
      <c r="AD17" s="2"/>
      <c r="AE17" s="6"/>
      <c r="AF17" s="6"/>
      <c r="AG17" s="6"/>
      <c r="AH17" s="6"/>
      <c r="AI17" s="6"/>
      <c r="AJ17" s="6"/>
      <c r="AK17" s="4" t="str">
        <f>AS27</f>
        <v>46 sixteen</v>
      </c>
      <c r="AL17" s="73" t="s">
        <v>911</v>
      </c>
      <c r="AM17" s="5">
        <v>1</v>
      </c>
      <c r="AN17" s="5">
        <v>1</v>
      </c>
      <c r="AO17" s="5">
        <v>1</v>
      </c>
      <c r="AP17" s="5">
        <v>1</v>
      </c>
      <c r="AQ17" s="5">
        <v>1</v>
      </c>
      <c r="AR17" s="2">
        <v>2</v>
      </c>
      <c r="AS17" s="17" t="s">
        <v>707</v>
      </c>
      <c r="AT17" s="18">
        <v>1</v>
      </c>
      <c r="AU17" s="18">
        <v>1</v>
      </c>
      <c r="AV17" s="18">
        <v>1</v>
      </c>
      <c r="AW17" s="18">
        <v>1</v>
      </c>
      <c r="AX17" s="18">
        <v>1</v>
      </c>
      <c r="AY17" s="29"/>
      <c r="AZ17" s="17" t="s">
        <v>151</v>
      </c>
      <c r="BA17" s="5">
        <v>1</v>
      </c>
      <c r="BB17" s="5">
        <v>1</v>
      </c>
      <c r="BC17" s="5">
        <v>1</v>
      </c>
      <c r="BD17" s="5">
        <v>1</v>
      </c>
      <c r="BE17" s="5">
        <v>1</v>
      </c>
    </row>
    <row r="18" spans="1:57" ht="14.25" customHeight="1">
      <c r="A18" s="6"/>
      <c r="B18" s="6"/>
      <c r="C18" s="6"/>
      <c r="D18" s="6"/>
      <c r="E18" s="6"/>
      <c r="F18" s="6"/>
      <c r="G18" s="6"/>
      <c r="H18" s="69" t="str">
        <f>P32</f>
        <v>17 seventeen</v>
      </c>
      <c r="I18" s="5" t="s">
        <v>256</v>
      </c>
      <c r="J18" s="5" t="s">
        <v>1054</v>
      </c>
      <c r="K18" s="5" t="s">
        <v>350</v>
      </c>
      <c r="L18" s="5">
        <v>1</v>
      </c>
      <c r="M18" s="5">
        <v>1</v>
      </c>
      <c r="N18" s="5">
        <v>1</v>
      </c>
      <c r="O18" s="5">
        <v>1</v>
      </c>
      <c r="P18" s="5">
        <v>17</v>
      </c>
      <c r="Q18" s="5">
        <v>1</v>
      </c>
      <c r="R18" s="5">
        <v>1</v>
      </c>
      <c r="S18" s="5">
        <v>1</v>
      </c>
      <c r="T18" s="5">
        <v>1</v>
      </c>
      <c r="U18" s="5">
        <v>1</v>
      </c>
      <c r="V18" s="2">
        <v>2</v>
      </c>
      <c r="W18" s="5">
        <v>17</v>
      </c>
      <c r="X18" s="5">
        <v>1</v>
      </c>
      <c r="Y18" s="5">
        <v>1</v>
      </c>
      <c r="Z18" s="5">
        <v>1</v>
      </c>
      <c r="AA18" s="5">
        <v>1</v>
      </c>
      <c r="AB18" s="5">
        <v>1</v>
      </c>
      <c r="AC18" s="2">
        <v>2</v>
      </c>
      <c r="AD18" s="2"/>
      <c r="AE18" s="6"/>
      <c r="AF18" s="6"/>
      <c r="AG18" s="6"/>
      <c r="AH18" s="6"/>
      <c r="AI18" s="6"/>
      <c r="AJ18" s="6"/>
      <c r="AK18" s="4" t="str">
        <f>AS32</f>
        <v>47 seventeen</v>
      </c>
      <c r="AL18" s="5">
        <v>17</v>
      </c>
      <c r="AM18" s="5">
        <v>1</v>
      </c>
      <c r="AN18" s="5">
        <v>1</v>
      </c>
      <c r="AO18" s="5">
        <v>1</v>
      </c>
      <c r="AP18" s="5">
        <v>1</v>
      </c>
      <c r="AQ18" s="5">
        <v>1</v>
      </c>
      <c r="AR18" s="2">
        <v>2</v>
      </c>
      <c r="AS18" s="18">
        <v>17</v>
      </c>
      <c r="AT18" s="18">
        <v>1</v>
      </c>
      <c r="AU18" s="18">
        <v>1</v>
      </c>
      <c r="AV18" s="18">
        <v>1</v>
      </c>
      <c r="AW18" s="18">
        <v>1</v>
      </c>
      <c r="AX18" s="18">
        <v>1</v>
      </c>
      <c r="AY18" s="29"/>
      <c r="AZ18" s="18">
        <v>17</v>
      </c>
      <c r="BA18" s="5">
        <v>1</v>
      </c>
      <c r="BB18" s="5">
        <v>1</v>
      </c>
      <c r="BC18" s="5">
        <v>1</v>
      </c>
      <c r="BD18" s="5">
        <v>1</v>
      </c>
      <c r="BE18" s="5">
        <v>1</v>
      </c>
    </row>
    <row r="19" spans="1:57" ht="14.25" customHeight="1">
      <c r="A19" s="6"/>
      <c r="B19" s="6"/>
      <c r="C19" s="6"/>
      <c r="D19" s="6"/>
      <c r="E19" s="6"/>
      <c r="F19" s="6"/>
      <c r="G19" s="6"/>
      <c r="H19" s="69" t="str">
        <f>P37</f>
        <v>18 eighteen</v>
      </c>
      <c r="I19" s="5" t="s">
        <v>192</v>
      </c>
      <c r="J19" s="5" t="s">
        <v>164</v>
      </c>
      <c r="K19" s="5" t="s">
        <v>902</v>
      </c>
      <c r="L19" s="5" t="s">
        <v>753</v>
      </c>
      <c r="M19" s="5" t="s">
        <v>1055</v>
      </c>
      <c r="N19" s="5">
        <v>1</v>
      </c>
      <c r="O19" s="5">
        <v>1</v>
      </c>
      <c r="P19" s="5">
        <v>18</v>
      </c>
      <c r="Q19" s="5">
        <v>1</v>
      </c>
      <c r="R19" s="5">
        <v>1</v>
      </c>
      <c r="S19" s="5">
        <v>1</v>
      </c>
      <c r="T19" s="5">
        <v>1</v>
      </c>
      <c r="U19" s="5">
        <v>1</v>
      </c>
      <c r="V19" s="2">
        <v>2</v>
      </c>
      <c r="W19" s="5">
        <v>18</v>
      </c>
      <c r="X19" s="5">
        <v>1</v>
      </c>
      <c r="Y19" s="5">
        <v>1</v>
      </c>
      <c r="Z19" s="5">
        <v>1</v>
      </c>
      <c r="AA19" s="5">
        <v>1</v>
      </c>
      <c r="AB19" s="5">
        <v>1</v>
      </c>
      <c r="AC19" s="2">
        <v>2</v>
      </c>
      <c r="AD19" s="2"/>
      <c r="AE19" s="2"/>
      <c r="AF19" s="2"/>
      <c r="AG19" s="2"/>
      <c r="AH19" s="2"/>
      <c r="AI19" s="2"/>
      <c r="AJ19" s="2"/>
      <c r="AK19" s="4" t="str">
        <f>AS37</f>
        <v>48 eighteen</v>
      </c>
      <c r="AL19" s="5">
        <v>18</v>
      </c>
      <c r="AM19" s="5">
        <v>1</v>
      </c>
      <c r="AN19" s="5">
        <v>1</v>
      </c>
      <c r="AO19" s="5">
        <v>1</v>
      </c>
      <c r="AP19" s="5">
        <v>1</v>
      </c>
      <c r="AQ19" s="5">
        <v>1</v>
      </c>
      <c r="AR19" s="2">
        <v>2</v>
      </c>
      <c r="AS19" s="18">
        <v>18</v>
      </c>
      <c r="AT19" s="18">
        <v>1</v>
      </c>
      <c r="AU19" s="18">
        <v>1</v>
      </c>
      <c r="AV19" s="18">
        <v>1</v>
      </c>
      <c r="AW19" s="18">
        <v>1</v>
      </c>
      <c r="AX19" s="18">
        <v>1</v>
      </c>
      <c r="AY19" s="29"/>
      <c r="AZ19" s="18">
        <v>18</v>
      </c>
      <c r="BA19" s="5">
        <v>1</v>
      </c>
      <c r="BB19" s="5">
        <v>1</v>
      </c>
      <c r="BC19" s="5">
        <v>1</v>
      </c>
      <c r="BD19" s="5">
        <v>1</v>
      </c>
      <c r="BE19" s="5">
        <v>1</v>
      </c>
    </row>
    <row r="20" spans="1:57" ht="14.25" customHeight="1">
      <c r="A20" s="2"/>
      <c r="B20" s="2"/>
      <c r="C20" s="2"/>
      <c r="D20" s="2"/>
      <c r="E20" s="2"/>
      <c r="F20" s="2"/>
      <c r="G20" s="2"/>
      <c r="H20" s="69" t="str">
        <f>P42</f>
        <v>19 niunteen</v>
      </c>
      <c r="I20" s="5">
        <v>19</v>
      </c>
      <c r="J20" s="5">
        <v>1</v>
      </c>
      <c r="K20" s="5">
        <v>1</v>
      </c>
      <c r="L20" s="5">
        <v>1</v>
      </c>
      <c r="M20" s="5">
        <v>1</v>
      </c>
      <c r="N20" s="5">
        <v>1</v>
      </c>
      <c r="O20" s="5">
        <v>1</v>
      </c>
      <c r="P20" s="5">
        <v>19</v>
      </c>
      <c r="Q20" s="5">
        <v>1</v>
      </c>
      <c r="R20" s="5">
        <v>1</v>
      </c>
      <c r="S20" s="5">
        <v>1</v>
      </c>
      <c r="T20" s="5">
        <v>1</v>
      </c>
      <c r="U20" s="5">
        <v>1</v>
      </c>
      <c r="V20" s="2">
        <v>2</v>
      </c>
      <c r="W20" s="5">
        <v>19</v>
      </c>
      <c r="X20" s="5">
        <v>1</v>
      </c>
      <c r="Y20" s="5">
        <v>1</v>
      </c>
      <c r="Z20" s="5">
        <v>1</v>
      </c>
      <c r="AA20" s="5">
        <v>1</v>
      </c>
      <c r="AB20" s="5">
        <v>1</v>
      </c>
      <c r="AC20" s="2">
        <v>2</v>
      </c>
      <c r="AD20" s="2"/>
      <c r="AE20" s="2"/>
      <c r="AF20" s="2"/>
      <c r="AG20" s="2"/>
      <c r="AH20" s="2"/>
      <c r="AI20" s="2"/>
      <c r="AJ20" s="2"/>
      <c r="AK20" s="4" t="str">
        <f>AS42</f>
        <v>49 niunteen</v>
      </c>
      <c r="AL20" s="5">
        <v>19</v>
      </c>
      <c r="AM20" s="5">
        <v>1</v>
      </c>
      <c r="AN20" s="5">
        <v>1</v>
      </c>
      <c r="AO20" s="5">
        <v>1</v>
      </c>
      <c r="AP20" s="5">
        <v>1</v>
      </c>
      <c r="AQ20" s="5">
        <v>1</v>
      </c>
      <c r="AR20" s="2">
        <v>2</v>
      </c>
      <c r="AS20" s="18">
        <v>19</v>
      </c>
      <c r="AT20" s="18">
        <v>1</v>
      </c>
      <c r="AU20" s="18">
        <v>1</v>
      </c>
      <c r="AV20" s="18">
        <v>1</v>
      </c>
      <c r="AW20" s="18">
        <v>1</v>
      </c>
      <c r="AX20" s="18">
        <v>1</v>
      </c>
      <c r="AY20" s="29"/>
      <c r="AZ20" s="18">
        <v>19</v>
      </c>
      <c r="BA20" s="5">
        <v>1</v>
      </c>
      <c r="BB20" s="5">
        <v>1</v>
      </c>
      <c r="BC20" s="5">
        <v>1</v>
      </c>
      <c r="BD20" s="5">
        <v>1</v>
      </c>
      <c r="BE20" s="5">
        <v>1</v>
      </c>
    </row>
    <row r="21" spans="1:57" ht="14.25" customHeight="1">
      <c r="A21" s="2"/>
      <c r="B21" s="2"/>
      <c r="C21" s="2"/>
      <c r="D21" s="2"/>
      <c r="E21" s="2"/>
      <c r="F21" s="2"/>
      <c r="G21" s="2"/>
      <c r="H21" s="69" t="str">
        <f>P47</f>
        <v>20 twenty</v>
      </c>
      <c r="I21" s="5" t="s">
        <v>158</v>
      </c>
      <c r="J21" s="5" t="s">
        <v>48</v>
      </c>
      <c r="K21" s="5" t="s">
        <v>727</v>
      </c>
      <c r="L21" s="5">
        <v>1</v>
      </c>
      <c r="M21" s="5">
        <v>1</v>
      </c>
      <c r="N21" s="5">
        <v>1</v>
      </c>
      <c r="O21" s="5">
        <v>1</v>
      </c>
      <c r="P21" s="5">
        <v>20</v>
      </c>
      <c r="Q21" s="5">
        <v>1</v>
      </c>
      <c r="R21" s="5">
        <v>1</v>
      </c>
      <c r="S21" s="5">
        <v>1</v>
      </c>
      <c r="T21" s="5">
        <v>1</v>
      </c>
      <c r="U21" s="5">
        <v>1</v>
      </c>
      <c r="V21" s="2">
        <v>2</v>
      </c>
      <c r="W21" s="5">
        <v>20</v>
      </c>
      <c r="X21" s="5">
        <v>1</v>
      </c>
      <c r="Y21" s="5">
        <v>1</v>
      </c>
      <c r="Z21" s="5">
        <v>1</v>
      </c>
      <c r="AA21" s="5">
        <v>1</v>
      </c>
      <c r="AB21" s="5">
        <v>1</v>
      </c>
      <c r="AC21" s="2">
        <v>2</v>
      </c>
      <c r="AD21" s="2"/>
      <c r="AE21" s="2"/>
      <c r="AF21" s="2"/>
      <c r="AG21" s="2"/>
      <c r="AH21" s="2"/>
      <c r="AI21" s="2"/>
      <c r="AJ21" s="2"/>
      <c r="AK21" s="4" t="str">
        <f>AS47</f>
        <v>50 twenty</v>
      </c>
      <c r="AL21" s="5">
        <v>20</v>
      </c>
      <c r="AM21" s="5">
        <v>1</v>
      </c>
      <c r="AN21" s="5">
        <v>1</v>
      </c>
      <c r="AO21" s="5">
        <v>1</v>
      </c>
      <c r="AP21" s="5">
        <v>1</v>
      </c>
      <c r="AQ21" s="5">
        <v>1</v>
      </c>
      <c r="AR21" s="2">
        <v>2</v>
      </c>
      <c r="AS21" s="18">
        <v>20</v>
      </c>
      <c r="AT21" s="18">
        <v>1</v>
      </c>
      <c r="AU21" s="18">
        <v>1</v>
      </c>
      <c r="AV21" s="18">
        <v>1</v>
      </c>
      <c r="AW21" s="18">
        <v>1</v>
      </c>
      <c r="AX21" s="18">
        <v>1</v>
      </c>
      <c r="AY21" s="29"/>
      <c r="AZ21" s="18">
        <v>20</v>
      </c>
      <c r="BA21" s="5">
        <v>1</v>
      </c>
      <c r="BB21" s="5">
        <v>1</v>
      </c>
      <c r="BC21" s="5">
        <v>1</v>
      </c>
      <c r="BD21" s="5">
        <v>1</v>
      </c>
      <c r="BE21" s="5">
        <v>1</v>
      </c>
    </row>
    <row r="22" spans="1:57" ht="14.25" customHeight="1">
      <c r="A22" s="2"/>
      <c r="B22" s="2"/>
      <c r="C22" s="2"/>
      <c r="D22" s="2"/>
      <c r="E22" s="2"/>
      <c r="F22" s="2"/>
      <c r="G22" s="2"/>
      <c r="H22" s="69" t="str">
        <f>W2</f>
        <v>21 sona</v>
      </c>
      <c r="I22" s="73" t="s">
        <v>1045</v>
      </c>
      <c r="J22" s="5" t="s">
        <v>94</v>
      </c>
      <c r="K22" s="5">
        <v>1</v>
      </c>
      <c r="L22" s="5">
        <v>1</v>
      </c>
      <c r="M22" s="5">
        <v>1</v>
      </c>
      <c r="N22" s="5">
        <v>1</v>
      </c>
      <c r="O22" s="80" t="s">
        <v>1290</v>
      </c>
      <c r="P22" s="73" t="s">
        <v>996</v>
      </c>
      <c r="Q22" s="5">
        <v>1</v>
      </c>
      <c r="R22" s="5">
        <v>1</v>
      </c>
      <c r="S22" s="5">
        <v>1</v>
      </c>
      <c r="T22" s="5">
        <v>1</v>
      </c>
      <c r="U22" s="5">
        <v>1</v>
      </c>
      <c r="V22" s="2">
        <v>2</v>
      </c>
      <c r="W22" s="73" t="s">
        <v>1003</v>
      </c>
      <c r="X22" s="5">
        <v>1</v>
      </c>
      <c r="Y22" s="5">
        <v>1</v>
      </c>
      <c r="Z22" s="5">
        <v>1</v>
      </c>
      <c r="AA22" s="5">
        <v>1</v>
      </c>
      <c r="AB22" s="5">
        <v>1</v>
      </c>
      <c r="AC22" s="2">
        <v>2</v>
      </c>
      <c r="AD22" s="2"/>
      <c r="AE22" s="2"/>
      <c r="AF22" s="2"/>
      <c r="AG22" s="2"/>
      <c r="AH22" s="2"/>
      <c r="AI22" s="2"/>
      <c r="AJ22" s="2"/>
      <c r="AK22" s="4" t="str">
        <f>AZ2</f>
        <v>51 sona</v>
      </c>
      <c r="AL22" s="73" t="s">
        <v>848</v>
      </c>
      <c r="AM22" s="5">
        <v>1</v>
      </c>
      <c r="AN22" s="5">
        <v>1</v>
      </c>
      <c r="AO22" s="5">
        <v>1</v>
      </c>
      <c r="AP22" s="5">
        <v>1</v>
      </c>
      <c r="AQ22" s="5">
        <v>1</v>
      </c>
      <c r="AR22" s="2">
        <v>2</v>
      </c>
      <c r="AS22" s="17" t="s">
        <v>722</v>
      </c>
      <c r="AT22" s="18">
        <v>1</v>
      </c>
      <c r="AU22" s="18">
        <v>1</v>
      </c>
      <c r="AV22" s="18">
        <v>1</v>
      </c>
      <c r="AW22" s="18">
        <v>1</v>
      </c>
      <c r="AX22" s="18">
        <v>1</v>
      </c>
      <c r="AY22" s="29"/>
      <c r="AZ22" s="17" t="s">
        <v>171</v>
      </c>
      <c r="BA22" s="5">
        <v>1</v>
      </c>
      <c r="BB22" s="5">
        <v>1</v>
      </c>
      <c r="BC22" s="5">
        <v>1</v>
      </c>
      <c r="BD22" s="5">
        <v>1</v>
      </c>
      <c r="BE22" s="5">
        <v>1</v>
      </c>
    </row>
    <row r="23" spans="1:57" ht="14.25" customHeight="1">
      <c r="A23" s="2"/>
      <c r="B23" s="2"/>
      <c r="C23" s="2"/>
      <c r="D23" s="2"/>
      <c r="E23" s="2"/>
      <c r="F23" s="2"/>
      <c r="G23" s="2"/>
      <c r="H23" s="69" t="str">
        <f>W7</f>
        <v>22 twenty 2</v>
      </c>
      <c r="I23" s="5" t="s">
        <v>401</v>
      </c>
      <c r="J23" s="5" t="s">
        <v>205</v>
      </c>
      <c r="K23" s="5">
        <v>1</v>
      </c>
      <c r="L23" s="5">
        <v>1</v>
      </c>
      <c r="M23" s="5">
        <v>1</v>
      </c>
      <c r="N23" s="5">
        <v>1</v>
      </c>
      <c r="O23" s="5">
        <v>1</v>
      </c>
      <c r="P23" s="5">
        <v>22</v>
      </c>
      <c r="Q23" s="5">
        <v>1</v>
      </c>
      <c r="R23" s="5">
        <v>1</v>
      </c>
      <c r="S23" s="5">
        <v>1</v>
      </c>
      <c r="T23" s="5">
        <v>1</v>
      </c>
      <c r="U23" s="5">
        <v>1</v>
      </c>
      <c r="V23" s="2">
        <v>2</v>
      </c>
      <c r="W23" s="5">
        <v>22</v>
      </c>
      <c r="X23" s="5">
        <v>1</v>
      </c>
      <c r="Y23" s="5">
        <v>1</v>
      </c>
      <c r="Z23" s="5">
        <v>1</v>
      </c>
      <c r="AA23" s="5">
        <v>1</v>
      </c>
      <c r="AB23" s="5">
        <v>1</v>
      </c>
      <c r="AC23" s="2">
        <v>2</v>
      </c>
      <c r="AD23" s="2"/>
      <c r="AE23" s="2"/>
      <c r="AF23" s="2"/>
      <c r="AG23" s="2"/>
      <c r="AH23" s="2"/>
      <c r="AI23" s="2"/>
      <c r="AJ23" s="2"/>
      <c r="AK23" s="4" t="str">
        <f>AZ7</f>
        <v>52 twenty 2</v>
      </c>
      <c r="AL23" s="5" t="s">
        <v>853</v>
      </c>
      <c r="AM23" s="5">
        <v>1</v>
      </c>
      <c r="AN23" s="5">
        <v>1</v>
      </c>
      <c r="AO23" s="5">
        <v>1</v>
      </c>
      <c r="AP23" s="5">
        <v>1</v>
      </c>
      <c r="AQ23" s="5">
        <v>1</v>
      </c>
      <c r="AR23" s="2">
        <v>2</v>
      </c>
      <c r="AS23" s="18">
        <v>22</v>
      </c>
      <c r="AT23" s="18">
        <v>1</v>
      </c>
      <c r="AU23" s="18">
        <v>1</v>
      </c>
      <c r="AV23" s="18">
        <v>1</v>
      </c>
      <c r="AW23" s="18">
        <v>1</v>
      </c>
      <c r="AX23" s="18">
        <v>1</v>
      </c>
      <c r="AY23" s="29"/>
      <c r="AZ23" s="18">
        <v>22</v>
      </c>
      <c r="BA23" s="5">
        <v>1</v>
      </c>
      <c r="BB23" s="5">
        <v>1</v>
      </c>
      <c r="BC23" s="5">
        <v>1</v>
      </c>
      <c r="BD23" s="5">
        <v>1</v>
      </c>
      <c r="BE23" s="5">
        <v>1</v>
      </c>
    </row>
    <row r="24" spans="1:57" ht="14.25" customHeight="1">
      <c r="A24" s="2"/>
      <c r="B24" s="2"/>
      <c r="C24" s="2"/>
      <c r="D24" s="2"/>
      <c r="E24" s="2"/>
      <c r="F24" s="2"/>
      <c r="G24" s="2"/>
      <c r="H24" s="69" t="str">
        <f>W12</f>
        <v>23 twenty 3</v>
      </c>
      <c r="I24" s="5" t="s">
        <v>1056</v>
      </c>
      <c r="J24" s="5">
        <v>1</v>
      </c>
      <c r="K24" s="5">
        <v>1</v>
      </c>
      <c r="L24" s="5">
        <v>1</v>
      </c>
      <c r="M24" s="5">
        <v>1</v>
      </c>
      <c r="N24" s="5">
        <v>1</v>
      </c>
      <c r="O24" s="5">
        <v>1</v>
      </c>
      <c r="P24" s="5">
        <v>23</v>
      </c>
      <c r="Q24" s="5">
        <v>1</v>
      </c>
      <c r="R24" s="5">
        <v>1</v>
      </c>
      <c r="S24" s="5">
        <v>1</v>
      </c>
      <c r="T24" s="5">
        <v>1</v>
      </c>
      <c r="U24" s="5">
        <v>1</v>
      </c>
      <c r="V24" s="2">
        <v>2</v>
      </c>
      <c r="W24" s="5">
        <v>23</v>
      </c>
      <c r="X24" s="5">
        <v>1</v>
      </c>
      <c r="Y24" s="5">
        <v>1</v>
      </c>
      <c r="Z24" s="5">
        <v>1</v>
      </c>
      <c r="AA24" s="5">
        <v>1</v>
      </c>
      <c r="AB24" s="5">
        <v>1</v>
      </c>
      <c r="AC24" s="2">
        <v>2</v>
      </c>
      <c r="AD24" s="2"/>
      <c r="AE24" s="2"/>
      <c r="AF24" s="2"/>
      <c r="AG24" s="2"/>
      <c r="AH24" s="2"/>
      <c r="AI24" s="2"/>
      <c r="AJ24" s="2"/>
      <c r="AK24" s="4" t="str">
        <f>AZ12</f>
        <v>53 twenty 3</v>
      </c>
      <c r="AL24" s="5">
        <v>23</v>
      </c>
      <c r="AM24" s="5">
        <v>1</v>
      </c>
      <c r="AN24" s="5">
        <v>1</v>
      </c>
      <c r="AO24" s="5">
        <v>1</v>
      </c>
      <c r="AP24" s="5">
        <v>1</v>
      </c>
      <c r="AQ24" s="5">
        <v>1</v>
      </c>
      <c r="AR24" s="2">
        <v>2</v>
      </c>
      <c r="AS24" s="18">
        <v>23</v>
      </c>
      <c r="AT24" s="18">
        <v>1</v>
      </c>
      <c r="AU24" s="18">
        <v>1</v>
      </c>
      <c r="AV24" s="18">
        <v>1</v>
      </c>
      <c r="AW24" s="18">
        <v>1</v>
      </c>
      <c r="AX24" s="18">
        <v>1</v>
      </c>
      <c r="AY24" s="29"/>
      <c r="AZ24" s="18">
        <v>23</v>
      </c>
      <c r="BA24" s="5">
        <v>1</v>
      </c>
      <c r="BB24" s="5">
        <v>1</v>
      </c>
      <c r="BC24" s="5">
        <v>1</v>
      </c>
      <c r="BD24" s="5">
        <v>1</v>
      </c>
      <c r="BE24" s="5">
        <v>1</v>
      </c>
    </row>
    <row r="25" spans="1:57" ht="14.25" customHeight="1">
      <c r="A25" s="2"/>
      <c r="B25" s="2"/>
      <c r="C25" s="2"/>
      <c r="D25" s="2"/>
      <c r="E25" s="2"/>
      <c r="F25" s="2"/>
      <c r="G25" s="2"/>
      <c r="H25" s="69" t="str">
        <f>W17</f>
        <v>24 twenty 4</v>
      </c>
      <c r="I25" s="5">
        <v>24</v>
      </c>
      <c r="J25" s="5">
        <v>1</v>
      </c>
      <c r="K25" s="5">
        <v>1</v>
      </c>
      <c r="L25" s="5">
        <v>1</v>
      </c>
      <c r="M25" s="5">
        <v>1</v>
      </c>
      <c r="N25" s="5">
        <v>1</v>
      </c>
      <c r="O25" s="5">
        <v>1</v>
      </c>
      <c r="P25" s="5">
        <v>24</v>
      </c>
      <c r="Q25" s="5">
        <v>1</v>
      </c>
      <c r="R25" s="5">
        <v>1</v>
      </c>
      <c r="S25" s="5">
        <v>1</v>
      </c>
      <c r="T25" s="5">
        <v>1</v>
      </c>
      <c r="U25" s="5">
        <v>1</v>
      </c>
      <c r="V25" s="2">
        <v>2</v>
      </c>
      <c r="W25" s="5">
        <v>24</v>
      </c>
      <c r="X25" s="5">
        <v>1</v>
      </c>
      <c r="Y25" s="5">
        <v>1</v>
      </c>
      <c r="Z25" s="5">
        <v>1</v>
      </c>
      <c r="AA25" s="5">
        <v>1</v>
      </c>
      <c r="AB25" s="5">
        <v>1</v>
      </c>
      <c r="AC25" s="2">
        <v>2</v>
      </c>
      <c r="AD25" s="2"/>
      <c r="AE25" s="2"/>
      <c r="AF25" s="2"/>
      <c r="AG25" s="2"/>
      <c r="AH25" s="2"/>
      <c r="AI25" s="2"/>
      <c r="AJ25" s="2"/>
      <c r="AK25" s="4" t="str">
        <f>AZ17</f>
        <v>54 twenty 4</v>
      </c>
      <c r="AL25" s="5">
        <v>24</v>
      </c>
      <c r="AM25" s="5">
        <v>1</v>
      </c>
      <c r="AN25" s="5">
        <v>1</v>
      </c>
      <c r="AO25" s="5">
        <v>1</v>
      </c>
      <c r="AP25" s="5">
        <v>1</v>
      </c>
      <c r="AQ25" s="5">
        <v>1</v>
      </c>
      <c r="AR25" s="2">
        <v>2</v>
      </c>
      <c r="AS25" s="18">
        <v>24</v>
      </c>
      <c r="AT25" s="18">
        <v>1</v>
      </c>
      <c r="AU25" s="18">
        <v>1</v>
      </c>
      <c r="AV25" s="18">
        <v>1</v>
      </c>
      <c r="AW25" s="18">
        <v>1</v>
      </c>
      <c r="AX25" s="18">
        <v>1</v>
      </c>
      <c r="AY25" s="29"/>
      <c r="AZ25" s="18">
        <v>24</v>
      </c>
      <c r="BA25" s="5">
        <v>1</v>
      </c>
      <c r="BB25" s="5">
        <v>1</v>
      </c>
      <c r="BC25" s="5">
        <v>1</v>
      </c>
      <c r="BD25" s="5">
        <v>1</v>
      </c>
      <c r="BE25" s="5">
        <v>1</v>
      </c>
    </row>
    <row r="26" spans="1:57" ht="14.25" customHeight="1">
      <c r="A26" s="2"/>
      <c r="B26" s="2"/>
      <c r="C26" s="2"/>
      <c r="D26" s="2"/>
      <c r="E26" s="2"/>
      <c r="F26" s="2"/>
      <c r="G26" s="2"/>
      <c r="H26" s="69" t="str">
        <f>W22</f>
        <v>25 twenty 5</v>
      </c>
      <c r="I26" s="5">
        <v>25</v>
      </c>
      <c r="J26" s="5">
        <v>1</v>
      </c>
      <c r="K26" s="5">
        <v>1</v>
      </c>
      <c r="L26" s="5">
        <v>1</v>
      </c>
      <c r="M26" s="5">
        <v>1</v>
      </c>
      <c r="N26" s="5">
        <v>1</v>
      </c>
      <c r="O26" s="5">
        <v>1</v>
      </c>
      <c r="P26" s="5">
        <v>25</v>
      </c>
      <c r="Q26" s="5">
        <v>1</v>
      </c>
      <c r="R26" s="5">
        <v>1</v>
      </c>
      <c r="S26" s="5">
        <v>1</v>
      </c>
      <c r="T26" s="5">
        <v>1</v>
      </c>
      <c r="U26" s="5">
        <v>1</v>
      </c>
      <c r="V26" s="2">
        <v>2</v>
      </c>
      <c r="W26" s="5">
        <v>25</v>
      </c>
      <c r="X26" s="5">
        <v>1</v>
      </c>
      <c r="Y26" s="5">
        <v>1</v>
      </c>
      <c r="Z26" s="5">
        <v>1</v>
      </c>
      <c r="AA26" s="5">
        <v>1</v>
      </c>
      <c r="AB26" s="5">
        <v>1</v>
      </c>
      <c r="AC26" s="2">
        <v>2</v>
      </c>
      <c r="AD26" s="2"/>
      <c r="AE26" s="2"/>
      <c r="AF26" s="2"/>
      <c r="AG26" s="2"/>
      <c r="AH26" s="2"/>
      <c r="AI26" s="2"/>
      <c r="AJ26" s="2"/>
      <c r="AK26" s="4" t="str">
        <f>AZ22</f>
        <v>55 twenty 5</v>
      </c>
      <c r="AL26" s="5">
        <v>25</v>
      </c>
      <c r="AM26" s="5">
        <v>1</v>
      </c>
      <c r="AN26" s="5">
        <v>1</v>
      </c>
      <c r="AO26" s="5">
        <v>1</v>
      </c>
      <c r="AP26" s="5">
        <v>1</v>
      </c>
      <c r="AQ26" s="5">
        <v>1</v>
      </c>
      <c r="AR26" s="2">
        <v>2</v>
      </c>
      <c r="AS26" s="18">
        <v>25</v>
      </c>
      <c r="AT26" s="18">
        <v>1</v>
      </c>
      <c r="AU26" s="18">
        <v>1</v>
      </c>
      <c r="AV26" s="18">
        <v>1</v>
      </c>
      <c r="AW26" s="18">
        <v>1</v>
      </c>
      <c r="AX26" s="18">
        <v>1</v>
      </c>
      <c r="AY26" s="29"/>
      <c r="AZ26" s="18">
        <v>25</v>
      </c>
      <c r="BA26" s="5">
        <v>1</v>
      </c>
      <c r="BB26" s="5">
        <v>1</v>
      </c>
      <c r="BC26" s="5">
        <v>1</v>
      </c>
      <c r="BD26" s="5">
        <v>1</v>
      </c>
      <c r="BE26" s="5">
        <v>1</v>
      </c>
    </row>
    <row r="27" spans="1:57" ht="14.25" customHeight="1">
      <c r="A27" s="2"/>
      <c r="B27" s="2"/>
      <c r="C27" s="2"/>
      <c r="D27" s="2"/>
      <c r="E27" s="2"/>
      <c r="F27" s="2"/>
      <c r="G27" s="2"/>
      <c r="H27" s="69" t="str">
        <f>W27</f>
        <v>26 twenty 6</v>
      </c>
      <c r="I27" s="73" t="s">
        <v>1046</v>
      </c>
      <c r="J27" s="5" t="s">
        <v>388</v>
      </c>
      <c r="K27" s="5" t="s">
        <v>629</v>
      </c>
      <c r="L27" s="5" t="s">
        <v>1057</v>
      </c>
      <c r="M27" s="5">
        <v>1</v>
      </c>
      <c r="N27" s="5">
        <v>1</v>
      </c>
      <c r="O27" s="80" t="s">
        <v>1291</v>
      </c>
      <c r="P27" s="73" t="s">
        <v>997</v>
      </c>
      <c r="Q27" s="5">
        <v>1</v>
      </c>
      <c r="R27" s="5">
        <v>1</v>
      </c>
      <c r="S27" s="5">
        <v>1</v>
      </c>
      <c r="T27" s="5">
        <v>1</v>
      </c>
      <c r="U27" s="5">
        <v>1</v>
      </c>
      <c r="V27" s="2">
        <v>2</v>
      </c>
      <c r="W27" s="73" t="s">
        <v>956</v>
      </c>
      <c r="X27" s="5">
        <v>1</v>
      </c>
      <c r="Y27" s="5">
        <v>1</v>
      </c>
      <c r="Z27" s="5">
        <v>1</v>
      </c>
      <c r="AA27" s="5">
        <v>1</v>
      </c>
      <c r="AB27" s="5">
        <v>1</v>
      </c>
      <c r="AC27" s="2">
        <v>2</v>
      </c>
      <c r="AD27" s="2"/>
      <c r="AE27" s="2"/>
      <c r="AF27" s="2"/>
      <c r="AG27" s="2"/>
      <c r="AH27" s="2"/>
      <c r="AI27" s="2"/>
      <c r="AJ27" s="2"/>
      <c r="AK27" s="4" t="str">
        <f>AZ27</f>
        <v>56 twenty 6</v>
      </c>
      <c r="AL27" s="73" t="s">
        <v>860</v>
      </c>
      <c r="AM27" s="5">
        <v>1</v>
      </c>
      <c r="AN27" s="5">
        <v>1</v>
      </c>
      <c r="AO27" s="5">
        <v>1</v>
      </c>
      <c r="AP27" s="5">
        <v>1</v>
      </c>
      <c r="AQ27" s="5">
        <v>1</v>
      </c>
      <c r="AR27" s="2">
        <v>2</v>
      </c>
      <c r="AS27" s="17" t="s">
        <v>731</v>
      </c>
      <c r="AT27" s="18">
        <v>1</v>
      </c>
      <c r="AU27" s="18">
        <v>1</v>
      </c>
      <c r="AV27" s="18">
        <v>1</v>
      </c>
      <c r="AW27" s="18">
        <v>1</v>
      </c>
      <c r="AX27" s="18">
        <v>1</v>
      </c>
      <c r="AY27" s="29"/>
      <c r="AZ27" s="17" t="s">
        <v>202</v>
      </c>
      <c r="BA27" s="5">
        <v>1</v>
      </c>
      <c r="BB27" s="5">
        <v>1</v>
      </c>
      <c r="BC27" s="5">
        <v>1</v>
      </c>
      <c r="BD27" s="5">
        <v>1</v>
      </c>
      <c r="BE27" s="5">
        <v>1</v>
      </c>
    </row>
    <row r="28" spans="1:57" ht="14.25" customHeight="1">
      <c r="A28" s="2"/>
      <c r="B28" s="2"/>
      <c r="C28" s="2"/>
      <c r="D28" s="2"/>
      <c r="E28" s="2"/>
      <c r="F28" s="2"/>
      <c r="G28" s="2"/>
      <c r="H28" s="69" t="str">
        <f>W32</f>
        <v>27 twenty 7</v>
      </c>
      <c r="I28" s="5">
        <v>27</v>
      </c>
      <c r="J28" s="5">
        <v>1</v>
      </c>
      <c r="K28" s="5">
        <v>1</v>
      </c>
      <c r="L28" s="5">
        <v>1</v>
      </c>
      <c r="M28" s="5">
        <v>1</v>
      </c>
      <c r="N28" s="5">
        <v>1</v>
      </c>
      <c r="O28" s="5">
        <v>1</v>
      </c>
      <c r="P28" s="5">
        <v>27</v>
      </c>
      <c r="Q28" s="5">
        <v>1</v>
      </c>
      <c r="R28" s="5">
        <v>1</v>
      </c>
      <c r="S28" s="5">
        <v>1</v>
      </c>
      <c r="T28" s="5">
        <v>1</v>
      </c>
      <c r="U28" s="5">
        <v>1</v>
      </c>
      <c r="V28" s="2">
        <v>2</v>
      </c>
      <c r="W28" s="5">
        <v>27</v>
      </c>
      <c r="X28" s="5">
        <v>1</v>
      </c>
      <c r="Y28" s="5">
        <v>1</v>
      </c>
      <c r="Z28" s="5">
        <v>1</v>
      </c>
      <c r="AA28" s="5">
        <v>1</v>
      </c>
      <c r="AB28" s="5">
        <v>1</v>
      </c>
      <c r="AC28" s="2">
        <v>2</v>
      </c>
      <c r="AD28" s="2"/>
      <c r="AE28" s="2"/>
      <c r="AF28" s="2"/>
      <c r="AG28" s="2"/>
      <c r="AH28" s="2"/>
      <c r="AI28" s="2"/>
      <c r="AJ28" s="2"/>
      <c r="AK28" s="4" t="str">
        <f>AZ32</f>
        <v>57 twenty 7</v>
      </c>
      <c r="AL28" s="5">
        <v>27</v>
      </c>
      <c r="AM28" s="5">
        <v>1</v>
      </c>
      <c r="AN28" s="5">
        <v>1</v>
      </c>
      <c r="AO28" s="5">
        <v>1</v>
      </c>
      <c r="AP28" s="5">
        <v>1</v>
      </c>
      <c r="AQ28" s="5">
        <v>1</v>
      </c>
      <c r="AR28" s="2">
        <v>2</v>
      </c>
      <c r="AS28" s="18">
        <v>27</v>
      </c>
      <c r="AT28" s="18">
        <v>1</v>
      </c>
      <c r="AU28" s="18">
        <v>1</v>
      </c>
      <c r="AV28" s="18">
        <v>1</v>
      </c>
      <c r="AW28" s="18">
        <v>1</v>
      </c>
      <c r="AX28" s="18">
        <v>1</v>
      </c>
      <c r="AY28" s="29"/>
      <c r="AZ28" s="18">
        <v>27</v>
      </c>
      <c r="BA28" s="5">
        <v>1</v>
      </c>
      <c r="BB28" s="5">
        <v>1</v>
      </c>
      <c r="BC28" s="5">
        <v>1</v>
      </c>
      <c r="BD28" s="5">
        <v>1</v>
      </c>
      <c r="BE28" s="5">
        <v>1</v>
      </c>
    </row>
    <row r="29" spans="1:57" ht="14.25" customHeight="1">
      <c r="A29" s="2"/>
      <c r="B29" s="2"/>
      <c r="C29" s="2"/>
      <c r="D29" s="2"/>
      <c r="E29" s="2"/>
      <c r="F29" s="2"/>
      <c r="G29" s="2"/>
      <c r="H29" s="69" t="str">
        <f>W37</f>
        <v>28 twenty 8</v>
      </c>
      <c r="I29" s="5">
        <v>28</v>
      </c>
      <c r="J29" s="5">
        <v>1</v>
      </c>
      <c r="K29" s="5">
        <v>1</v>
      </c>
      <c r="L29" s="5">
        <v>1</v>
      </c>
      <c r="M29" s="5">
        <v>1</v>
      </c>
      <c r="N29" s="5">
        <v>1</v>
      </c>
      <c r="O29" s="5">
        <v>1</v>
      </c>
      <c r="P29" s="5">
        <v>28</v>
      </c>
      <c r="Q29" s="5">
        <v>1</v>
      </c>
      <c r="R29" s="5">
        <v>1</v>
      </c>
      <c r="S29" s="5">
        <v>1</v>
      </c>
      <c r="T29" s="5">
        <v>1</v>
      </c>
      <c r="U29" s="5">
        <v>1</v>
      </c>
      <c r="V29" s="2">
        <v>2</v>
      </c>
      <c r="W29" s="5">
        <v>28</v>
      </c>
      <c r="X29" s="5">
        <v>1</v>
      </c>
      <c r="Y29" s="5">
        <v>1</v>
      </c>
      <c r="Z29" s="5">
        <v>1</v>
      </c>
      <c r="AA29" s="5">
        <v>1</v>
      </c>
      <c r="AB29" s="5">
        <v>1</v>
      </c>
      <c r="AC29" s="2">
        <v>2</v>
      </c>
      <c r="AD29" s="2"/>
      <c r="AE29" s="2"/>
      <c r="AF29" s="2"/>
      <c r="AG29" s="2"/>
      <c r="AH29" s="2"/>
      <c r="AI29" s="2"/>
      <c r="AJ29" s="2"/>
      <c r="AK29" s="4" t="str">
        <f>AZ37</f>
        <v>58 twenty 8</v>
      </c>
      <c r="AL29" s="5">
        <v>28</v>
      </c>
      <c r="AM29" s="5">
        <v>1</v>
      </c>
      <c r="AN29" s="5">
        <v>1</v>
      </c>
      <c r="AO29" s="5">
        <v>1</v>
      </c>
      <c r="AP29" s="5">
        <v>1</v>
      </c>
      <c r="AQ29" s="5">
        <v>1</v>
      </c>
      <c r="AR29" s="2">
        <v>2</v>
      </c>
      <c r="AS29" s="18">
        <v>28</v>
      </c>
      <c r="AT29" s="18">
        <v>1</v>
      </c>
      <c r="AU29" s="18">
        <v>1</v>
      </c>
      <c r="AV29" s="18">
        <v>1</v>
      </c>
      <c r="AW29" s="18">
        <v>1</v>
      </c>
      <c r="AX29" s="18">
        <v>1</v>
      </c>
      <c r="AY29" s="29"/>
      <c r="AZ29" s="18">
        <v>28</v>
      </c>
      <c r="BA29" s="5">
        <v>1</v>
      </c>
      <c r="BB29" s="5">
        <v>1</v>
      </c>
      <c r="BC29" s="5">
        <v>1</v>
      </c>
      <c r="BD29" s="5">
        <v>1</v>
      </c>
      <c r="BE29" s="5">
        <v>1</v>
      </c>
    </row>
    <row r="30" spans="1:57" ht="14.25" customHeight="1">
      <c r="A30" s="2"/>
      <c r="B30" s="2"/>
      <c r="C30" s="2"/>
      <c r="D30" s="2"/>
      <c r="E30" s="2"/>
      <c r="F30" s="2"/>
      <c r="G30" s="2"/>
      <c r="H30" s="69" t="str">
        <f>W42</f>
        <v>29 twnety 9</v>
      </c>
      <c r="I30" s="5">
        <v>29</v>
      </c>
      <c r="J30" s="5">
        <v>1</v>
      </c>
      <c r="K30" s="5">
        <v>1</v>
      </c>
      <c r="L30" s="5">
        <v>1</v>
      </c>
      <c r="M30" s="5">
        <v>1</v>
      </c>
      <c r="N30" s="5">
        <v>1</v>
      </c>
      <c r="O30" s="5">
        <v>1</v>
      </c>
      <c r="P30" s="5">
        <v>29</v>
      </c>
      <c r="Q30" s="5">
        <v>1</v>
      </c>
      <c r="R30" s="5">
        <v>1</v>
      </c>
      <c r="S30" s="5">
        <v>1</v>
      </c>
      <c r="T30" s="5">
        <v>1</v>
      </c>
      <c r="U30" s="5">
        <v>1</v>
      </c>
      <c r="V30" s="2">
        <v>2</v>
      </c>
      <c r="W30" s="5">
        <v>29</v>
      </c>
      <c r="X30" s="5">
        <v>1</v>
      </c>
      <c r="Y30" s="5">
        <v>1</v>
      </c>
      <c r="Z30" s="5">
        <v>1</v>
      </c>
      <c r="AA30" s="5">
        <v>1</v>
      </c>
      <c r="AB30" s="5">
        <v>1</v>
      </c>
      <c r="AC30" s="2">
        <v>2</v>
      </c>
      <c r="AD30" s="2"/>
      <c r="AE30" s="2"/>
      <c r="AF30" s="2"/>
      <c r="AG30" s="2"/>
      <c r="AH30" s="2"/>
      <c r="AI30" s="2"/>
      <c r="AJ30" s="2"/>
      <c r="AK30" s="4" t="str">
        <f>AZ42</f>
        <v>59 twnety 9</v>
      </c>
      <c r="AL30" s="5">
        <v>29</v>
      </c>
      <c r="AM30" s="5">
        <v>1</v>
      </c>
      <c r="AN30" s="5">
        <v>1</v>
      </c>
      <c r="AO30" s="5">
        <v>1</v>
      </c>
      <c r="AP30" s="5">
        <v>1</v>
      </c>
      <c r="AQ30" s="5">
        <v>1</v>
      </c>
      <c r="AR30" s="2">
        <v>2</v>
      </c>
      <c r="AS30" s="18">
        <v>29</v>
      </c>
      <c r="AT30" s="18">
        <v>1</v>
      </c>
      <c r="AU30" s="18">
        <v>1</v>
      </c>
      <c r="AV30" s="18">
        <v>1</v>
      </c>
      <c r="AW30" s="18">
        <v>1</v>
      </c>
      <c r="AX30" s="18">
        <v>1</v>
      </c>
      <c r="AY30" s="29"/>
      <c r="AZ30" s="18">
        <v>29</v>
      </c>
      <c r="BA30" s="5">
        <v>1</v>
      </c>
      <c r="BB30" s="5">
        <v>1</v>
      </c>
      <c r="BC30" s="5">
        <v>1</v>
      </c>
      <c r="BD30" s="5">
        <v>1</v>
      </c>
      <c r="BE30" s="5">
        <v>1</v>
      </c>
    </row>
    <row r="31" spans="1:57" ht="14.25" customHeight="1">
      <c r="A31" s="2"/>
      <c r="B31" s="2"/>
      <c r="C31" s="2"/>
      <c r="D31" s="2"/>
      <c r="E31" s="2"/>
      <c r="F31" s="2"/>
      <c r="G31" s="2"/>
      <c r="H31" s="69" t="str">
        <f>W47</f>
        <v>30 thirty</v>
      </c>
      <c r="I31" s="5">
        <v>30</v>
      </c>
      <c r="J31" s="5">
        <v>1</v>
      </c>
      <c r="K31" s="5">
        <v>1</v>
      </c>
      <c r="L31" s="5">
        <v>1</v>
      </c>
      <c r="M31" s="5">
        <v>1</v>
      </c>
      <c r="N31" s="5">
        <v>1</v>
      </c>
      <c r="O31" s="5">
        <v>1</v>
      </c>
      <c r="P31" s="5">
        <v>30</v>
      </c>
      <c r="Q31" s="5">
        <v>1</v>
      </c>
      <c r="R31" s="5">
        <v>1</v>
      </c>
      <c r="S31" s="5">
        <v>1</v>
      </c>
      <c r="T31" s="5">
        <v>1</v>
      </c>
      <c r="U31" s="5">
        <v>1</v>
      </c>
      <c r="V31" s="2">
        <v>2</v>
      </c>
      <c r="W31" s="5">
        <v>30</v>
      </c>
      <c r="X31" s="5">
        <v>1</v>
      </c>
      <c r="Y31" s="5">
        <v>1</v>
      </c>
      <c r="Z31" s="5">
        <v>1</v>
      </c>
      <c r="AA31" s="5">
        <v>1</v>
      </c>
      <c r="AB31" s="5">
        <v>1</v>
      </c>
      <c r="AC31" s="2">
        <v>2</v>
      </c>
      <c r="AD31" s="2"/>
      <c r="AE31" s="2"/>
      <c r="AF31" s="2"/>
      <c r="AG31" s="2"/>
      <c r="AH31" s="2"/>
      <c r="AI31" s="2"/>
      <c r="AJ31" s="2"/>
      <c r="AK31" s="4" t="str">
        <f>AZ47</f>
        <v>60 thirty</v>
      </c>
      <c r="AL31" s="5">
        <v>30</v>
      </c>
      <c r="AM31" s="5">
        <v>1</v>
      </c>
      <c r="AN31" s="5">
        <v>1</v>
      </c>
      <c r="AO31" s="5">
        <v>1</v>
      </c>
      <c r="AP31" s="5">
        <v>1</v>
      </c>
      <c r="AQ31" s="5">
        <v>1</v>
      </c>
      <c r="AR31" s="2">
        <v>2</v>
      </c>
      <c r="AS31" s="18">
        <v>30</v>
      </c>
      <c r="AT31" s="18">
        <v>1</v>
      </c>
      <c r="AU31" s="18">
        <v>1</v>
      </c>
      <c r="AV31" s="18">
        <v>1</v>
      </c>
      <c r="AW31" s="18">
        <v>1</v>
      </c>
      <c r="AX31" s="18">
        <v>1</v>
      </c>
      <c r="AY31" s="29"/>
      <c r="AZ31" s="18">
        <v>30</v>
      </c>
      <c r="BA31" s="5">
        <v>1</v>
      </c>
      <c r="BB31" s="5">
        <v>1</v>
      </c>
      <c r="BC31" s="5">
        <v>1</v>
      </c>
      <c r="BD31" s="5">
        <v>1</v>
      </c>
      <c r="BE31" s="5">
        <v>1</v>
      </c>
    </row>
    <row r="32" spans="1:57" ht="14.25" customHeight="1">
      <c r="A32" s="2"/>
      <c r="B32" s="2"/>
      <c r="C32" s="2"/>
      <c r="D32" s="2"/>
      <c r="E32" s="2"/>
      <c r="F32" s="2"/>
      <c r="G32" s="2"/>
      <c r="H32" s="80"/>
      <c r="I32" s="73" t="s">
        <v>1048</v>
      </c>
      <c r="J32" s="5" t="s">
        <v>1058</v>
      </c>
      <c r="K32" s="5">
        <v>1</v>
      </c>
      <c r="L32" s="5">
        <v>1</v>
      </c>
      <c r="M32" s="5">
        <v>1</v>
      </c>
      <c r="N32" s="5">
        <v>1</v>
      </c>
      <c r="O32" s="80" t="s">
        <v>1292</v>
      </c>
      <c r="P32" s="73" t="s">
        <v>999</v>
      </c>
      <c r="Q32" s="5">
        <v>1</v>
      </c>
      <c r="R32" s="5">
        <v>1</v>
      </c>
      <c r="S32" s="5">
        <v>1</v>
      </c>
      <c r="T32" s="5">
        <v>1</v>
      </c>
      <c r="U32" s="5">
        <v>1</v>
      </c>
      <c r="V32" s="2">
        <v>2</v>
      </c>
      <c r="W32" s="73" t="s">
        <v>958</v>
      </c>
      <c r="X32" s="5">
        <v>1</v>
      </c>
      <c r="Y32" s="5">
        <v>1</v>
      </c>
      <c r="Z32" s="5">
        <v>1</v>
      </c>
      <c r="AA32" s="5">
        <v>1</v>
      </c>
      <c r="AB32" s="5">
        <v>1</v>
      </c>
      <c r="AC32" s="2">
        <v>2</v>
      </c>
      <c r="AD32" s="2"/>
      <c r="AE32" s="2"/>
      <c r="AF32" s="2"/>
      <c r="AG32" s="2"/>
      <c r="AH32" s="2"/>
      <c r="AI32" s="2"/>
      <c r="AJ32" s="2"/>
      <c r="AK32" s="2"/>
      <c r="AL32" s="73" t="s">
        <v>865</v>
      </c>
      <c r="AM32" s="5">
        <v>1</v>
      </c>
      <c r="AN32" s="5">
        <v>1</v>
      </c>
      <c r="AO32" s="5">
        <v>1</v>
      </c>
      <c r="AP32" s="5">
        <v>1</v>
      </c>
      <c r="AQ32" s="5">
        <v>1</v>
      </c>
      <c r="AR32" s="2">
        <v>2</v>
      </c>
      <c r="AS32" s="17" t="s">
        <v>745</v>
      </c>
      <c r="AT32" s="18">
        <v>1</v>
      </c>
      <c r="AU32" s="18">
        <v>1</v>
      </c>
      <c r="AV32" s="18">
        <v>1</v>
      </c>
      <c r="AW32" s="18">
        <v>1</v>
      </c>
      <c r="AX32" s="18">
        <v>1</v>
      </c>
      <c r="AY32" s="29"/>
      <c r="AZ32" s="17" t="s">
        <v>227</v>
      </c>
      <c r="BA32" s="5">
        <v>1</v>
      </c>
      <c r="BB32" s="5">
        <v>1</v>
      </c>
      <c r="BC32" s="5">
        <v>1</v>
      </c>
      <c r="BD32" s="5">
        <v>1</v>
      </c>
      <c r="BE32" s="5">
        <v>1</v>
      </c>
    </row>
    <row r="33" spans="1:57" ht="14.25" customHeight="1">
      <c r="A33" s="2"/>
      <c r="B33" s="2"/>
      <c r="C33" s="2"/>
      <c r="D33" s="2"/>
      <c r="E33" s="2"/>
      <c r="F33" s="2"/>
      <c r="G33" s="2"/>
      <c r="H33" s="80"/>
      <c r="I33" s="5" t="s">
        <v>1059</v>
      </c>
      <c r="J33" s="5" t="s">
        <v>140</v>
      </c>
      <c r="K33" s="5">
        <v>1</v>
      </c>
      <c r="L33" s="5">
        <v>1</v>
      </c>
      <c r="M33" s="5">
        <v>1</v>
      </c>
      <c r="N33" s="5">
        <v>1</v>
      </c>
      <c r="O33" s="5">
        <v>1</v>
      </c>
      <c r="P33" s="5">
        <v>32</v>
      </c>
      <c r="Q33" s="5">
        <v>1</v>
      </c>
      <c r="R33" s="5">
        <v>1</v>
      </c>
      <c r="S33" s="5">
        <v>1</v>
      </c>
      <c r="T33" s="5">
        <v>1</v>
      </c>
      <c r="U33" s="5">
        <v>1</v>
      </c>
      <c r="V33" s="2">
        <v>2</v>
      </c>
      <c r="W33" s="5">
        <v>32</v>
      </c>
      <c r="X33" s="5">
        <v>1</v>
      </c>
      <c r="Y33" s="5">
        <v>1</v>
      </c>
      <c r="Z33" s="5">
        <v>1</v>
      </c>
      <c r="AA33" s="5">
        <v>1</v>
      </c>
      <c r="AB33" s="5">
        <v>1</v>
      </c>
      <c r="AC33" s="2">
        <v>2</v>
      </c>
      <c r="AD33" s="2"/>
      <c r="AE33" s="2"/>
      <c r="AF33" s="2"/>
      <c r="AG33" s="2"/>
      <c r="AH33" s="2"/>
      <c r="AI33" s="2"/>
      <c r="AJ33" s="2"/>
      <c r="AK33" s="2"/>
      <c r="AL33" s="5">
        <v>32</v>
      </c>
      <c r="AM33" s="5">
        <v>1</v>
      </c>
      <c r="AN33" s="5">
        <v>1</v>
      </c>
      <c r="AO33" s="5">
        <v>1</v>
      </c>
      <c r="AP33" s="5">
        <v>1</v>
      </c>
      <c r="AQ33" s="5">
        <v>1</v>
      </c>
      <c r="AR33" s="2">
        <v>2</v>
      </c>
      <c r="AS33" s="18">
        <v>32</v>
      </c>
      <c r="AT33" s="18">
        <v>1</v>
      </c>
      <c r="AU33" s="18">
        <v>1</v>
      </c>
      <c r="AV33" s="18">
        <v>1</v>
      </c>
      <c r="AW33" s="18">
        <v>1</v>
      </c>
      <c r="AX33" s="18">
        <v>1</v>
      </c>
      <c r="AY33" s="29"/>
      <c r="AZ33" s="18">
        <v>32</v>
      </c>
      <c r="BA33" s="5">
        <v>1</v>
      </c>
      <c r="BB33" s="5">
        <v>1</v>
      </c>
      <c r="BC33" s="5">
        <v>1</v>
      </c>
      <c r="BD33" s="5">
        <v>1</v>
      </c>
      <c r="BE33" s="5">
        <v>1</v>
      </c>
    </row>
    <row r="34" spans="1:57" ht="14.25" customHeight="1">
      <c r="A34" s="2"/>
      <c r="B34" s="2"/>
      <c r="C34" s="2"/>
      <c r="D34" s="2"/>
      <c r="E34" s="2"/>
      <c r="F34" s="2"/>
      <c r="G34" s="2"/>
      <c r="H34" s="80"/>
      <c r="I34" s="5" t="s">
        <v>457</v>
      </c>
      <c r="J34" s="5">
        <v>1</v>
      </c>
      <c r="K34" s="5">
        <v>1</v>
      </c>
      <c r="L34" s="5">
        <v>1</v>
      </c>
      <c r="M34" s="5">
        <v>1</v>
      </c>
      <c r="N34" s="5">
        <v>1</v>
      </c>
      <c r="O34" s="5">
        <v>1</v>
      </c>
      <c r="P34" s="5">
        <v>33</v>
      </c>
      <c r="Q34" s="5">
        <v>1</v>
      </c>
      <c r="R34" s="5">
        <v>1</v>
      </c>
      <c r="S34" s="5">
        <v>1</v>
      </c>
      <c r="T34" s="5">
        <v>1</v>
      </c>
      <c r="U34" s="5">
        <v>1</v>
      </c>
      <c r="V34" s="2">
        <v>2</v>
      </c>
      <c r="W34" s="5">
        <v>33</v>
      </c>
      <c r="X34" s="5">
        <v>1</v>
      </c>
      <c r="Y34" s="5">
        <v>1</v>
      </c>
      <c r="Z34" s="5">
        <v>1</v>
      </c>
      <c r="AA34" s="5">
        <v>1</v>
      </c>
      <c r="AB34" s="5">
        <v>1</v>
      </c>
      <c r="AC34" s="2">
        <v>2</v>
      </c>
      <c r="AD34" s="2"/>
      <c r="AE34" s="2"/>
      <c r="AF34" s="2"/>
      <c r="AG34" s="2"/>
      <c r="AH34" s="2"/>
      <c r="AI34" s="2"/>
      <c r="AJ34" s="2"/>
      <c r="AK34" s="2"/>
      <c r="AL34" s="5">
        <v>33</v>
      </c>
      <c r="AM34" s="5">
        <v>1</v>
      </c>
      <c r="AN34" s="5">
        <v>1</v>
      </c>
      <c r="AO34" s="5">
        <v>1</v>
      </c>
      <c r="AP34" s="5">
        <v>1</v>
      </c>
      <c r="AQ34" s="5">
        <v>1</v>
      </c>
      <c r="AR34" s="2">
        <v>2</v>
      </c>
      <c r="AS34" s="18">
        <v>33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29"/>
      <c r="AZ34" s="18">
        <v>33</v>
      </c>
      <c r="BA34" s="5">
        <v>1</v>
      </c>
      <c r="BB34" s="5">
        <v>1</v>
      </c>
      <c r="BC34" s="5">
        <v>1</v>
      </c>
      <c r="BD34" s="5">
        <v>1</v>
      </c>
      <c r="BE34" s="5">
        <v>1</v>
      </c>
    </row>
    <row r="35" spans="1:57" ht="14.25" customHeight="1">
      <c r="A35" s="2"/>
      <c r="B35" s="2"/>
      <c r="C35" s="2"/>
      <c r="D35" s="2"/>
      <c r="E35" s="2"/>
      <c r="F35" s="2"/>
      <c r="G35" s="2"/>
      <c r="H35" s="80"/>
      <c r="I35" s="5">
        <v>34</v>
      </c>
      <c r="J35" s="5">
        <v>1</v>
      </c>
      <c r="K35" s="5">
        <v>1</v>
      </c>
      <c r="L35" s="5">
        <v>1</v>
      </c>
      <c r="M35" s="5">
        <v>1</v>
      </c>
      <c r="N35" s="5">
        <v>1</v>
      </c>
      <c r="O35" s="5">
        <v>1</v>
      </c>
      <c r="P35" s="5">
        <v>34</v>
      </c>
      <c r="Q35" s="5">
        <v>1</v>
      </c>
      <c r="R35" s="5">
        <v>1</v>
      </c>
      <c r="S35" s="5">
        <v>1</v>
      </c>
      <c r="T35" s="5">
        <v>1</v>
      </c>
      <c r="U35" s="5">
        <v>1</v>
      </c>
      <c r="V35" s="2">
        <v>2</v>
      </c>
      <c r="W35" s="5">
        <v>34</v>
      </c>
      <c r="X35" s="5">
        <v>1</v>
      </c>
      <c r="Y35" s="5">
        <v>1</v>
      </c>
      <c r="Z35" s="5">
        <v>1</v>
      </c>
      <c r="AA35" s="5">
        <v>1</v>
      </c>
      <c r="AB35" s="5">
        <v>1</v>
      </c>
      <c r="AC35" s="2">
        <v>2</v>
      </c>
      <c r="AD35" s="2"/>
      <c r="AE35" s="2"/>
      <c r="AF35" s="2"/>
      <c r="AG35" s="2"/>
      <c r="AH35" s="2"/>
      <c r="AI35" s="2"/>
      <c r="AJ35" s="2"/>
      <c r="AK35" s="2"/>
      <c r="AL35" s="5">
        <v>34</v>
      </c>
      <c r="AM35" s="5">
        <v>1</v>
      </c>
      <c r="AN35" s="5">
        <v>1</v>
      </c>
      <c r="AO35" s="5">
        <v>1</v>
      </c>
      <c r="AP35" s="5">
        <v>1</v>
      </c>
      <c r="AQ35" s="5">
        <v>1</v>
      </c>
      <c r="AR35" s="2">
        <v>2</v>
      </c>
      <c r="AS35" s="18">
        <v>34</v>
      </c>
      <c r="AT35" s="18">
        <v>1</v>
      </c>
      <c r="AU35" s="18">
        <v>1</v>
      </c>
      <c r="AV35" s="18">
        <v>1</v>
      </c>
      <c r="AW35" s="18">
        <v>1</v>
      </c>
      <c r="AX35" s="18">
        <v>1</v>
      </c>
      <c r="AY35" s="29"/>
      <c r="AZ35" s="18">
        <v>34</v>
      </c>
      <c r="BA35" s="5">
        <v>1</v>
      </c>
      <c r="BB35" s="5">
        <v>1</v>
      </c>
      <c r="BC35" s="5">
        <v>1</v>
      </c>
      <c r="BD35" s="5">
        <v>1</v>
      </c>
      <c r="BE35" s="5">
        <v>1</v>
      </c>
    </row>
    <row r="36" spans="1:57" ht="14.25" customHeight="1">
      <c r="A36" s="2"/>
      <c r="B36" s="2"/>
      <c r="C36" s="2"/>
      <c r="D36" s="2"/>
      <c r="E36" s="2"/>
      <c r="F36" s="2"/>
      <c r="G36" s="2"/>
      <c r="H36" s="80"/>
      <c r="I36" s="5">
        <v>35</v>
      </c>
      <c r="J36" s="5">
        <v>1</v>
      </c>
      <c r="K36" s="5">
        <v>1</v>
      </c>
      <c r="L36" s="5">
        <v>1</v>
      </c>
      <c r="M36" s="5">
        <v>1</v>
      </c>
      <c r="N36" s="5">
        <v>1</v>
      </c>
      <c r="O36" s="5">
        <v>1</v>
      </c>
      <c r="P36" s="5">
        <v>35</v>
      </c>
      <c r="Q36" s="5">
        <v>1</v>
      </c>
      <c r="R36" s="5">
        <v>1</v>
      </c>
      <c r="S36" s="5">
        <v>1</v>
      </c>
      <c r="T36" s="5">
        <v>1</v>
      </c>
      <c r="U36" s="5">
        <v>1</v>
      </c>
      <c r="V36" s="2">
        <v>2</v>
      </c>
      <c r="W36" s="5">
        <v>35</v>
      </c>
      <c r="X36" s="5">
        <v>1</v>
      </c>
      <c r="Y36" s="5">
        <v>1</v>
      </c>
      <c r="Z36" s="5">
        <v>1</v>
      </c>
      <c r="AA36" s="5">
        <v>1</v>
      </c>
      <c r="AB36" s="5">
        <v>1</v>
      </c>
      <c r="AC36" s="2">
        <v>2</v>
      </c>
      <c r="AD36" s="2"/>
      <c r="AE36" s="2"/>
      <c r="AF36" s="2"/>
      <c r="AG36" s="2"/>
      <c r="AH36" s="2"/>
      <c r="AI36" s="2"/>
      <c r="AJ36" s="2"/>
      <c r="AK36" s="2"/>
      <c r="AL36" s="5">
        <v>35</v>
      </c>
      <c r="AM36" s="5">
        <v>1</v>
      </c>
      <c r="AN36" s="5">
        <v>1</v>
      </c>
      <c r="AO36" s="5">
        <v>1</v>
      </c>
      <c r="AP36" s="5">
        <v>1</v>
      </c>
      <c r="AQ36" s="5">
        <v>1</v>
      </c>
      <c r="AR36" s="2">
        <v>2</v>
      </c>
      <c r="AS36" s="18">
        <v>35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29"/>
      <c r="AZ36" s="18">
        <v>35</v>
      </c>
      <c r="BA36" s="5">
        <v>1</v>
      </c>
      <c r="BB36" s="5">
        <v>1</v>
      </c>
      <c r="BC36" s="5">
        <v>1</v>
      </c>
      <c r="BD36" s="5">
        <v>1</v>
      </c>
      <c r="BE36" s="5">
        <v>1</v>
      </c>
    </row>
    <row r="37" spans="1:57" ht="14.25" customHeight="1">
      <c r="A37" s="2"/>
      <c r="B37" s="2"/>
      <c r="C37" s="2"/>
      <c r="D37" s="2"/>
      <c r="E37" s="2"/>
      <c r="F37" s="2"/>
      <c r="G37" s="2"/>
      <c r="H37" s="80"/>
      <c r="I37" s="73" t="s">
        <v>1050</v>
      </c>
      <c r="J37" s="5" t="s">
        <v>129</v>
      </c>
      <c r="K37" s="5">
        <v>1</v>
      </c>
      <c r="L37" s="5">
        <v>1</v>
      </c>
      <c r="M37" s="5">
        <v>1</v>
      </c>
      <c r="N37" s="5">
        <v>1</v>
      </c>
      <c r="O37" s="80" t="s">
        <v>1293</v>
      </c>
      <c r="P37" s="73" t="s">
        <v>1000</v>
      </c>
      <c r="Q37" s="5">
        <v>1</v>
      </c>
      <c r="R37" s="5">
        <v>1</v>
      </c>
      <c r="S37" s="5">
        <v>1</v>
      </c>
      <c r="T37" s="5">
        <v>1</v>
      </c>
      <c r="U37" s="5">
        <v>1</v>
      </c>
      <c r="V37" s="2">
        <v>2</v>
      </c>
      <c r="W37" s="73" t="s">
        <v>959</v>
      </c>
      <c r="X37" s="5">
        <v>1</v>
      </c>
      <c r="Y37" s="5">
        <v>1</v>
      </c>
      <c r="Z37" s="5">
        <v>1</v>
      </c>
      <c r="AA37" s="5">
        <v>1</v>
      </c>
      <c r="AB37" s="5">
        <v>1</v>
      </c>
      <c r="AC37" s="2">
        <v>2</v>
      </c>
      <c r="AD37" s="2"/>
      <c r="AE37" s="2"/>
      <c r="AF37" s="2"/>
      <c r="AG37" s="2"/>
      <c r="AH37" s="2"/>
      <c r="AI37" s="2"/>
      <c r="AJ37" s="2"/>
      <c r="AK37" s="2"/>
      <c r="AL37" s="73" t="s">
        <v>871</v>
      </c>
      <c r="AM37" s="5">
        <v>1</v>
      </c>
      <c r="AN37" s="5">
        <v>1</v>
      </c>
      <c r="AO37" s="5">
        <v>1</v>
      </c>
      <c r="AP37" s="5">
        <v>1</v>
      </c>
      <c r="AQ37" s="5">
        <v>1</v>
      </c>
      <c r="AR37" s="2">
        <v>2</v>
      </c>
      <c r="AS37" s="17" t="s">
        <v>758</v>
      </c>
      <c r="AT37" s="18">
        <v>1</v>
      </c>
      <c r="AU37" s="18">
        <v>1</v>
      </c>
      <c r="AV37" s="18">
        <v>1</v>
      </c>
      <c r="AW37" s="18">
        <v>1</v>
      </c>
      <c r="AX37" s="18">
        <v>1</v>
      </c>
      <c r="AY37" s="29"/>
      <c r="AZ37" s="17" t="s">
        <v>247</v>
      </c>
      <c r="BA37" s="5">
        <v>1</v>
      </c>
      <c r="BB37" s="5">
        <v>1</v>
      </c>
      <c r="BC37" s="5">
        <v>1</v>
      </c>
      <c r="BD37" s="5">
        <v>1</v>
      </c>
      <c r="BE37" s="5">
        <v>1</v>
      </c>
    </row>
    <row r="38" spans="1:57" ht="14.25" customHeight="1">
      <c r="A38" s="2"/>
      <c r="B38" s="2"/>
      <c r="C38" s="2"/>
      <c r="D38" s="2"/>
      <c r="E38" s="2"/>
      <c r="F38" s="2"/>
      <c r="G38" s="2"/>
      <c r="H38" s="80"/>
      <c r="I38" s="5" t="s">
        <v>459</v>
      </c>
      <c r="J38" s="213" t="s">
        <v>879</v>
      </c>
      <c r="K38" s="5">
        <v>1</v>
      </c>
      <c r="L38" s="5">
        <v>1</v>
      </c>
      <c r="M38" s="5">
        <v>1</v>
      </c>
      <c r="N38" s="5">
        <v>1</v>
      </c>
      <c r="O38" s="5">
        <v>1</v>
      </c>
      <c r="P38" s="5">
        <v>37</v>
      </c>
      <c r="Q38" s="5">
        <v>1</v>
      </c>
      <c r="R38" s="5">
        <v>1</v>
      </c>
      <c r="S38" s="5">
        <v>1</v>
      </c>
      <c r="T38" s="5">
        <v>1</v>
      </c>
      <c r="U38" s="5">
        <v>1</v>
      </c>
      <c r="V38" s="2">
        <v>2</v>
      </c>
      <c r="W38" s="5">
        <v>37</v>
      </c>
      <c r="X38" s="5">
        <v>1</v>
      </c>
      <c r="Y38" s="5">
        <v>1</v>
      </c>
      <c r="Z38" s="5">
        <v>1</v>
      </c>
      <c r="AA38" s="5">
        <v>1</v>
      </c>
      <c r="AB38" s="5">
        <v>1</v>
      </c>
      <c r="AC38" s="2">
        <v>2</v>
      </c>
      <c r="AD38" s="2"/>
      <c r="AE38" s="2"/>
      <c r="AF38" s="2"/>
      <c r="AG38" s="2"/>
      <c r="AH38" s="2"/>
      <c r="AI38" s="2"/>
      <c r="AJ38" s="2"/>
      <c r="AK38" s="2"/>
      <c r="AL38" s="5">
        <v>37</v>
      </c>
      <c r="AM38" s="5">
        <v>1</v>
      </c>
      <c r="AN38" s="5">
        <v>1</v>
      </c>
      <c r="AO38" s="5">
        <v>1</v>
      </c>
      <c r="AP38" s="5">
        <v>1</v>
      </c>
      <c r="AQ38" s="5">
        <v>1</v>
      </c>
      <c r="AR38" s="2">
        <v>2</v>
      </c>
      <c r="AS38" s="18">
        <v>37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29"/>
      <c r="AZ38" s="18">
        <v>37</v>
      </c>
      <c r="BA38" s="5">
        <v>1</v>
      </c>
      <c r="BB38" s="5">
        <v>1</v>
      </c>
      <c r="BC38" s="5">
        <v>1</v>
      </c>
      <c r="BD38" s="5">
        <v>1</v>
      </c>
      <c r="BE38" s="5">
        <v>1</v>
      </c>
    </row>
    <row r="39" spans="1:57" ht="14.25" customHeight="1">
      <c r="A39" s="2"/>
      <c r="B39" s="2"/>
      <c r="C39" s="2"/>
      <c r="D39" s="2"/>
      <c r="E39" s="2"/>
      <c r="F39" s="2"/>
      <c r="G39" s="2"/>
      <c r="H39" s="80"/>
      <c r="I39" s="5">
        <v>38</v>
      </c>
      <c r="J39" s="5">
        <v>1</v>
      </c>
      <c r="K39" s="5">
        <v>1</v>
      </c>
      <c r="L39" s="5">
        <v>1</v>
      </c>
      <c r="M39" s="5">
        <v>1</v>
      </c>
      <c r="N39" s="5">
        <v>1</v>
      </c>
      <c r="O39" s="5">
        <v>1</v>
      </c>
      <c r="P39" s="5">
        <v>38</v>
      </c>
      <c r="Q39" s="5">
        <v>1</v>
      </c>
      <c r="R39" s="5">
        <v>1</v>
      </c>
      <c r="S39" s="5">
        <v>1</v>
      </c>
      <c r="T39" s="5">
        <v>1</v>
      </c>
      <c r="U39" s="5">
        <v>1</v>
      </c>
      <c r="V39" s="2">
        <v>2</v>
      </c>
      <c r="W39" s="5">
        <v>38</v>
      </c>
      <c r="X39" s="5">
        <v>1</v>
      </c>
      <c r="Y39" s="5">
        <v>1</v>
      </c>
      <c r="Z39" s="5">
        <v>1</v>
      </c>
      <c r="AA39" s="5">
        <v>1</v>
      </c>
      <c r="AB39" s="5">
        <v>1</v>
      </c>
      <c r="AC39" s="2">
        <v>2</v>
      </c>
      <c r="AD39" s="2"/>
      <c r="AE39" s="2"/>
      <c r="AF39" s="2"/>
      <c r="AG39" s="2"/>
      <c r="AH39" s="2"/>
      <c r="AI39" s="2"/>
      <c r="AJ39" s="2"/>
      <c r="AK39" s="2"/>
      <c r="AL39" s="5">
        <v>38</v>
      </c>
      <c r="AM39" s="5">
        <v>1</v>
      </c>
      <c r="AN39" s="5">
        <v>1</v>
      </c>
      <c r="AO39" s="5">
        <v>1</v>
      </c>
      <c r="AP39" s="5">
        <v>1</v>
      </c>
      <c r="AQ39" s="5">
        <v>1</v>
      </c>
      <c r="AR39" s="2">
        <v>2</v>
      </c>
      <c r="AS39" s="18">
        <v>38</v>
      </c>
      <c r="AT39" s="18">
        <v>1</v>
      </c>
      <c r="AU39" s="18">
        <v>1</v>
      </c>
      <c r="AV39" s="18">
        <v>1</v>
      </c>
      <c r="AW39" s="18">
        <v>1</v>
      </c>
      <c r="AX39" s="18">
        <v>1</v>
      </c>
      <c r="AY39" s="29"/>
      <c r="AZ39" s="18">
        <v>38</v>
      </c>
      <c r="BA39" s="5">
        <v>1</v>
      </c>
      <c r="BB39" s="5">
        <v>1</v>
      </c>
      <c r="BC39" s="5">
        <v>1</v>
      </c>
      <c r="BD39" s="5">
        <v>1</v>
      </c>
      <c r="BE39" s="5">
        <v>1</v>
      </c>
    </row>
    <row r="40" spans="1:57" ht="14.25" customHeight="1">
      <c r="A40" s="2"/>
      <c r="B40" s="2"/>
      <c r="C40" s="2"/>
      <c r="D40" s="2"/>
      <c r="E40" s="2"/>
      <c r="F40" s="2"/>
      <c r="G40" s="2"/>
      <c r="H40" s="80"/>
      <c r="I40" s="5">
        <v>39</v>
      </c>
      <c r="J40" s="5">
        <v>1</v>
      </c>
      <c r="K40" s="5">
        <v>1</v>
      </c>
      <c r="L40" s="5">
        <v>1</v>
      </c>
      <c r="M40" s="5">
        <v>1</v>
      </c>
      <c r="N40" s="5">
        <v>1</v>
      </c>
      <c r="O40" s="5">
        <v>1</v>
      </c>
      <c r="P40" s="5">
        <v>39</v>
      </c>
      <c r="Q40" s="5">
        <v>1</v>
      </c>
      <c r="R40" s="5">
        <v>1</v>
      </c>
      <c r="S40" s="5">
        <v>1</v>
      </c>
      <c r="T40" s="5">
        <v>1</v>
      </c>
      <c r="U40" s="5">
        <v>1</v>
      </c>
      <c r="V40" s="2">
        <v>2</v>
      </c>
      <c r="W40" s="5">
        <v>39</v>
      </c>
      <c r="X40" s="5">
        <v>1</v>
      </c>
      <c r="Y40" s="5">
        <v>1</v>
      </c>
      <c r="Z40" s="5">
        <v>1</v>
      </c>
      <c r="AA40" s="5">
        <v>1</v>
      </c>
      <c r="AB40" s="5">
        <v>1</v>
      </c>
      <c r="AC40" s="2">
        <v>2</v>
      </c>
      <c r="AD40" s="2"/>
      <c r="AE40" s="2"/>
      <c r="AF40" s="2"/>
      <c r="AG40" s="2"/>
      <c r="AH40" s="2"/>
      <c r="AI40" s="2"/>
      <c r="AJ40" s="2"/>
      <c r="AK40" s="2"/>
      <c r="AL40" s="5">
        <v>39</v>
      </c>
      <c r="AM40" s="5">
        <v>1</v>
      </c>
      <c r="AN40" s="5">
        <v>1</v>
      </c>
      <c r="AO40" s="5">
        <v>1</v>
      </c>
      <c r="AP40" s="5">
        <v>1</v>
      </c>
      <c r="AQ40" s="5">
        <v>1</v>
      </c>
      <c r="AR40" s="2">
        <v>2</v>
      </c>
      <c r="AS40" s="18">
        <v>39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29"/>
      <c r="AZ40" s="18">
        <v>39</v>
      </c>
      <c r="BA40" s="5">
        <v>1</v>
      </c>
      <c r="BB40" s="5">
        <v>1</v>
      </c>
      <c r="BC40" s="5">
        <v>1</v>
      </c>
      <c r="BD40" s="5">
        <v>1</v>
      </c>
      <c r="BE40" s="5">
        <v>1</v>
      </c>
    </row>
    <row r="41" spans="1:57" ht="14.25" customHeight="1">
      <c r="A41" s="2"/>
      <c r="B41" s="2"/>
      <c r="C41" s="2"/>
      <c r="D41" s="2"/>
      <c r="E41" s="2"/>
      <c r="F41" s="2"/>
      <c r="G41" s="2"/>
      <c r="H41" s="80"/>
      <c r="I41" s="5">
        <v>40</v>
      </c>
      <c r="J41" s="5">
        <v>1</v>
      </c>
      <c r="K41" s="5">
        <v>1</v>
      </c>
      <c r="L41" s="5">
        <v>1</v>
      </c>
      <c r="M41" s="5">
        <v>1</v>
      </c>
      <c r="N41" s="5">
        <v>1</v>
      </c>
      <c r="O41" s="5">
        <v>1</v>
      </c>
      <c r="P41" s="5">
        <v>40</v>
      </c>
      <c r="Q41" s="5">
        <v>1</v>
      </c>
      <c r="R41" s="5">
        <v>1</v>
      </c>
      <c r="S41" s="5">
        <v>1</v>
      </c>
      <c r="T41" s="5">
        <v>1</v>
      </c>
      <c r="U41" s="5">
        <v>1</v>
      </c>
      <c r="V41" s="2">
        <v>2</v>
      </c>
      <c r="W41" s="5">
        <v>40</v>
      </c>
      <c r="X41" s="5">
        <v>1</v>
      </c>
      <c r="Y41" s="5">
        <v>1</v>
      </c>
      <c r="Z41" s="5">
        <v>1</v>
      </c>
      <c r="AA41" s="5">
        <v>1</v>
      </c>
      <c r="AB41" s="5">
        <v>1</v>
      </c>
      <c r="AC41" s="2">
        <v>2</v>
      </c>
      <c r="AD41" s="2"/>
      <c r="AE41" s="2"/>
      <c r="AF41" s="2"/>
      <c r="AG41" s="2"/>
      <c r="AH41" s="2"/>
      <c r="AI41" s="2"/>
      <c r="AJ41" s="2"/>
      <c r="AK41" s="2"/>
      <c r="AL41" s="5">
        <v>40</v>
      </c>
      <c r="AM41" s="5">
        <v>1</v>
      </c>
      <c r="AN41" s="5">
        <v>1</v>
      </c>
      <c r="AO41" s="5">
        <v>1</v>
      </c>
      <c r="AP41" s="5">
        <v>1</v>
      </c>
      <c r="AQ41" s="5">
        <v>1</v>
      </c>
      <c r="AR41" s="2">
        <v>2</v>
      </c>
      <c r="AS41" s="18">
        <v>40</v>
      </c>
      <c r="AT41" s="18">
        <v>1</v>
      </c>
      <c r="AU41" s="18">
        <v>1</v>
      </c>
      <c r="AV41" s="18">
        <v>1</v>
      </c>
      <c r="AW41" s="18">
        <v>1</v>
      </c>
      <c r="AX41" s="18">
        <v>1</v>
      </c>
      <c r="AY41" s="29"/>
      <c r="AZ41" s="18">
        <v>40</v>
      </c>
      <c r="BA41" s="5">
        <v>1</v>
      </c>
      <c r="BB41" s="5">
        <v>1</v>
      </c>
      <c r="BC41" s="5">
        <v>1</v>
      </c>
      <c r="BD41" s="5">
        <v>1</v>
      </c>
      <c r="BE41" s="5">
        <v>1</v>
      </c>
    </row>
    <row r="42" spans="1:57" ht="14.25" customHeight="1">
      <c r="A42" s="2"/>
      <c r="B42" s="2"/>
      <c r="C42" s="2"/>
      <c r="D42" s="2"/>
      <c r="E42" s="2"/>
      <c r="F42" s="2"/>
      <c r="G42" s="2"/>
      <c r="H42" s="80"/>
      <c r="I42" s="73" t="s">
        <v>1051</v>
      </c>
      <c r="J42" s="5" t="s">
        <v>107</v>
      </c>
      <c r="K42" s="5">
        <v>1</v>
      </c>
      <c r="L42" s="5">
        <v>1</v>
      </c>
      <c r="M42" s="5">
        <v>1</v>
      </c>
      <c r="N42" s="5">
        <v>1</v>
      </c>
      <c r="O42" s="80" t="s">
        <v>1293</v>
      </c>
      <c r="P42" s="73" t="s">
        <v>1001</v>
      </c>
      <c r="Q42" s="5">
        <v>1</v>
      </c>
      <c r="R42" s="5">
        <v>1</v>
      </c>
      <c r="S42" s="5">
        <v>1</v>
      </c>
      <c r="T42" s="5">
        <v>1</v>
      </c>
      <c r="U42" s="5">
        <v>1</v>
      </c>
      <c r="V42" s="2">
        <v>2</v>
      </c>
      <c r="W42" s="73" t="s">
        <v>960</v>
      </c>
      <c r="X42" s="5">
        <v>1</v>
      </c>
      <c r="Y42" s="5">
        <v>1</v>
      </c>
      <c r="Z42" s="5">
        <v>1</v>
      </c>
      <c r="AA42" s="5">
        <v>1</v>
      </c>
      <c r="AB42" s="5">
        <v>1</v>
      </c>
      <c r="AC42" s="2">
        <v>2</v>
      </c>
      <c r="AD42" s="2"/>
      <c r="AE42" s="2"/>
      <c r="AF42" s="2"/>
      <c r="AG42" s="2"/>
      <c r="AH42" s="2"/>
      <c r="AI42" s="2"/>
      <c r="AJ42" s="2"/>
      <c r="AK42" s="2"/>
      <c r="AL42" s="73" t="s">
        <v>881</v>
      </c>
      <c r="AM42" s="5">
        <v>1</v>
      </c>
      <c r="AN42" s="5">
        <v>1</v>
      </c>
      <c r="AO42" s="5">
        <v>1</v>
      </c>
      <c r="AP42" s="5">
        <v>1</v>
      </c>
      <c r="AQ42" s="5">
        <v>1</v>
      </c>
      <c r="AR42" s="2">
        <v>2</v>
      </c>
      <c r="AS42" s="17" t="s">
        <v>765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29"/>
      <c r="AZ42" s="17" t="s">
        <v>270</v>
      </c>
      <c r="BA42" s="5">
        <v>1</v>
      </c>
      <c r="BB42" s="5">
        <v>1</v>
      </c>
      <c r="BC42" s="5">
        <v>1</v>
      </c>
      <c r="BD42" s="5">
        <v>1</v>
      </c>
      <c r="BE42" s="5">
        <v>1</v>
      </c>
    </row>
    <row r="43" spans="1:57" ht="14.25" customHeight="1">
      <c r="A43" s="2"/>
      <c r="B43" s="2"/>
      <c r="C43" s="2"/>
      <c r="D43" s="2"/>
      <c r="E43" s="2"/>
      <c r="F43" s="2"/>
      <c r="G43" s="2"/>
      <c r="H43" s="80"/>
      <c r="I43" s="5" t="s">
        <v>529</v>
      </c>
      <c r="J43" s="5">
        <v>1</v>
      </c>
      <c r="K43" s="5">
        <v>1</v>
      </c>
      <c r="L43" s="5">
        <v>1</v>
      </c>
      <c r="M43" s="5">
        <v>1</v>
      </c>
      <c r="N43" s="5">
        <v>1</v>
      </c>
      <c r="O43" s="5">
        <v>1</v>
      </c>
      <c r="P43" s="5">
        <v>42</v>
      </c>
      <c r="Q43" s="5">
        <v>1</v>
      </c>
      <c r="R43" s="5">
        <v>1</v>
      </c>
      <c r="S43" s="5">
        <v>1</v>
      </c>
      <c r="T43" s="5">
        <v>1</v>
      </c>
      <c r="U43" s="5">
        <v>1</v>
      </c>
      <c r="V43" s="2">
        <v>2</v>
      </c>
      <c r="W43" s="5">
        <v>42</v>
      </c>
      <c r="X43" s="5">
        <v>1</v>
      </c>
      <c r="Y43" s="5">
        <v>1</v>
      </c>
      <c r="Z43" s="5">
        <v>1</v>
      </c>
      <c r="AA43" s="5">
        <v>1</v>
      </c>
      <c r="AB43" s="5">
        <v>1</v>
      </c>
      <c r="AC43" s="2">
        <v>2</v>
      </c>
      <c r="AD43" s="2"/>
      <c r="AE43" s="2"/>
      <c r="AF43" s="2"/>
      <c r="AG43" s="2"/>
      <c r="AH43" s="2"/>
      <c r="AI43" s="2"/>
      <c r="AJ43" s="2"/>
      <c r="AK43" s="2"/>
      <c r="AL43" s="5">
        <v>42</v>
      </c>
      <c r="AM43" s="5">
        <v>1</v>
      </c>
      <c r="AN43" s="5">
        <v>1</v>
      </c>
      <c r="AO43" s="5">
        <v>1</v>
      </c>
      <c r="AP43" s="5">
        <v>1</v>
      </c>
      <c r="AQ43" s="5">
        <v>1</v>
      </c>
      <c r="AR43" s="2">
        <v>2</v>
      </c>
      <c r="AS43" s="18">
        <v>42</v>
      </c>
      <c r="AT43" s="18">
        <v>1</v>
      </c>
      <c r="AU43" s="18">
        <v>1</v>
      </c>
      <c r="AV43" s="18">
        <v>1</v>
      </c>
      <c r="AW43" s="18">
        <v>1</v>
      </c>
      <c r="AX43" s="18">
        <v>1</v>
      </c>
      <c r="AY43" s="29"/>
      <c r="AZ43" s="18">
        <v>42</v>
      </c>
      <c r="BA43" s="5">
        <v>1</v>
      </c>
      <c r="BB43" s="5">
        <v>1</v>
      </c>
      <c r="BC43" s="5">
        <v>1</v>
      </c>
      <c r="BD43" s="5">
        <v>1</v>
      </c>
      <c r="BE43" s="5">
        <v>1</v>
      </c>
    </row>
    <row r="44" spans="1:57" ht="14.25" customHeight="1">
      <c r="A44" s="2"/>
      <c r="B44" s="2"/>
      <c r="C44" s="2"/>
      <c r="D44" s="2"/>
      <c r="E44" s="2"/>
      <c r="F44" s="2"/>
      <c r="G44" s="2"/>
      <c r="H44" s="80"/>
      <c r="I44" s="5">
        <v>43</v>
      </c>
      <c r="J44" s="5">
        <v>1</v>
      </c>
      <c r="K44" s="5">
        <v>1</v>
      </c>
      <c r="L44" s="5">
        <v>1</v>
      </c>
      <c r="M44" s="5">
        <v>1</v>
      </c>
      <c r="N44" s="5">
        <v>1</v>
      </c>
      <c r="O44" s="5">
        <v>1</v>
      </c>
      <c r="P44" s="5">
        <v>43</v>
      </c>
      <c r="Q44" s="5">
        <v>1</v>
      </c>
      <c r="R44" s="5">
        <v>1</v>
      </c>
      <c r="S44" s="5">
        <v>1</v>
      </c>
      <c r="T44" s="5">
        <v>1</v>
      </c>
      <c r="U44" s="5">
        <v>1</v>
      </c>
      <c r="V44" s="2">
        <v>2</v>
      </c>
      <c r="W44" s="5">
        <v>43</v>
      </c>
      <c r="X44" s="5">
        <v>1</v>
      </c>
      <c r="Y44" s="5">
        <v>1</v>
      </c>
      <c r="Z44" s="5">
        <v>1</v>
      </c>
      <c r="AA44" s="5">
        <v>1</v>
      </c>
      <c r="AB44" s="5">
        <v>1</v>
      </c>
      <c r="AC44" s="2">
        <v>2</v>
      </c>
      <c r="AD44" s="2"/>
      <c r="AE44" s="2"/>
      <c r="AF44" s="2"/>
      <c r="AG44" s="2"/>
      <c r="AH44" s="2"/>
      <c r="AI44" s="2"/>
      <c r="AJ44" s="2"/>
      <c r="AK44" s="2"/>
      <c r="AL44" s="5">
        <v>43</v>
      </c>
      <c r="AM44" s="5">
        <v>1</v>
      </c>
      <c r="AN44" s="5">
        <v>1</v>
      </c>
      <c r="AO44" s="5">
        <v>1</v>
      </c>
      <c r="AP44" s="5">
        <v>1</v>
      </c>
      <c r="AQ44" s="5">
        <v>1</v>
      </c>
      <c r="AR44" s="2">
        <v>2</v>
      </c>
      <c r="AS44" s="18">
        <v>43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29"/>
      <c r="AZ44" s="18">
        <v>43</v>
      </c>
      <c r="BA44" s="5">
        <v>1</v>
      </c>
      <c r="BB44" s="5">
        <v>1</v>
      </c>
      <c r="BC44" s="5">
        <v>1</v>
      </c>
      <c r="BD44" s="5">
        <v>1</v>
      </c>
      <c r="BE44" s="5">
        <v>1</v>
      </c>
    </row>
    <row r="45" spans="1:57" ht="14.25" customHeight="1">
      <c r="A45" s="2"/>
      <c r="B45" s="2"/>
      <c r="C45" s="2"/>
      <c r="D45" s="2"/>
      <c r="E45" s="2"/>
      <c r="F45" s="2"/>
      <c r="G45" s="2"/>
      <c r="H45" s="80"/>
      <c r="I45" s="5">
        <v>44</v>
      </c>
      <c r="J45" s="5">
        <v>1</v>
      </c>
      <c r="K45" s="5">
        <v>1</v>
      </c>
      <c r="L45" s="5">
        <v>1</v>
      </c>
      <c r="M45" s="5">
        <v>1</v>
      </c>
      <c r="N45" s="5">
        <v>1</v>
      </c>
      <c r="O45" s="5">
        <v>1</v>
      </c>
      <c r="P45" s="5">
        <v>44</v>
      </c>
      <c r="Q45" s="5">
        <v>1</v>
      </c>
      <c r="R45" s="5">
        <v>1</v>
      </c>
      <c r="S45" s="5">
        <v>1</v>
      </c>
      <c r="T45" s="5">
        <v>1</v>
      </c>
      <c r="U45" s="5">
        <v>1</v>
      </c>
      <c r="V45" s="2">
        <v>2</v>
      </c>
      <c r="W45" s="5">
        <v>44</v>
      </c>
      <c r="X45" s="5">
        <v>1</v>
      </c>
      <c r="Y45" s="5">
        <v>1</v>
      </c>
      <c r="Z45" s="5">
        <v>1</v>
      </c>
      <c r="AA45" s="5">
        <v>1</v>
      </c>
      <c r="AB45" s="5">
        <v>1</v>
      </c>
      <c r="AC45" s="2">
        <v>2</v>
      </c>
      <c r="AD45" s="2"/>
      <c r="AE45" s="2"/>
      <c r="AF45" s="2"/>
      <c r="AG45" s="2"/>
      <c r="AH45" s="2"/>
      <c r="AI45" s="2"/>
      <c r="AJ45" s="2"/>
      <c r="AK45" s="2"/>
      <c r="AL45" s="5">
        <v>44</v>
      </c>
      <c r="AM45" s="5">
        <v>1</v>
      </c>
      <c r="AN45" s="5">
        <v>1</v>
      </c>
      <c r="AO45" s="5">
        <v>1</v>
      </c>
      <c r="AP45" s="5">
        <v>1</v>
      </c>
      <c r="AQ45" s="5">
        <v>1</v>
      </c>
      <c r="AR45" s="2">
        <v>2</v>
      </c>
      <c r="AS45" s="18">
        <v>44</v>
      </c>
      <c r="AT45" s="18">
        <v>1</v>
      </c>
      <c r="AU45" s="18">
        <v>1</v>
      </c>
      <c r="AV45" s="18">
        <v>1</v>
      </c>
      <c r="AW45" s="18">
        <v>1</v>
      </c>
      <c r="AX45" s="18">
        <v>1</v>
      </c>
      <c r="AY45" s="29"/>
      <c r="AZ45" s="18">
        <v>44</v>
      </c>
      <c r="BA45" s="5">
        <v>1</v>
      </c>
      <c r="BB45" s="5">
        <v>1</v>
      </c>
      <c r="BC45" s="5">
        <v>1</v>
      </c>
      <c r="BD45" s="5">
        <v>1</v>
      </c>
      <c r="BE45" s="5">
        <v>1</v>
      </c>
    </row>
    <row r="46" spans="1:57" ht="14.25" customHeight="1">
      <c r="A46" s="2"/>
      <c r="B46" s="2"/>
      <c r="C46" s="2"/>
      <c r="D46" s="2"/>
      <c r="E46" s="2"/>
      <c r="F46" s="2"/>
      <c r="G46" s="2"/>
      <c r="H46" s="80"/>
      <c r="I46" s="5">
        <v>45</v>
      </c>
      <c r="J46" s="5">
        <v>1</v>
      </c>
      <c r="K46" s="5">
        <v>1</v>
      </c>
      <c r="L46" s="5">
        <v>1</v>
      </c>
      <c r="M46" s="5">
        <v>1</v>
      </c>
      <c r="N46" s="5">
        <v>1</v>
      </c>
      <c r="O46" s="5">
        <v>1</v>
      </c>
      <c r="P46" s="5">
        <v>45</v>
      </c>
      <c r="Q46" s="5">
        <v>1</v>
      </c>
      <c r="R46" s="5">
        <v>1</v>
      </c>
      <c r="S46" s="5">
        <v>1</v>
      </c>
      <c r="T46" s="5">
        <v>1</v>
      </c>
      <c r="U46" s="5">
        <v>1</v>
      </c>
      <c r="V46" s="2">
        <v>2</v>
      </c>
      <c r="W46" s="5">
        <v>45</v>
      </c>
      <c r="X46" s="5">
        <v>1</v>
      </c>
      <c r="Y46" s="5">
        <v>1</v>
      </c>
      <c r="Z46" s="5">
        <v>1</v>
      </c>
      <c r="AA46" s="5">
        <v>1</v>
      </c>
      <c r="AB46" s="5">
        <v>1</v>
      </c>
      <c r="AC46" s="2">
        <v>2</v>
      </c>
      <c r="AD46" s="2"/>
      <c r="AE46" s="2"/>
      <c r="AF46" s="2"/>
      <c r="AG46" s="2"/>
      <c r="AH46" s="2"/>
      <c r="AI46" s="2"/>
      <c r="AJ46" s="2"/>
      <c r="AK46" s="2"/>
      <c r="AL46" s="5">
        <v>45</v>
      </c>
      <c r="AM46" s="5">
        <v>1</v>
      </c>
      <c r="AN46" s="5">
        <v>1</v>
      </c>
      <c r="AO46" s="5">
        <v>1</v>
      </c>
      <c r="AP46" s="5">
        <v>1</v>
      </c>
      <c r="AQ46" s="5">
        <v>1</v>
      </c>
      <c r="AR46" s="2">
        <v>2</v>
      </c>
      <c r="AS46" s="18">
        <v>45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29"/>
      <c r="AZ46" s="18">
        <v>45</v>
      </c>
      <c r="BA46" s="5">
        <v>1</v>
      </c>
      <c r="BB46" s="5">
        <v>1</v>
      </c>
      <c r="BC46" s="5">
        <v>1</v>
      </c>
      <c r="BD46" s="5">
        <v>1</v>
      </c>
      <c r="BE46" s="5">
        <v>1</v>
      </c>
    </row>
    <row r="47" spans="1:57" ht="14.25" customHeight="1">
      <c r="A47" s="2"/>
      <c r="B47" s="2"/>
      <c r="C47" s="2"/>
      <c r="D47" s="2"/>
      <c r="E47" s="2"/>
      <c r="F47" s="2"/>
      <c r="G47" s="2"/>
      <c r="H47" s="80"/>
      <c r="I47" s="73" t="s">
        <v>1039</v>
      </c>
      <c r="J47" s="5" t="s">
        <v>455</v>
      </c>
      <c r="K47" s="5" t="s">
        <v>164</v>
      </c>
      <c r="L47" s="5" t="s">
        <v>75</v>
      </c>
      <c r="M47" s="5" t="s">
        <v>1040</v>
      </c>
      <c r="N47" s="5">
        <v>1</v>
      </c>
      <c r="O47" s="80" t="s">
        <v>1294</v>
      </c>
      <c r="P47" s="73" t="s">
        <v>1002</v>
      </c>
      <c r="Q47" s="5">
        <v>1</v>
      </c>
      <c r="R47" s="5">
        <v>1</v>
      </c>
      <c r="S47" s="5">
        <v>1</v>
      </c>
      <c r="T47" s="5">
        <v>1</v>
      </c>
      <c r="U47" s="5">
        <v>1</v>
      </c>
      <c r="V47" s="2">
        <v>2</v>
      </c>
      <c r="W47" s="73" t="s">
        <v>961</v>
      </c>
      <c r="X47" s="5">
        <v>1</v>
      </c>
      <c r="Y47" s="5">
        <v>1</v>
      </c>
      <c r="Z47" s="5">
        <v>1</v>
      </c>
      <c r="AA47" s="5">
        <v>1</v>
      </c>
      <c r="AB47" s="5">
        <v>1</v>
      </c>
      <c r="AC47" s="2">
        <v>2</v>
      </c>
      <c r="AD47" s="2"/>
      <c r="AE47" s="2"/>
      <c r="AF47" s="2"/>
      <c r="AG47" s="2"/>
      <c r="AH47" s="2"/>
      <c r="AI47" s="2"/>
      <c r="AJ47" s="2"/>
      <c r="AK47" s="2"/>
      <c r="AL47" s="73" t="s">
        <v>885</v>
      </c>
      <c r="AM47" s="5">
        <v>1</v>
      </c>
      <c r="AN47" s="5">
        <v>1</v>
      </c>
      <c r="AO47" s="5">
        <v>1</v>
      </c>
      <c r="AP47" s="5">
        <v>1</v>
      </c>
      <c r="AQ47" s="5">
        <v>1</v>
      </c>
      <c r="AR47" s="2">
        <v>2</v>
      </c>
      <c r="AS47" s="17" t="s">
        <v>772</v>
      </c>
      <c r="AT47" s="18">
        <v>1</v>
      </c>
      <c r="AU47" s="18">
        <v>1</v>
      </c>
      <c r="AV47" s="18">
        <v>1</v>
      </c>
      <c r="AW47" s="18">
        <v>1</v>
      </c>
      <c r="AX47" s="18">
        <v>1</v>
      </c>
      <c r="AY47" s="29"/>
      <c r="AZ47" s="17" t="s">
        <v>298</v>
      </c>
      <c r="BA47" s="5">
        <v>1</v>
      </c>
      <c r="BB47" s="5">
        <v>1</v>
      </c>
      <c r="BC47" s="5">
        <v>1</v>
      </c>
      <c r="BD47" s="5">
        <v>1</v>
      </c>
      <c r="BE47" s="5">
        <v>1</v>
      </c>
    </row>
    <row r="48" spans="1:57" ht="14.25" customHeight="1">
      <c r="A48" s="2"/>
      <c r="B48" s="2"/>
      <c r="C48" s="2"/>
      <c r="D48" s="2"/>
      <c r="E48" s="2"/>
      <c r="F48" s="2"/>
      <c r="G48" s="2"/>
      <c r="H48" s="80"/>
      <c r="I48" s="5" t="s">
        <v>281</v>
      </c>
      <c r="J48" s="5" t="s">
        <v>1042</v>
      </c>
      <c r="K48" s="5">
        <v>1</v>
      </c>
      <c r="L48" s="5">
        <v>1</v>
      </c>
      <c r="M48" s="5">
        <v>1</v>
      </c>
      <c r="N48" s="5">
        <v>1</v>
      </c>
      <c r="O48" s="5">
        <v>1</v>
      </c>
      <c r="P48" s="5">
        <v>47</v>
      </c>
      <c r="Q48" s="5">
        <v>1</v>
      </c>
      <c r="R48" s="5">
        <v>1</v>
      </c>
      <c r="S48" s="5">
        <v>1</v>
      </c>
      <c r="T48" s="5">
        <v>1</v>
      </c>
      <c r="U48" s="5">
        <v>1</v>
      </c>
      <c r="V48" s="2">
        <v>2</v>
      </c>
      <c r="W48" s="5">
        <v>47</v>
      </c>
      <c r="X48" s="5">
        <v>1</v>
      </c>
      <c r="Y48" s="5">
        <v>1</v>
      </c>
      <c r="Z48" s="5">
        <v>1</v>
      </c>
      <c r="AA48" s="5">
        <v>1</v>
      </c>
      <c r="AB48" s="5">
        <v>1</v>
      </c>
      <c r="AC48" s="2">
        <v>2</v>
      </c>
      <c r="AD48" s="2"/>
      <c r="AE48" s="2"/>
      <c r="AF48" s="2"/>
      <c r="AG48" s="2"/>
      <c r="AH48" s="2"/>
      <c r="AI48" s="2"/>
      <c r="AJ48" s="2"/>
      <c r="AK48" s="2"/>
      <c r="AL48" s="5">
        <v>47</v>
      </c>
      <c r="AM48" s="5">
        <v>1</v>
      </c>
      <c r="AN48" s="5">
        <v>1</v>
      </c>
      <c r="AO48" s="5">
        <v>1</v>
      </c>
      <c r="AP48" s="5">
        <v>1</v>
      </c>
      <c r="AQ48" s="5">
        <v>1</v>
      </c>
      <c r="AR48" s="2">
        <v>2</v>
      </c>
      <c r="AS48" s="18">
        <v>47</v>
      </c>
      <c r="AT48" s="18">
        <v>1</v>
      </c>
      <c r="AU48" s="18">
        <v>1</v>
      </c>
      <c r="AV48" s="18">
        <v>1</v>
      </c>
      <c r="AW48" s="18">
        <v>1</v>
      </c>
      <c r="AX48" s="18">
        <v>1</v>
      </c>
      <c r="AY48" s="29"/>
      <c r="AZ48" s="18">
        <v>47</v>
      </c>
      <c r="BA48" s="5">
        <v>1</v>
      </c>
      <c r="BB48" s="5">
        <v>1</v>
      </c>
      <c r="BC48" s="5">
        <v>1</v>
      </c>
      <c r="BD48" s="5">
        <v>1</v>
      </c>
      <c r="BE48" s="5">
        <v>1</v>
      </c>
    </row>
    <row r="49" spans="1:57" ht="14.25" customHeight="1">
      <c r="A49" s="2"/>
      <c r="B49" s="2"/>
      <c r="C49" s="2"/>
      <c r="D49" s="2"/>
      <c r="E49" s="2"/>
      <c r="F49" s="2"/>
      <c r="G49" s="2"/>
      <c r="H49" s="80"/>
      <c r="I49" s="5">
        <v>48</v>
      </c>
      <c r="J49" s="5">
        <v>1</v>
      </c>
      <c r="K49" s="5">
        <v>1</v>
      </c>
      <c r="L49" s="5">
        <v>1</v>
      </c>
      <c r="M49" s="5">
        <v>1</v>
      </c>
      <c r="N49" s="5">
        <v>1</v>
      </c>
      <c r="O49" s="5">
        <v>1</v>
      </c>
      <c r="P49" s="5">
        <v>48</v>
      </c>
      <c r="Q49" s="5">
        <v>1</v>
      </c>
      <c r="R49" s="5">
        <v>1</v>
      </c>
      <c r="S49" s="5">
        <v>1</v>
      </c>
      <c r="T49" s="5">
        <v>1</v>
      </c>
      <c r="U49" s="5">
        <v>1</v>
      </c>
      <c r="V49" s="2">
        <v>2</v>
      </c>
      <c r="W49" s="5">
        <v>48</v>
      </c>
      <c r="X49" s="5">
        <v>1</v>
      </c>
      <c r="Y49" s="5">
        <v>1</v>
      </c>
      <c r="Z49" s="5">
        <v>1</v>
      </c>
      <c r="AA49" s="5">
        <v>1</v>
      </c>
      <c r="AB49" s="5">
        <v>1</v>
      </c>
      <c r="AC49" s="2">
        <v>2</v>
      </c>
      <c r="AD49" s="2"/>
      <c r="AE49" s="2"/>
      <c r="AF49" s="2"/>
      <c r="AG49" s="2"/>
      <c r="AH49" s="2"/>
      <c r="AI49" s="2"/>
      <c r="AJ49" s="2"/>
      <c r="AK49" s="2"/>
      <c r="AL49" s="5">
        <v>48</v>
      </c>
      <c r="AM49" s="5">
        <v>1</v>
      </c>
      <c r="AN49" s="5">
        <v>1</v>
      </c>
      <c r="AO49" s="5">
        <v>1</v>
      </c>
      <c r="AP49" s="5">
        <v>1</v>
      </c>
      <c r="AQ49" s="5">
        <v>1</v>
      </c>
      <c r="AR49" s="2">
        <v>2</v>
      </c>
      <c r="AS49" s="18">
        <v>48</v>
      </c>
      <c r="AT49" s="18">
        <v>1</v>
      </c>
      <c r="AU49" s="18">
        <v>1</v>
      </c>
      <c r="AV49" s="18">
        <v>1</v>
      </c>
      <c r="AW49" s="18">
        <v>1</v>
      </c>
      <c r="AX49" s="18">
        <v>1</v>
      </c>
      <c r="AY49" s="29"/>
      <c r="AZ49" s="18">
        <v>48</v>
      </c>
      <c r="BA49" s="5">
        <v>1</v>
      </c>
      <c r="BB49" s="5">
        <v>1</v>
      </c>
      <c r="BC49" s="5">
        <v>1</v>
      </c>
      <c r="BD49" s="5">
        <v>1</v>
      </c>
      <c r="BE49" s="5">
        <v>1</v>
      </c>
    </row>
    <row r="50" spans="1:57" ht="14.25" customHeight="1">
      <c r="A50" s="2"/>
      <c r="B50" s="2"/>
      <c r="C50" s="2"/>
      <c r="D50" s="2"/>
      <c r="E50" s="2"/>
      <c r="F50" s="2"/>
      <c r="G50" s="2"/>
      <c r="H50" s="80"/>
      <c r="I50" s="5">
        <v>49</v>
      </c>
      <c r="J50" s="5">
        <v>1</v>
      </c>
      <c r="K50" s="5">
        <v>1</v>
      </c>
      <c r="L50" s="5">
        <v>1</v>
      </c>
      <c r="M50" s="5">
        <v>1</v>
      </c>
      <c r="N50" s="5">
        <v>1</v>
      </c>
      <c r="O50" s="5">
        <v>1</v>
      </c>
      <c r="P50" s="5">
        <v>49</v>
      </c>
      <c r="Q50" s="5">
        <v>1</v>
      </c>
      <c r="R50" s="5">
        <v>1</v>
      </c>
      <c r="S50" s="5">
        <v>1</v>
      </c>
      <c r="T50" s="5">
        <v>1</v>
      </c>
      <c r="U50" s="5">
        <v>1</v>
      </c>
      <c r="V50" s="2">
        <v>2</v>
      </c>
      <c r="W50" s="5">
        <v>49</v>
      </c>
      <c r="X50" s="5">
        <v>1</v>
      </c>
      <c r="Y50" s="5">
        <v>1</v>
      </c>
      <c r="Z50" s="5">
        <v>1</v>
      </c>
      <c r="AA50" s="5">
        <v>1</v>
      </c>
      <c r="AB50" s="5">
        <v>1</v>
      </c>
      <c r="AC50" s="2">
        <v>2</v>
      </c>
      <c r="AD50" s="2"/>
      <c r="AE50" s="2"/>
      <c r="AF50" s="2"/>
      <c r="AG50" s="2"/>
      <c r="AH50" s="2"/>
      <c r="AI50" s="2"/>
      <c r="AJ50" s="2"/>
      <c r="AK50" s="2"/>
      <c r="AL50" s="5">
        <v>49</v>
      </c>
      <c r="AM50" s="5">
        <v>1</v>
      </c>
      <c r="AN50" s="5">
        <v>1</v>
      </c>
      <c r="AO50" s="5">
        <v>1</v>
      </c>
      <c r="AP50" s="5">
        <v>1</v>
      </c>
      <c r="AQ50" s="5">
        <v>1</v>
      </c>
      <c r="AR50" s="2">
        <v>2</v>
      </c>
      <c r="AS50" s="18">
        <v>49</v>
      </c>
      <c r="AT50" s="18">
        <v>1</v>
      </c>
      <c r="AU50" s="18">
        <v>1</v>
      </c>
      <c r="AV50" s="18">
        <v>1</v>
      </c>
      <c r="AW50" s="18">
        <v>1</v>
      </c>
      <c r="AX50" s="18">
        <v>1</v>
      </c>
      <c r="AY50" s="29"/>
      <c r="AZ50" s="18">
        <v>49</v>
      </c>
      <c r="BA50" s="5">
        <v>1</v>
      </c>
      <c r="BB50" s="5">
        <v>1</v>
      </c>
      <c r="BC50" s="5">
        <v>1</v>
      </c>
      <c r="BD50" s="5">
        <v>1</v>
      </c>
      <c r="BE50" s="5">
        <v>1</v>
      </c>
    </row>
    <row r="51" spans="1:57" ht="14.25" customHeight="1">
      <c r="A51" s="2"/>
      <c r="B51" s="2"/>
      <c r="C51" s="2"/>
      <c r="D51" s="2"/>
      <c r="E51" s="2"/>
      <c r="F51" s="2"/>
      <c r="G51" s="2"/>
      <c r="H51" s="80"/>
      <c r="I51" s="5">
        <v>50</v>
      </c>
      <c r="J51" s="5">
        <v>1</v>
      </c>
      <c r="K51" s="5">
        <v>1</v>
      </c>
      <c r="L51" s="5">
        <v>1</v>
      </c>
      <c r="M51" s="5">
        <v>1</v>
      </c>
      <c r="N51" s="5">
        <v>1</v>
      </c>
      <c r="O51" s="5">
        <v>1</v>
      </c>
      <c r="P51" s="5">
        <v>50</v>
      </c>
      <c r="Q51" s="5">
        <v>1</v>
      </c>
      <c r="R51" s="5">
        <v>1</v>
      </c>
      <c r="S51" s="5">
        <v>1</v>
      </c>
      <c r="T51" s="5">
        <v>1</v>
      </c>
      <c r="U51" s="5">
        <v>1</v>
      </c>
      <c r="V51" s="2">
        <v>2</v>
      </c>
      <c r="W51" s="5">
        <v>50</v>
      </c>
      <c r="X51" s="5">
        <v>1</v>
      </c>
      <c r="Y51" s="5">
        <v>1</v>
      </c>
      <c r="Z51" s="5">
        <v>1</v>
      </c>
      <c r="AA51" s="5">
        <v>1</v>
      </c>
      <c r="AB51" s="5">
        <v>1</v>
      </c>
      <c r="AC51" s="2">
        <v>2</v>
      </c>
      <c r="AD51" s="2"/>
      <c r="AE51" s="2"/>
      <c r="AF51" s="2"/>
      <c r="AG51" s="2"/>
      <c r="AH51" s="2"/>
      <c r="AI51" s="2"/>
      <c r="AJ51" s="2"/>
      <c r="AK51" s="2"/>
      <c r="AL51" s="5">
        <v>50</v>
      </c>
      <c r="AM51" s="5">
        <v>1</v>
      </c>
      <c r="AN51" s="5">
        <v>1</v>
      </c>
      <c r="AO51" s="5">
        <v>1</v>
      </c>
      <c r="AP51" s="5">
        <v>1</v>
      </c>
      <c r="AQ51" s="5">
        <v>1</v>
      </c>
      <c r="AR51" s="2">
        <v>2</v>
      </c>
      <c r="AS51" s="18">
        <v>50</v>
      </c>
      <c r="AT51" s="18">
        <v>1</v>
      </c>
      <c r="AU51" s="18">
        <v>1</v>
      </c>
      <c r="AV51" s="18">
        <v>1</v>
      </c>
      <c r="AW51" s="18">
        <v>1</v>
      </c>
      <c r="AX51" s="18">
        <v>1</v>
      </c>
      <c r="AY51" s="29"/>
      <c r="AZ51" s="18">
        <v>50</v>
      </c>
      <c r="BA51" s="5">
        <v>1</v>
      </c>
      <c r="BB51" s="5">
        <v>1</v>
      </c>
      <c r="BC51" s="5">
        <v>1</v>
      </c>
      <c r="BD51" s="5">
        <v>1</v>
      </c>
      <c r="BE51" s="5">
        <v>1</v>
      </c>
    </row>
    <row r="52" spans="1:57" ht="14.25" customHeight="1">
      <c r="A52" s="2"/>
      <c r="B52" s="2"/>
      <c r="C52" s="2"/>
      <c r="D52" s="2"/>
      <c r="E52" s="2"/>
      <c r="F52" s="2"/>
      <c r="G52" s="2"/>
      <c r="H52" s="80"/>
      <c r="I52" s="2"/>
      <c r="J52" s="2"/>
      <c r="K52" s="2"/>
      <c r="L52" s="2"/>
      <c r="M52" s="2"/>
      <c r="N52" s="2"/>
      <c r="O52" s="80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</row>
    <row r="53" spans="1:57" ht="14.25" customHeight="1">
      <c r="A53" s="2"/>
      <c r="B53" s="2"/>
      <c r="C53" s="2"/>
      <c r="D53" s="2"/>
      <c r="E53" s="2"/>
      <c r="F53" s="2"/>
      <c r="G53" s="2"/>
      <c r="H53" s="80"/>
      <c r="I53" s="2"/>
      <c r="J53" s="2"/>
      <c r="K53" s="2"/>
      <c r="L53" s="2"/>
      <c r="M53" s="2"/>
      <c r="N53" s="2"/>
      <c r="O53" s="80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</row>
    <row r="54" spans="1:57" ht="14.25" customHeight="1">
      <c r="A54" s="2"/>
      <c r="B54" s="2"/>
      <c r="C54" s="2"/>
      <c r="D54" s="2"/>
      <c r="E54" s="2"/>
      <c r="F54" s="2"/>
      <c r="G54" s="2"/>
      <c r="H54" s="80"/>
      <c r="I54" s="2"/>
      <c r="J54" s="2"/>
      <c r="K54" s="2"/>
      <c r="L54" s="2"/>
      <c r="M54" s="2"/>
      <c r="N54" s="2"/>
      <c r="O54" s="80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</row>
    <row r="55" spans="1:57" ht="14.25" customHeight="1">
      <c r="A55" s="2"/>
      <c r="B55" s="2"/>
      <c r="C55" s="2"/>
      <c r="D55" s="2"/>
      <c r="E55" s="2"/>
      <c r="F55" s="2"/>
      <c r="G55" s="2"/>
      <c r="H55" s="80"/>
      <c r="I55" s="2"/>
      <c r="J55" s="2"/>
      <c r="K55" s="2"/>
      <c r="L55" s="2"/>
      <c r="M55" s="2"/>
      <c r="N55" s="2"/>
      <c r="O55" s="80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</row>
    <row r="56" spans="1:57" ht="14.25" customHeight="1">
      <c r="A56" s="2"/>
      <c r="B56" s="2"/>
      <c r="C56" s="2"/>
      <c r="D56" s="2"/>
      <c r="E56" s="2"/>
      <c r="F56" s="2"/>
      <c r="G56" s="2"/>
      <c r="H56" s="80"/>
      <c r="I56" s="2"/>
      <c r="J56" s="2"/>
      <c r="K56" s="2"/>
      <c r="L56" s="2"/>
      <c r="M56" s="2"/>
      <c r="N56" s="2"/>
      <c r="O56" s="80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</row>
    <row r="57" spans="1:57" ht="14.25" customHeight="1">
      <c r="A57" s="2"/>
      <c r="B57" s="2"/>
      <c r="C57" s="2"/>
      <c r="D57" s="2"/>
      <c r="E57" s="2"/>
      <c r="F57" s="2"/>
      <c r="G57" s="2"/>
      <c r="H57" s="80"/>
      <c r="I57" s="2"/>
      <c r="J57" s="2"/>
      <c r="K57" s="2"/>
      <c r="L57" s="2"/>
      <c r="M57" s="2"/>
      <c r="N57" s="2"/>
      <c r="O57" s="80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 t="b">
        <f>IF($AE$1=$AK$2,AL2,IF($AE$1=$AK$3,AL7,IF($AE$1=$AK$4,AL12,IF($AE$1=$AK$5,AL17,IF($AE$1=$AK$6,AL22,IF($AE$1=$AK$7,AL27,IF($AE$1=$AK$8,AL32,IF($AE$1=$AK$9,AL37,IF($AE$1=$AK$10,AL42,IF($AE$1=$AK$11,AL47,IF($AE$1=$AK$12,AS2,IF($AE$1=$AK$13,AS7,IF($AE$1=$AK$14,AS12,IF($AE$1=$AK$15,AS17,IF($AE$1=$AK$16,AS22,IF($AE$1=$AK$17,AS27,IF($AE$1=$AK$18,AS32,IF($AE$1=$AK$19,AS37,IF($AE$1=$AK$20,AS42,IF($AE$1=$AK$21,AS47,IF($AE$1=$AK$22,AS52,IF($AE$1=$AK$22,AZ2,IF($AE$1=$AK$23,AZ7,IF($AE$1=$AK$24,AZ12,IF($AE$1=$AK$25,AZ17,IF($AE$1=$AK$26,AZ22,IF($AE$1=$AK$27,AZ27,IF($AE$1=$AK$28,AZ32,IF($AE$1=$AK$29,AZ37,IF($AE$1=$AK$30,AZ42,IF($AE$1=$AK$31,AZ47)))))))))))))))))))))))))))))))</f>
        <v>0</v>
      </c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</row>
    <row r="58" spans="1:57" ht="14.25" customHeight="1">
      <c r="A58" s="2"/>
      <c r="B58" s="2"/>
      <c r="C58" s="2"/>
      <c r="D58" s="2"/>
      <c r="E58" s="2"/>
      <c r="F58" s="2"/>
      <c r="G58" s="2"/>
      <c r="H58" s="80"/>
      <c r="I58" s="2"/>
      <c r="J58" s="2"/>
      <c r="K58" s="2"/>
      <c r="L58" s="2"/>
      <c r="M58" s="2"/>
      <c r="N58" s="2"/>
      <c r="O58" s="80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</row>
    <row r="59" spans="1:57" ht="14.25" customHeight="1">
      <c r="A59" s="2"/>
      <c r="B59" s="2"/>
      <c r="C59" s="2"/>
      <c r="D59" s="2"/>
      <c r="E59" s="2"/>
      <c r="F59" s="2"/>
      <c r="G59" s="2"/>
      <c r="H59" s="80"/>
      <c r="I59" s="2"/>
      <c r="J59" s="2"/>
      <c r="K59" s="2"/>
      <c r="L59" s="2"/>
      <c r="M59" s="2"/>
      <c r="N59" s="2"/>
      <c r="O59" s="80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</row>
    <row r="60" spans="1:57" ht="14.25" customHeight="1">
      <c r="A60" s="2"/>
      <c r="B60" s="2"/>
      <c r="C60" s="2"/>
      <c r="D60" s="2"/>
      <c r="E60" s="2"/>
      <c r="F60" s="2"/>
      <c r="G60" s="2"/>
      <c r="H60" s="80"/>
      <c r="I60" s="2"/>
      <c r="J60" s="2"/>
      <c r="K60" s="2"/>
      <c r="L60" s="2"/>
      <c r="M60" s="2"/>
      <c r="N60" s="2"/>
      <c r="O60" s="80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</row>
    <row r="61" spans="1:57" ht="14.25" customHeight="1">
      <c r="A61" s="2"/>
      <c r="B61" s="2"/>
      <c r="C61" s="2"/>
      <c r="D61" s="2"/>
      <c r="E61" s="2"/>
      <c r="F61" s="2"/>
      <c r="G61" s="2"/>
      <c r="H61" s="80"/>
      <c r="I61" s="2"/>
      <c r="J61" s="2"/>
      <c r="K61" s="2"/>
      <c r="L61" s="2"/>
      <c r="M61" s="2"/>
      <c r="N61" s="2"/>
      <c r="O61" s="80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</row>
    <row r="62" spans="1:57" ht="14.25" customHeight="1">
      <c r="A62" s="2"/>
      <c r="B62" s="2"/>
      <c r="C62" s="2"/>
      <c r="D62" s="2"/>
      <c r="E62" s="2"/>
      <c r="F62" s="2"/>
      <c r="G62" s="2"/>
      <c r="H62" s="80"/>
      <c r="I62" s="2"/>
      <c r="J62" s="2"/>
      <c r="K62" s="2"/>
      <c r="L62" s="2"/>
      <c r="M62" s="2"/>
      <c r="N62" s="2"/>
      <c r="O62" s="80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</row>
    <row r="63" spans="1:57" ht="14.25" customHeight="1">
      <c r="A63" s="2"/>
      <c r="B63" s="2"/>
      <c r="C63" s="2"/>
      <c r="D63" s="2"/>
      <c r="E63" s="2"/>
      <c r="F63" s="2"/>
      <c r="G63" s="2"/>
      <c r="H63" s="80"/>
      <c r="I63" s="2"/>
      <c r="J63" s="2"/>
      <c r="K63" s="2"/>
      <c r="L63" s="2"/>
      <c r="M63" s="2"/>
      <c r="N63" s="2"/>
      <c r="O63" s="80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</row>
    <row r="64" spans="1:57" ht="14.25" customHeight="1">
      <c r="A64" s="2"/>
      <c r="B64" s="2"/>
      <c r="C64" s="2"/>
      <c r="D64" s="2"/>
      <c r="E64" s="2"/>
      <c r="F64" s="2"/>
      <c r="G64" s="2"/>
      <c r="H64" s="80"/>
      <c r="I64" s="2"/>
      <c r="J64" s="2"/>
      <c r="K64" s="2"/>
      <c r="L64" s="2"/>
      <c r="M64" s="2"/>
      <c r="N64" s="2"/>
      <c r="O64" s="80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</row>
    <row r="65" spans="1:57" ht="14.25" customHeight="1">
      <c r="A65" s="2"/>
      <c r="B65" s="2"/>
      <c r="C65" s="2"/>
      <c r="D65" s="2"/>
      <c r="E65" s="2"/>
      <c r="F65" s="2"/>
      <c r="G65" s="2"/>
      <c r="H65" s="80"/>
      <c r="I65" s="2"/>
      <c r="J65" s="2"/>
      <c r="K65" s="2"/>
      <c r="L65" s="2"/>
      <c r="M65" s="2"/>
      <c r="N65" s="2"/>
      <c r="O65" s="80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</row>
    <row r="66" spans="1:57" ht="14.25" customHeight="1">
      <c r="A66" s="2"/>
      <c r="B66" s="2"/>
      <c r="C66" s="2"/>
      <c r="D66" s="2"/>
      <c r="E66" s="2"/>
      <c r="F66" s="2"/>
      <c r="G66" s="2"/>
      <c r="H66" s="80"/>
      <c r="I66" s="2"/>
      <c r="J66" s="2"/>
      <c r="K66" s="2"/>
      <c r="L66" s="2"/>
      <c r="M66" s="2"/>
      <c r="N66" s="2"/>
      <c r="O66" s="80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6"/>
      <c r="AF66" s="6"/>
      <c r="AG66" s="6"/>
      <c r="AH66" s="6"/>
      <c r="AI66" s="6"/>
      <c r="AJ66" s="6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</row>
    <row r="67" spans="1:57" ht="14.25" customHeight="1">
      <c r="A67" s="2"/>
      <c r="B67" s="2"/>
      <c r="C67" s="2"/>
      <c r="D67" s="2"/>
      <c r="E67" s="2"/>
      <c r="F67" s="2"/>
      <c r="G67" s="2"/>
      <c r="H67" s="80"/>
      <c r="I67" s="2"/>
      <c r="J67" s="2"/>
      <c r="K67" s="2"/>
      <c r="L67" s="2"/>
      <c r="M67" s="2"/>
      <c r="N67" s="2"/>
      <c r="O67" s="80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6"/>
      <c r="AF67" s="6"/>
      <c r="AG67" s="6"/>
      <c r="AH67" s="6"/>
      <c r="AI67" s="6"/>
      <c r="AJ67" s="6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</row>
    <row r="68" spans="1:57" ht="14.25" customHeight="1">
      <c r="A68" s="6"/>
      <c r="B68" s="6"/>
      <c r="C68" s="6"/>
      <c r="D68" s="6"/>
      <c r="E68" s="6"/>
      <c r="F68" s="6"/>
      <c r="G68" s="6"/>
      <c r="H68" s="80"/>
      <c r="I68" s="2"/>
      <c r="J68" s="2"/>
      <c r="K68" s="2"/>
      <c r="L68" s="2"/>
      <c r="M68" s="2"/>
      <c r="N68" s="2"/>
      <c r="O68" s="80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6"/>
      <c r="AF68" s="6"/>
      <c r="AG68" s="6"/>
      <c r="AH68" s="6"/>
      <c r="AI68" s="6"/>
      <c r="AJ68" s="6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</row>
    <row r="69" spans="1:57" ht="14.25" customHeight="1">
      <c r="A69" s="6"/>
      <c r="B69" s="6"/>
      <c r="C69" s="6"/>
      <c r="D69" s="6"/>
      <c r="E69" s="6"/>
      <c r="F69" s="6"/>
      <c r="G69" s="6"/>
      <c r="H69" s="80"/>
      <c r="I69" s="2"/>
      <c r="J69" s="2"/>
      <c r="K69" s="2"/>
      <c r="L69" s="2"/>
      <c r="M69" s="2"/>
      <c r="N69" s="2"/>
      <c r="O69" s="80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6"/>
      <c r="AF69" s="6"/>
      <c r="AG69" s="6"/>
      <c r="AH69" s="6"/>
      <c r="AI69" s="6"/>
      <c r="AJ69" s="6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</row>
    <row r="70" spans="1:57" ht="14.25" customHeight="1">
      <c r="A70" s="6"/>
      <c r="B70" s="6"/>
      <c r="C70" s="6"/>
      <c r="D70" s="6"/>
      <c r="E70" s="6"/>
      <c r="F70" s="6"/>
      <c r="G70" s="6"/>
      <c r="H70" s="80"/>
      <c r="I70" s="2"/>
      <c r="J70" s="2"/>
      <c r="K70" s="2"/>
      <c r="L70" s="2"/>
      <c r="M70" s="2"/>
      <c r="N70" s="2"/>
      <c r="O70" s="80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6"/>
      <c r="AF70" s="6"/>
      <c r="AG70" s="6"/>
      <c r="AH70" s="6"/>
      <c r="AI70" s="6"/>
      <c r="AJ70" s="6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</row>
    <row r="71" spans="1:57" ht="14.25" customHeight="1">
      <c r="A71" s="6"/>
      <c r="B71" s="6"/>
      <c r="C71" s="6"/>
      <c r="D71" s="6"/>
      <c r="E71" s="6"/>
      <c r="F71" s="6"/>
      <c r="G71" s="6"/>
      <c r="H71" s="80"/>
      <c r="I71" s="2"/>
      <c r="J71" s="2"/>
      <c r="K71" s="2"/>
      <c r="L71" s="2"/>
      <c r="M71" s="2"/>
      <c r="N71" s="2"/>
      <c r="O71" s="80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6"/>
      <c r="AF71" s="6"/>
      <c r="AG71" s="6"/>
      <c r="AH71" s="6"/>
      <c r="AI71" s="6"/>
      <c r="AJ71" s="6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</row>
    <row r="72" spans="1:57" ht="14.25" customHeight="1">
      <c r="A72" s="6"/>
      <c r="B72" s="6"/>
      <c r="C72" s="6"/>
      <c r="D72" s="6"/>
      <c r="E72" s="6"/>
      <c r="F72" s="6"/>
      <c r="G72" s="6"/>
      <c r="H72" s="80"/>
      <c r="I72" s="2"/>
      <c r="J72" s="2"/>
      <c r="K72" s="2"/>
      <c r="L72" s="2"/>
      <c r="M72" s="2"/>
      <c r="N72" s="2"/>
      <c r="O72" s="80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6"/>
      <c r="AF72" s="6"/>
      <c r="AG72" s="6"/>
      <c r="AH72" s="6"/>
      <c r="AI72" s="6"/>
      <c r="AJ72" s="6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</row>
    <row r="73" spans="1:57" ht="14.25" customHeight="1">
      <c r="A73" s="6"/>
      <c r="B73" s="6"/>
      <c r="C73" s="6"/>
      <c r="D73" s="6"/>
      <c r="E73" s="6"/>
      <c r="F73" s="6"/>
      <c r="G73" s="6"/>
      <c r="H73" s="80"/>
      <c r="I73" s="2"/>
      <c r="J73" s="2"/>
      <c r="K73" s="2"/>
      <c r="L73" s="2"/>
      <c r="M73" s="2"/>
      <c r="N73" s="2"/>
      <c r="O73" s="80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6"/>
      <c r="AF73" s="6"/>
      <c r="AG73" s="6"/>
      <c r="AH73" s="6"/>
      <c r="AI73" s="6"/>
      <c r="AJ73" s="6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</row>
    <row r="74" spans="1:57" ht="14.25" customHeight="1">
      <c r="A74" s="6"/>
      <c r="B74" s="6"/>
      <c r="C74" s="6"/>
      <c r="D74" s="6"/>
      <c r="E74" s="6"/>
      <c r="F74" s="6"/>
      <c r="G74" s="6"/>
      <c r="H74" s="80"/>
      <c r="I74" s="2"/>
      <c r="J74" s="2"/>
      <c r="K74" s="2"/>
      <c r="L74" s="2"/>
      <c r="M74" s="2"/>
      <c r="N74" s="2"/>
      <c r="O74" s="80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6"/>
      <c r="AF74" s="6"/>
      <c r="AG74" s="6"/>
      <c r="AH74" s="6"/>
      <c r="AI74" s="6"/>
      <c r="AJ74" s="6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</row>
    <row r="75" spans="1:57" ht="14.25" customHeight="1">
      <c r="A75" s="6"/>
      <c r="B75" s="6"/>
      <c r="C75" s="6"/>
      <c r="D75" s="6"/>
      <c r="E75" s="6"/>
      <c r="F75" s="6"/>
      <c r="G75" s="6"/>
      <c r="H75" s="80"/>
      <c r="I75" s="2"/>
      <c r="J75" s="2"/>
      <c r="K75" s="2"/>
      <c r="L75" s="2"/>
      <c r="M75" s="2"/>
      <c r="N75" s="2"/>
      <c r="O75" s="80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6"/>
      <c r="AF75" s="6"/>
      <c r="AG75" s="6"/>
      <c r="AH75" s="6"/>
      <c r="AI75" s="6"/>
      <c r="AJ75" s="6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</row>
    <row r="76" spans="1:57" ht="14.25" customHeight="1">
      <c r="A76" s="6"/>
      <c r="B76" s="6"/>
      <c r="C76" s="6"/>
      <c r="D76" s="6"/>
      <c r="E76" s="6"/>
      <c r="F76" s="6"/>
      <c r="G76" s="6"/>
      <c r="H76" s="80"/>
      <c r="I76" s="2"/>
      <c r="J76" s="2"/>
      <c r="K76" s="2"/>
      <c r="L76" s="2"/>
      <c r="M76" s="2"/>
      <c r="N76" s="2"/>
      <c r="O76" s="80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6"/>
      <c r="AF76" s="6"/>
      <c r="AG76" s="6"/>
      <c r="AH76" s="6"/>
      <c r="AI76" s="6"/>
      <c r="AJ76" s="6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</row>
    <row r="77" spans="1:57" ht="14.25" customHeight="1">
      <c r="A77" s="6"/>
      <c r="B77" s="6"/>
      <c r="C77" s="6"/>
      <c r="D77" s="6"/>
      <c r="E77" s="6"/>
      <c r="F77" s="6"/>
      <c r="G77" s="6"/>
      <c r="H77" s="80"/>
      <c r="I77" s="2"/>
      <c r="J77" s="2"/>
      <c r="K77" s="2"/>
      <c r="L77" s="2"/>
      <c r="M77" s="2"/>
      <c r="N77" s="2"/>
      <c r="O77" s="80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6"/>
      <c r="AF77" s="6"/>
      <c r="AG77" s="6"/>
      <c r="AH77" s="6"/>
      <c r="AI77" s="6"/>
      <c r="AJ77" s="6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</row>
    <row r="78" spans="1:57" ht="14.25" customHeight="1">
      <c r="A78" s="6" t="b">
        <f>IF(A1=H12,P2,IF(A1=H13,P7,IF(A1=H14,P12,IF(A1=H15,P17,IF(A1=H16,P22,IF(A1=H17,P27,IF(A1=H18,P32,IF(A1=H19,P37,IF(A1=H20,P42,IF(A1=H21,P47,IF(A1=H22,P52)))))))))))</f>
        <v>0</v>
      </c>
      <c r="B78" s="6"/>
      <c r="C78" s="6"/>
      <c r="D78" s="6"/>
      <c r="E78" s="6"/>
      <c r="F78" s="6"/>
      <c r="G78" s="6"/>
      <c r="H78" s="80"/>
      <c r="I78" s="2"/>
      <c r="J78" s="2"/>
      <c r="K78" s="2"/>
      <c r="L78" s="2"/>
      <c r="M78" s="2"/>
      <c r="N78" s="2"/>
      <c r="O78" s="80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6"/>
      <c r="AF78" s="6"/>
      <c r="AG78" s="6"/>
      <c r="AH78" s="6"/>
      <c r="AI78" s="6"/>
      <c r="AJ78" s="6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</row>
    <row r="79" spans="1:57" ht="14.25" customHeight="1">
      <c r="A79" s="6" t="b">
        <f>IF(A1=H22,W2,IF(A1=H23,W7,IF(A1=H24,W12,IF(A1=H25,W17,IF(A1=H26,W22,IF(A1=H27,W27,IF(A1=H28,W32,IF(A1=H29,W37,IF(A1=H30,W42,IF(A1=H31,W47))))))))))</f>
        <v>0</v>
      </c>
      <c r="B79" s="6"/>
      <c r="C79" s="6"/>
      <c r="D79" s="6"/>
      <c r="E79" s="6"/>
      <c r="F79" s="6"/>
      <c r="G79" s="6"/>
      <c r="H79" s="80"/>
      <c r="I79" s="2"/>
      <c r="J79" s="2"/>
      <c r="K79" s="2"/>
      <c r="L79" s="2"/>
      <c r="M79" s="2"/>
      <c r="N79" s="2"/>
      <c r="O79" s="80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6"/>
      <c r="AF79" s="6"/>
      <c r="AG79" s="6"/>
      <c r="AH79" s="6"/>
      <c r="AI79" s="6"/>
      <c r="AJ79" s="6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</row>
    <row r="80" spans="1:57" ht="14.25" customHeight="1">
      <c r="A80" s="6"/>
      <c r="B80" s="6"/>
      <c r="C80" s="6"/>
      <c r="D80" s="6"/>
      <c r="E80" s="6"/>
      <c r="F80" s="6"/>
      <c r="G80" s="6"/>
      <c r="H80" s="80"/>
      <c r="I80" s="2"/>
      <c r="J80" s="2"/>
      <c r="K80" s="2"/>
      <c r="L80" s="2"/>
      <c r="M80" s="2"/>
      <c r="N80" s="2"/>
      <c r="O80" s="80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6"/>
      <c r="AF80" s="6"/>
      <c r="AG80" s="6"/>
      <c r="AH80" s="6"/>
      <c r="AI80" s="6"/>
      <c r="AJ80" s="6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</row>
    <row r="81" spans="1:57" ht="14.25" customHeight="1">
      <c r="A81" s="6"/>
      <c r="B81" s="6"/>
      <c r="C81" s="6"/>
      <c r="D81" s="6"/>
      <c r="E81" s="6"/>
      <c r="F81" s="6"/>
      <c r="G81" s="6"/>
      <c r="H81" s="80"/>
      <c r="I81" s="2"/>
      <c r="J81" s="2"/>
      <c r="K81" s="2"/>
      <c r="L81" s="2"/>
      <c r="M81" s="2"/>
      <c r="N81" s="2"/>
      <c r="O81" s="80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6"/>
      <c r="AF81" s="6"/>
      <c r="AG81" s="6"/>
      <c r="AH81" s="6"/>
      <c r="AI81" s="6"/>
      <c r="AJ81" s="6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</row>
    <row r="82" spans="1:57" ht="14.25" customHeight="1">
      <c r="A82" s="6"/>
      <c r="B82" s="6"/>
      <c r="C82" s="6"/>
      <c r="D82" s="6"/>
      <c r="E82" s="6"/>
      <c r="F82" s="6"/>
      <c r="G82" s="6"/>
      <c r="H82" s="80"/>
      <c r="I82" s="2"/>
      <c r="J82" s="2"/>
      <c r="K82" s="2"/>
      <c r="L82" s="2"/>
      <c r="M82" s="2"/>
      <c r="N82" s="2"/>
      <c r="O82" s="80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6"/>
      <c r="AF82" s="6"/>
      <c r="AG82" s="6"/>
      <c r="AH82" s="6"/>
      <c r="AI82" s="6"/>
      <c r="AJ82" s="6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</row>
    <row r="83" spans="1:57" ht="14.25" customHeight="1">
      <c r="A83" s="6"/>
      <c r="B83" s="6"/>
      <c r="C83" s="6"/>
      <c r="D83" s="6"/>
      <c r="E83" s="6"/>
      <c r="F83" s="6"/>
      <c r="G83" s="6"/>
      <c r="H83" s="80"/>
      <c r="I83" s="2"/>
      <c r="J83" s="2"/>
      <c r="K83" s="2"/>
      <c r="L83" s="2"/>
      <c r="M83" s="2"/>
      <c r="N83" s="2"/>
      <c r="O83" s="80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6"/>
      <c r="AF83" s="6"/>
      <c r="AG83" s="6"/>
      <c r="AH83" s="6"/>
      <c r="AI83" s="6"/>
      <c r="AJ83" s="6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</row>
    <row r="84" spans="1:57" ht="14.25" customHeight="1">
      <c r="A84" s="6"/>
      <c r="B84" s="6"/>
      <c r="C84" s="6"/>
      <c r="D84" s="6"/>
      <c r="E84" s="6"/>
      <c r="F84" s="6"/>
      <c r="G84" s="6"/>
      <c r="H84" s="80"/>
      <c r="I84" s="2"/>
      <c r="J84" s="2"/>
      <c r="K84" s="2"/>
      <c r="L84" s="2"/>
      <c r="M84" s="2"/>
      <c r="N84" s="2"/>
      <c r="O84" s="80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6"/>
      <c r="AF84" s="6"/>
      <c r="AG84" s="6"/>
      <c r="AH84" s="6"/>
      <c r="AI84" s="6"/>
      <c r="AJ84" s="6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</row>
    <row r="85" spans="1:57" ht="14.25" customHeight="1">
      <c r="A85" s="6"/>
      <c r="B85" s="6"/>
      <c r="C85" s="6"/>
      <c r="D85" s="6"/>
      <c r="E85" s="6"/>
      <c r="F85" s="6"/>
      <c r="G85" s="6"/>
      <c r="H85" s="80"/>
      <c r="I85" s="2"/>
      <c r="J85" s="2"/>
      <c r="K85" s="2"/>
      <c r="L85" s="2"/>
      <c r="M85" s="2"/>
      <c r="N85" s="2"/>
      <c r="O85" s="80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6"/>
      <c r="AF85" s="6"/>
      <c r="AG85" s="6"/>
      <c r="AH85" s="6"/>
      <c r="AI85" s="6"/>
      <c r="AJ85" s="6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</row>
    <row r="86" spans="1:57" ht="14.25" customHeight="1">
      <c r="A86" s="6"/>
      <c r="B86" s="6"/>
      <c r="C86" s="6"/>
      <c r="D86" s="6"/>
      <c r="E86" s="6"/>
      <c r="F86" s="6"/>
      <c r="G86" s="6"/>
      <c r="H86" s="80"/>
      <c r="I86" s="2"/>
      <c r="J86" s="2"/>
      <c r="K86" s="2"/>
      <c r="L86" s="2"/>
      <c r="M86" s="2"/>
      <c r="N86" s="2"/>
      <c r="O86" s="80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6"/>
      <c r="AF86" s="6"/>
      <c r="AG86" s="6"/>
      <c r="AH86" s="6"/>
      <c r="AI86" s="6"/>
      <c r="AJ86" s="6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</row>
    <row r="87" spans="1:57" ht="14.25" customHeight="1">
      <c r="A87" s="6"/>
      <c r="B87" s="6"/>
      <c r="C87" s="6"/>
      <c r="D87" s="6"/>
      <c r="E87" s="6"/>
      <c r="F87" s="6"/>
      <c r="G87" s="6"/>
      <c r="H87" s="80"/>
      <c r="I87" s="2"/>
      <c r="J87" s="2"/>
      <c r="K87" s="2"/>
      <c r="L87" s="2"/>
      <c r="M87" s="2"/>
      <c r="N87" s="2"/>
      <c r="O87" s="80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6"/>
      <c r="AF87" s="6"/>
      <c r="AG87" s="6"/>
      <c r="AH87" s="6"/>
      <c r="AI87" s="6"/>
      <c r="AJ87" s="6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</row>
    <row r="88" spans="1:57" ht="14.25" customHeight="1">
      <c r="A88" s="6"/>
      <c r="B88" s="6"/>
      <c r="C88" s="6"/>
      <c r="D88" s="6"/>
      <c r="E88" s="6"/>
      <c r="F88" s="6"/>
      <c r="G88" s="6"/>
      <c r="H88" s="80"/>
      <c r="I88" s="2"/>
      <c r="J88" s="2"/>
      <c r="K88" s="2"/>
      <c r="L88" s="2"/>
      <c r="M88" s="2"/>
      <c r="N88" s="2"/>
      <c r="O88" s="80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6"/>
      <c r="AF88" s="6"/>
      <c r="AG88" s="6"/>
      <c r="AH88" s="6"/>
      <c r="AI88" s="6"/>
      <c r="AJ88" s="6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</row>
    <row r="89" spans="1:57" ht="14.25" customHeight="1">
      <c r="A89" s="6"/>
      <c r="B89" s="6"/>
      <c r="C89" s="6"/>
      <c r="D89" s="6"/>
      <c r="E89" s="6"/>
      <c r="F89" s="6"/>
      <c r="G89" s="6"/>
      <c r="H89" s="80"/>
      <c r="I89" s="2"/>
      <c r="J89" s="2"/>
      <c r="K89" s="2"/>
      <c r="L89" s="2"/>
      <c r="M89" s="2"/>
      <c r="N89" s="2"/>
      <c r="O89" s="80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6"/>
      <c r="AF89" s="6"/>
      <c r="AG89" s="6"/>
      <c r="AH89" s="6"/>
      <c r="AI89" s="6"/>
      <c r="AJ89" s="6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</row>
    <row r="90" spans="1:57" ht="14.25" customHeight="1">
      <c r="A90" s="6"/>
      <c r="B90" s="6"/>
      <c r="C90" s="6"/>
      <c r="D90" s="6"/>
      <c r="E90" s="6"/>
      <c r="F90" s="6"/>
      <c r="G90" s="6"/>
      <c r="H90" s="80"/>
      <c r="I90" s="2"/>
      <c r="J90" s="2"/>
      <c r="K90" s="2"/>
      <c r="L90" s="2"/>
      <c r="M90" s="2"/>
      <c r="N90" s="2"/>
      <c r="O90" s="80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6"/>
      <c r="AF90" s="6"/>
      <c r="AG90" s="6"/>
      <c r="AH90" s="6"/>
      <c r="AI90" s="6"/>
      <c r="AJ90" s="6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</row>
    <row r="91" spans="1:57" ht="14.25" customHeight="1">
      <c r="A91" s="6"/>
      <c r="B91" s="6"/>
      <c r="C91" s="6"/>
      <c r="D91" s="6"/>
      <c r="E91" s="6"/>
      <c r="F91" s="6"/>
      <c r="G91" s="6"/>
      <c r="H91" s="80"/>
      <c r="I91" s="2"/>
      <c r="J91" s="2"/>
      <c r="K91" s="2"/>
      <c r="L91" s="2"/>
      <c r="M91" s="2"/>
      <c r="N91" s="2"/>
      <c r="O91" s="80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6"/>
      <c r="AF91" s="6"/>
      <c r="AG91" s="6"/>
      <c r="AH91" s="6"/>
      <c r="AI91" s="6"/>
      <c r="AJ91" s="6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</row>
    <row r="92" spans="1:57" ht="14.25" customHeight="1">
      <c r="A92" s="6"/>
      <c r="B92" s="6"/>
      <c r="C92" s="6"/>
      <c r="D92" s="6"/>
      <c r="E92" s="6"/>
      <c r="F92" s="6"/>
      <c r="G92" s="6"/>
      <c r="H92" s="80"/>
      <c r="I92" s="2"/>
      <c r="J92" s="2"/>
      <c r="K92" s="2"/>
      <c r="L92" s="2"/>
      <c r="M92" s="2"/>
      <c r="N92" s="2"/>
      <c r="O92" s="80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6"/>
      <c r="AF92" s="6"/>
      <c r="AG92" s="6"/>
      <c r="AH92" s="6"/>
      <c r="AI92" s="6"/>
      <c r="AJ92" s="6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</row>
    <row r="93" spans="1:57" ht="14.25" customHeight="1">
      <c r="A93" s="6"/>
      <c r="B93" s="6"/>
      <c r="C93" s="6"/>
      <c r="D93" s="6"/>
      <c r="E93" s="6"/>
      <c r="F93" s="6"/>
      <c r="G93" s="6"/>
      <c r="H93" s="80"/>
      <c r="I93" s="2"/>
      <c r="J93" s="2"/>
      <c r="K93" s="2"/>
      <c r="L93" s="2"/>
      <c r="M93" s="2"/>
      <c r="N93" s="2"/>
      <c r="O93" s="80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6"/>
      <c r="AF93" s="6"/>
      <c r="AG93" s="6"/>
      <c r="AH93" s="6"/>
      <c r="AI93" s="6"/>
      <c r="AJ93" s="6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</row>
    <row r="94" spans="1:57" ht="14.25" customHeight="1">
      <c r="A94" s="6"/>
      <c r="B94" s="6"/>
      <c r="C94" s="6"/>
      <c r="D94" s="6"/>
      <c r="E94" s="6"/>
      <c r="F94" s="6"/>
      <c r="G94" s="6"/>
      <c r="H94" s="80"/>
      <c r="I94" s="2"/>
      <c r="J94" s="2"/>
      <c r="K94" s="2"/>
      <c r="L94" s="2"/>
      <c r="M94" s="2"/>
      <c r="N94" s="2"/>
      <c r="O94" s="80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6"/>
      <c r="AF94" s="6"/>
      <c r="AG94" s="6"/>
      <c r="AH94" s="6"/>
      <c r="AI94" s="6"/>
      <c r="AJ94" s="6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</row>
    <row r="95" spans="1:57" ht="14.25" customHeight="1">
      <c r="A95" s="6"/>
      <c r="B95" s="6"/>
      <c r="C95" s="6"/>
      <c r="D95" s="6"/>
      <c r="E95" s="6"/>
      <c r="F95" s="6"/>
      <c r="G95" s="6"/>
      <c r="H95" s="80"/>
      <c r="I95" s="2"/>
      <c r="J95" s="2"/>
      <c r="K95" s="2"/>
      <c r="L95" s="2"/>
      <c r="M95" s="2"/>
      <c r="N95" s="2"/>
      <c r="O95" s="80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6"/>
      <c r="AF95" s="6"/>
      <c r="AG95" s="6"/>
      <c r="AH95" s="6"/>
      <c r="AI95" s="6"/>
      <c r="AJ95" s="6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</row>
    <row r="96" spans="1:57" ht="14.25" customHeight="1">
      <c r="A96" s="6"/>
      <c r="B96" s="6"/>
      <c r="C96" s="6"/>
      <c r="D96" s="6"/>
      <c r="E96" s="6"/>
      <c r="F96" s="6"/>
      <c r="G96" s="6"/>
      <c r="H96" s="80"/>
      <c r="I96" s="2"/>
      <c r="J96" s="2"/>
      <c r="K96" s="2"/>
      <c r="L96" s="2"/>
      <c r="M96" s="2"/>
      <c r="N96" s="2"/>
      <c r="O96" s="80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6"/>
      <c r="AF96" s="6"/>
      <c r="AG96" s="6"/>
      <c r="AH96" s="6"/>
      <c r="AI96" s="6"/>
      <c r="AJ96" s="6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</row>
    <row r="97" spans="1:57" ht="14.25" customHeight="1">
      <c r="A97" s="6"/>
      <c r="B97" s="6"/>
      <c r="C97" s="6"/>
      <c r="D97" s="6"/>
      <c r="E97" s="6"/>
      <c r="F97" s="6"/>
      <c r="G97" s="6"/>
      <c r="H97" s="80"/>
      <c r="I97" s="2"/>
      <c r="J97" s="2"/>
      <c r="K97" s="2"/>
      <c r="L97" s="2"/>
      <c r="M97" s="2"/>
      <c r="N97" s="2"/>
      <c r="O97" s="80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6"/>
      <c r="AF97" s="6"/>
      <c r="AG97" s="6"/>
      <c r="AH97" s="6"/>
      <c r="AI97" s="6"/>
      <c r="AJ97" s="6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</row>
    <row r="98" spans="1:57" ht="14.25" customHeight="1">
      <c r="A98" s="6"/>
      <c r="B98" s="6"/>
      <c r="C98" s="6"/>
      <c r="D98" s="6"/>
      <c r="E98" s="6"/>
      <c r="F98" s="6"/>
      <c r="G98" s="6"/>
      <c r="H98" s="80"/>
      <c r="I98" s="2"/>
      <c r="J98" s="2"/>
      <c r="K98" s="2"/>
      <c r="L98" s="2"/>
      <c r="M98" s="2"/>
      <c r="N98" s="2"/>
      <c r="O98" s="80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6"/>
      <c r="AF98" s="6"/>
      <c r="AG98" s="6"/>
      <c r="AH98" s="6"/>
      <c r="AI98" s="6"/>
      <c r="AJ98" s="6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</row>
    <row r="99" spans="1:57" ht="14.25" customHeight="1">
      <c r="A99" s="6"/>
      <c r="B99" s="6"/>
      <c r="C99" s="6"/>
      <c r="D99" s="6"/>
      <c r="E99" s="6"/>
      <c r="F99" s="6"/>
      <c r="G99" s="6"/>
      <c r="H99" s="80"/>
      <c r="I99" s="2"/>
      <c r="J99" s="2"/>
      <c r="K99" s="2"/>
      <c r="L99" s="2"/>
      <c r="M99" s="2"/>
      <c r="N99" s="2"/>
      <c r="O99" s="80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6"/>
      <c r="AF99" s="6"/>
      <c r="AG99" s="6"/>
      <c r="AH99" s="6"/>
      <c r="AI99" s="6"/>
      <c r="AJ99" s="6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</row>
    <row r="100" spans="1:57" ht="14.25" customHeight="1">
      <c r="A100" s="6"/>
      <c r="B100" s="6"/>
      <c r="C100" s="6"/>
      <c r="D100" s="6"/>
      <c r="E100" s="6"/>
      <c r="F100" s="6"/>
      <c r="G100" s="6"/>
      <c r="H100" s="80"/>
      <c r="I100" s="2"/>
      <c r="J100" s="2"/>
      <c r="K100" s="2"/>
      <c r="L100" s="2"/>
      <c r="M100" s="2"/>
      <c r="N100" s="2"/>
      <c r="O100" s="80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6"/>
      <c r="AF100" s="6"/>
      <c r="AG100" s="6"/>
      <c r="AH100" s="6"/>
      <c r="AI100" s="6"/>
      <c r="AJ100" s="6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</row>
  </sheetData>
  <dataValidations count="2">
    <dataValidation type="list" allowBlank="1" showErrorMessage="1" sqref="A1">
      <formula1>$H$2:$H$31</formula1>
    </dataValidation>
    <dataValidation type="list" allowBlank="1" showErrorMessage="1" sqref="AE1">
      <formula1>$AK$2:$AK$31</formula1>
    </dataValidation>
  </dataValidations>
  <pageMargins left="0.7" right="0.7" top="0.75" bottom="0.75" header="0" footer="0"/>
  <pageSetup orientation="portrait" useFirstPageNumber="1"/>
  <headerFooter>
    <oddHeader>&amp;L&amp;C&amp;R</oddHeader>
    <oddFooter>&amp;L&amp;C&amp;R</oddFooter>
  </headerFooter>
  <extLst/>
</worksheet>
</file>

<file path=xl/worksheets/sheet10.xml><?xml version="1.0" encoding="utf-8"?>
<worksheet xmlns="http://schemas.openxmlformats.org/spreadsheetml/2006/main" xmlns:r="http://schemas.openxmlformats.org/officeDocument/2006/relationships">
  <dimension ref="A1:BE100"/>
  <sheetViews>
    <sheetView zoomScale="120" zoomScaleNormal="120" workbookViewId="0"/>
  </sheetViews>
  <sheetFormatPr defaultColWidth="9.140625" defaultRowHeight="15" customHeight="1"/>
  <cols>
    <col min="1" max="1" width="32.5703125" customWidth="1"/>
    <col min="2" max="2" width="13.28515625" customWidth="1"/>
    <col min="3" max="6" width="7.7109375" customWidth="1"/>
    <col min="7" max="7" width="14.28515625" hidden="1" customWidth="1"/>
    <col min="8" max="8" width="26.85546875" style="82" hidden="1" customWidth="1"/>
    <col min="9" max="9" width="19" style="9" hidden="1" customWidth="1"/>
    <col min="10" max="14" width="7.7109375" style="9" hidden="1" customWidth="1"/>
    <col min="15" max="15" width="11.85546875" style="82" hidden="1" customWidth="1"/>
    <col min="16" max="16" width="19" style="9" hidden="1" customWidth="1"/>
    <col min="17" max="21" width="7.7109375" style="9" hidden="1" customWidth="1"/>
    <col min="22" max="22" width="13.7109375" style="82" hidden="1" customWidth="1"/>
    <col min="23" max="23" width="19" style="9" hidden="1" customWidth="1"/>
    <col min="24" max="30" width="7.7109375" style="9" hidden="1" customWidth="1"/>
    <col min="31" max="34" width="7.7109375" hidden="1" customWidth="1"/>
    <col min="35" max="35" width="12.85546875" hidden="1" customWidth="1"/>
    <col min="36" max="36" width="7.7109375" hidden="1" customWidth="1"/>
    <col min="37" max="37" width="7.7109375" style="9" hidden="1" customWidth="1"/>
    <col min="38" max="38" width="19" style="9" hidden="1" customWidth="1"/>
    <col min="39" max="44" width="7.7109375" style="9" hidden="1" customWidth="1"/>
    <col min="45" max="45" width="19" style="9" hidden="1" customWidth="1"/>
    <col min="46" max="51" width="7.7109375" style="9" hidden="1" customWidth="1"/>
    <col min="52" max="52" width="19" style="9" hidden="1" customWidth="1"/>
    <col min="53" max="57" width="7.7109375" style="9" hidden="1" customWidth="1"/>
  </cols>
  <sheetData>
    <row r="1" spans="1:57" ht="24" customHeight="1" thickBot="1">
      <c r="A1" s="1" t="s">
        <v>1061</v>
      </c>
      <c r="B1" s="2"/>
      <c r="C1" s="2"/>
      <c r="D1" s="2"/>
      <c r="E1" s="2"/>
      <c r="F1" s="2"/>
      <c r="G1" s="2"/>
      <c r="H1" s="80"/>
      <c r="I1" s="2"/>
      <c r="J1" s="2"/>
      <c r="K1" s="2"/>
      <c r="L1" s="2"/>
      <c r="M1" s="2"/>
      <c r="N1" s="2"/>
      <c r="O1" s="80"/>
      <c r="P1" s="2"/>
      <c r="Q1" s="2"/>
      <c r="R1" s="2"/>
      <c r="S1" s="2"/>
      <c r="T1" s="2"/>
      <c r="U1" s="2"/>
      <c r="V1" s="80"/>
      <c r="W1" s="2"/>
      <c r="X1" s="2"/>
      <c r="Y1" s="2"/>
      <c r="Z1" s="2"/>
      <c r="AA1" s="2"/>
      <c r="AB1" s="2"/>
      <c r="AC1" s="2"/>
      <c r="AD1" s="2"/>
      <c r="AE1" s="1" t="s">
        <v>900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</row>
    <row r="2" spans="1:57" ht="15" hidden="1" customHeight="1" thickBot="1">
      <c r="A2" s="3" t="str">
        <f t="shared" ref="A2:G2" si="0">IF($A$1=$H$2,I2,IF($A$1=$H$3,I7,IF($A$1=$H$4,I12,IF($A$1=$H$5,I17,IF($A$1=$H$6,I22,IF($A$1=$H$7,I27,IF($A$1=$H$8,I32,IF($A$1=$H$9,I37,IF($A$1=$H$10,I42,IF($A$1=$H$11,I47,IF($A$1=$H$12,P2,IF($A$1=$H$13,P7,IF($A$1=$H$14,P12,IF($A$1=$H$15,P17,IF($A$1=$H$16,P22,IF($A$1=$H$17,P27,IF($A$1=$H$18,P32,IF($A$1=$H$19,P37,IF($A$1=$H$20,P42,IF($A$1=$H$21,P47,IF($A$1=$H$21,P52,IF($A$1=$H$22,W2,IF($A$1=$H$23,W7,IF($A$1=$H$24,W12,IF($A$1=$H$25,W17,IF($A$1=$H$26,W22,IF($A$1=$H$27,W27,IF($A$1=$H$28,W32,IF($A$1=$H$29,W37,IF($A$1=$H$30,W42,IF($A$1=$H$31,W47)))))))))))))))))))))))))))))))</f>
        <v xml:space="preserve">11 ਚਾਂਦੀ ਰਾਮ ਜਈਆ ਪੁੰਨੂੰ ਰਾਮ </v>
      </c>
      <c r="B2" s="3" t="str">
        <f t="shared" si="0"/>
        <v>ਪਰਮੇਸ਼ਰੀ</v>
      </c>
      <c r="C2" s="3" t="str">
        <f t="shared" si="0"/>
        <v>ਗੌਰਵ ਕੁਮਾਰ</v>
      </c>
      <c r="D2" s="3">
        <f t="shared" si="0"/>
        <v>1</v>
      </c>
      <c r="E2" s="3">
        <f t="shared" si="0"/>
        <v>1</v>
      </c>
      <c r="F2" s="108">
        <f t="shared" si="0"/>
        <v>1</v>
      </c>
      <c r="G2" s="126">
        <f t="shared" si="0"/>
        <v>1</v>
      </c>
      <c r="H2" s="111" t="str">
        <f>I2</f>
        <v>1 ਦੁੱਲਾ ਰਾਮ ਘੁਮੰਡੀ ਰਾਮ</v>
      </c>
      <c r="I2" s="73" t="s">
        <v>1060</v>
      </c>
      <c r="J2" s="5" t="s">
        <v>167</v>
      </c>
      <c r="K2" s="5">
        <v>1</v>
      </c>
      <c r="L2" s="5">
        <v>1</v>
      </c>
      <c r="M2" s="5">
        <v>1</v>
      </c>
      <c r="N2" s="5">
        <v>1</v>
      </c>
      <c r="O2" s="80" t="s">
        <v>1295</v>
      </c>
      <c r="P2" s="73" t="s">
        <v>1061</v>
      </c>
      <c r="Q2" s="5" t="s">
        <v>1062</v>
      </c>
      <c r="R2" s="5" t="s">
        <v>130</v>
      </c>
      <c r="S2" s="5">
        <v>1</v>
      </c>
      <c r="T2" s="5">
        <v>1</v>
      </c>
      <c r="U2" s="5">
        <v>1</v>
      </c>
      <c r="V2" s="5">
        <v>1</v>
      </c>
      <c r="W2" s="73" t="s">
        <v>904</v>
      </c>
      <c r="X2" s="5">
        <v>1</v>
      </c>
      <c r="Y2" s="5">
        <v>1</v>
      </c>
      <c r="Z2" s="5">
        <v>1</v>
      </c>
      <c r="AA2" s="5">
        <v>1</v>
      </c>
      <c r="AB2" s="5">
        <v>1</v>
      </c>
      <c r="AC2" s="2">
        <v>2</v>
      </c>
      <c r="AD2" s="2"/>
      <c r="AE2" s="3" t="str">
        <f t="shared" ref="AE2:AJ6" si="1">IF($AE$1=$AK$2,AL2,IF($AE$1=$AK$3,AL7,IF($AE$1=$AK$4,AL12,IF($AE$1=$AK$5,AL17,IF($AE$1=$AK$6,AL22,IF($AE$1=$AK$7,AL27,IF($AE$1=$AK$8,AL32,IF($AE$1=$AK$9,AL37,IF($AE$1=$AK$10,AL42,IF($AE$1=$AK$11,AL47,IF($AE$1=$AK$12,AS2,IF($AE$1=$AK$13,AS7,IF($AE$1=$AK$14,AS12,IF($AE$1=$AK$15,AS17,IF($AE$1=$AK$16,AS22,IF($AE$1=$AK$17,AS27,IF($AE$1=$AK$18,AS32,IF($AE$1=$AK$19,AS37,IF($AE$1=$AK$20,AS42,IF($AE$1=$AK$21,AS47,IF($AE$1=$AK$21,AS52,IF($AE$1=$AK$22,AZ2,IF($AE$1=$AK$23,AZ7,IF($AE$1=$AK$24,AZ12,IF($AE$1=$AK$25,AZ17,IF($AE$1=$AK$26,AZ22,IF($AE$1=$AK$27,AZ27,IF($AE$1=$AK$28,AZ32,IF($AE$1=$AK$29,AZ37,IF($AE$1=$AK$30,AZ42,IF($AE$1=$AK$31,AZ47)))))))))))))))))))))))))))))))</f>
        <v>31 one</v>
      </c>
      <c r="AF2" s="3">
        <f t="shared" si="1"/>
        <v>1</v>
      </c>
      <c r="AG2" s="3">
        <f t="shared" si="1"/>
        <v>1</v>
      </c>
      <c r="AH2" s="3">
        <f t="shared" si="1"/>
        <v>1</v>
      </c>
      <c r="AI2" s="3">
        <f t="shared" si="1"/>
        <v>1</v>
      </c>
      <c r="AJ2" s="3">
        <f t="shared" si="1"/>
        <v>1</v>
      </c>
      <c r="AK2" s="4" t="str">
        <f>AL2</f>
        <v>31 one</v>
      </c>
      <c r="AL2" s="73" t="s">
        <v>900</v>
      </c>
      <c r="AM2" s="5">
        <v>1</v>
      </c>
      <c r="AN2" s="5">
        <v>1</v>
      </c>
      <c r="AO2" s="5">
        <v>1</v>
      </c>
      <c r="AP2" s="5">
        <v>1</v>
      </c>
      <c r="AQ2" s="5">
        <v>1</v>
      </c>
      <c r="AR2" s="2"/>
      <c r="AS2" s="17" t="s">
        <v>785</v>
      </c>
      <c r="AT2" s="18">
        <v>1</v>
      </c>
      <c r="AU2" s="18">
        <v>1</v>
      </c>
      <c r="AV2" s="18">
        <v>1</v>
      </c>
      <c r="AW2" s="18">
        <v>1</v>
      </c>
      <c r="AX2" s="18">
        <v>1</v>
      </c>
      <c r="AY2" s="29"/>
      <c r="AZ2" s="17" t="s">
        <v>51</v>
      </c>
      <c r="BA2" s="5">
        <v>1</v>
      </c>
      <c r="BB2" s="5">
        <v>1</v>
      </c>
      <c r="BC2" s="5">
        <v>1</v>
      </c>
      <c r="BD2" s="5">
        <v>1</v>
      </c>
      <c r="BE2" s="5">
        <v>1</v>
      </c>
    </row>
    <row r="3" spans="1:57" ht="14.25" hidden="1" customHeight="1">
      <c r="A3" s="3" t="str">
        <f t="shared" ref="A3:F6" si="2">IF($A$1=$H$2,I3,IF($A$1=$H$3,I8,IF($A$1=$H$4,I13,IF($A$1=$H$5,I18,IF($A$1=$H$6,I23,IF($A$1=$H$7,I28,IF($A$1=$H$8,I33,IF($A$1=$H$9,I38,IF($A$1=$H$10,I43,IF($A$1=$H$11,I48,IF($A$1=$H$12,P3,IF($A$1=$H$13,P8,IF($A$1=$H$14,P13,IF($A$1=$H$15,P18,IF($A$1=$H$16,P23,IF($A$1=$H$17,P28,IF($A$1=$H$18,P33,IF($A$1=$H$19,P38,IF($A$1=$H$20,P43,IF($A$1=$H$21,P48,IF($A$1=$H$21,P53,IF($A$1=$H$22,W3,IF($A$1=$H$23,W8,IF($A$1=$H$24,W13,IF($A$1=$H$25,W18,IF($A$1=$H$26,W23,IF($A$1=$H$27,W28,IF($A$1=$H$28,W33,IF($A$1=$H$29,W38,IF($A$1=$H$30,W43,IF($A$1=$H$31,W48)))))))))))))))))))))))))))))))</f>
        <v>ਪ੍ਰਸ਼ੋਤਮ ਕੁਮਾਰ</v>
      </c>
      <c r="B3" s="3" t="str">
        <f t="shared" si="2"/>
        <v>ਰੇਖਾ ਰਾਣੀ</v>
      </c>
      <c r="C3" s="3">
        <f t="shared" si="2"/>
        <v>1</v>
      </c>
      <c r="D3" s="3">
        <f t="shared" si="2"/>
        <v>1</v>
      </c>
      <c r="E3" s="3">
        <f t="shared" si="2"/>
        <v>1</v>
      </c>
      <c r="F3" s="3">
        <f t="shared" si="2"/>
        <v>1</v>
      </c>
      <c r="G3" s="105"/>
      <c r="H3" s="69" t="str">
        <f>I7</f>
        <v>2 ਜੈ ਚੰਦ</v>
      </c>
      <c r="I3" s="5" t="s">
        <v>89</v>
      </c>
      <c r="J3" s="5" t="s">
        <v>1063</v>
      </c>
      <c r="K3" s="5" t="s">
        <v>1064</v>
      </c>
      <c r="L3" s="5"/>
      <c r="M3" s="5">
        <v>1</v>
      </c>
      <c r="N3" s="5">
        <v>1</v>
      </c>
      <c r="O3" s="5">
        <v>1</v>
      </c>
      <c r="P3" s="5" t="s">
        <v>1066</v>
      </c>
      <c r="Q3" s="5" t="s">
        <v>1067</v>
      </c>
      <c r="R3" s="5">
        <v>1</v>
      </c>
      <c r="S3" s="5">
        <v>1</v>
      </c>
      <c r="T3" s="5">
        <v>1</v>
      </c>
      <c r="U3" s="5">
        <v>1</v>
      </c>
      <c r="V3" s="5">
        <v>1</v>
      </c>
      <c r="W3" s="5">
        <v>2</v>
      </c>
      <c r="X3" s="5">
        <v>1</v>
      </c>
      <c r="Y3" s="5">
        <v>1</v>
      </c>
      <c r="Z3" s="5">
        <v>1</v>
      </c>
      <c r="AA3" s="5">
        <v>1</v>
      </c>
      <c r="AB3" s="5">
        <v>1</v>
      </c>
      <c r="AC3" s="2">
        <v>2</v>
      </c>
      <c r="AD3" s="2"/>
      <c r="AE3" s="3">
        <f t="shared" si="1"/>
        <v>2</v>
      </c>
      <c r="AF3" s="3">
        <f t="shared" si="1"/>
        <v>1</v>
      </c>
      <c r="AG3" s="3">
        <f t="shared" si="1"/>
        <v>1</v>
      </c>
      <c r="AH3" s="3">
        <f t="shared" si="1"/>
        <v>1</v>
      </c>
      <c r="AI3" s="3">
        <f t="shared" si="1"/>
        <v>1</v>
      </c>
      <c r="AJ3" s="3">
        <f t="shared" si="1"/>
        <v>1</v>
      </c>
      <c r="AK3" s="4" t="str">
        <f>AL7</f>
        <v>32 two</v>
      </c>
      <c r="AL3" s="5">
        <v>2</v>
      </c>
      <c r="AM3" s="5">
        <v>1</v>
      </c>
      <c r="AN3" s="5">
        <v>1</v>
      </c>
      <c r="AO3" s="5">
        <v>1</v>
      </c>
      <c r="AP3" s="5">
        <v>1</v>
      </c>
      <c r="AQ3" s="5">
        <v>1</v>
      </c>
      <c r="AR3" s="2"/>
      <c r="AS3" s="18">
        <v>2</v>
      </c>
      <c r="AT3" s="18">
        <v>1</v>
      </c>
      <c r="AU3" s="18">
        <v>1</v>
      </c>
      <c r="AV3" s="18">
        <v>1</v>
      </c>
      <c r="AW3" s="18">
        <v>1</v>
      </c>
      <c r="AX3" s="18">
        <v>1</v>
      </c>
      <c r="AY3" s="29"/>
      <c r="AZ3" s="18">
        <v>2</v>
      </c>
      <c r="BA3" s="5">
        <v>1</v>
      </c>
      <c r="BB3" s="5">
        <v>1</v>
      </c>
      <c r="BC3" s="5">
        <v>1</v>
      </c>
      <c r="BD3" s="5">
        <v>1</v>
      </c>
      <c r="BE3" s="5">
        <v>1</v>
      </c>
    </row>
    <row r="4" spans="1:57" ht="14.25" hidden="1" customHeight="1">
      <c r="A4" s="3">
        <f t="shared" si="2"/>
        <v>3</v>
      </c>
      <c r="B4" s="3">
        <f t="shared" si="2"/>
        <v>1</v>
      </c>
      <c r="C4" s="3">
        <f t="shared" si="2"/>
        <v>1</v>
      </c>
      <c r="D4" s="3">
        <f t="shared" si="2"/>
        <v>1</v>
      </c>
      <c r="E4" s="3">
        <f t="shared" si="2"/>
        <v>1</v>
      </c>
      <c r="F4" s="3">
        <f t="shared" si="2"/>
        <v>1</v>
      </c>
      <c r="G4" s="105"/>
      <c r="H4" s="69" t="str">
        <f>I12</f>
        <v>3 ਮੁਨਸੀ ਰਾਮ</v>
      </c>
      <c r="I4" s="5" t="s">
        <v>279</v>
      </c>
      <c r="J4" s="5" t="s">
        <v>159</v>
      </c>
      <c r="K4" s="5" t="s">
        <v>1068</v>
      </c>
      <c r="L4" s="5">
        <v>1</v>
      </c>
      <c r="M4" s="5">
        <v>1</v>
      </c>
      <c r="N4" s="5">
        <v>1</v>
      </c>
      <c r="O4" s="5">
        <v>1</v>
      </c>
      <c r="P4" s="5">
        <v>3</v>
      </c>
      <c r="Q4" s="5">
        <v>1</v>
      </c>
      <c r="R4" s="5">
        <v>1</v>
      </c>
      <c r="S4" s="5">
        <v>1</v>
      </c>
      <c r="T4" s="5">
        <v>1</v>
      </c>
      <c r="U4" s="5">
        <v>1</v>
      </c>
      <c r="V4" s="5">
        <v>1</v>
      </c>
      <c r="W4" s="5">
        <v>3</v>
      </c>
      <c r="X4" s="5">
        <v>1</v>
      </c>
      <c r="Y4" s="5">
        <v>1</v>
      </c>
      <c r="Z4" s="5">
        <v>1</v>
      </c>
      <c r="AA4" s="5">
        <v>1</v>
      </c>
      <c r="AB4" s="5">
        <v>1</v>
      </c>
      <c r="AC4" s="2">
        <v>2</v>
      </c>
      <c r="AD4" s="2"/>
      <c r="AE4" s="3">
        <f t="shared" si="1"/>
        <v>3</v>
      </c>
      <c r="AF4" s="3">
        <f t="shared" si="1"/>
        <v>1</v>
      </c>
      <c r="AG4" s="3">
        <f t="shared" si="1"/>
        <v>1</v>
      </c>
      <c r="AH4" s="3">
        <f t="shared" si="1"/>
        <v>1</v>
      </c>
      <c r="AI4" s="3">
        <f t="shared" si="1"/>
        <v>1</v>
      </c>
      <c r="AJ4" s="3">
        <f t="shared" si="1"/>
        <v>1</v>
      </c>
      <c r="AK4" s="4" t="str">
        <f>AL12</f>
        <v>33 three</v>
      </c>
      <c r="AL4" s="5">
        <v>3</v>
      </c>
      <c r="AM4" s="5">
        <v>1</v>
      </c>
      <c r="AN4" s="5">
        <v>1</v>
      </c>
      <c r="AO4" s="5">
        <v>1</v>
      </c>
      <c r="AP4" s="5">
        <v>1</v>
      </c>
      <c r="AQ4" s="5">
        <v>1</v>
      </c>
      <c r="AR4" s="2"/>
      <c r="AS4" s="18">
        <v>3</v>
      </c>
      <c r="AT4" s="18">
        <v>1</v>
      </c>
      <c r="AU4" s="18">
        <v>1</v>
      </c>
      <c r="AV4" s="18">
        <v>1</v>
      </c>
      <c r="AW4" s="18">
        <v>1</v>
      </c>
      <c r="AX4" s="18">
        <v>1</v>
      </c>
      <c r="AY4" s="29"/>
      <c r="AZ4" s="18">
        <v>3</v>
      </c>
      <c r="BA4" s="5">
        <v>1</v>
      </c>
      <c r="BB4" s="5">
        <v>1</v>
      </c>
      <c r="BC4" s="5">
        <v>1</v>
      </c>
      <c r="BD4" s="5">
        <v>1</v>
      </c>
      <c r="BE4" s="5">
        <v>1</v>
      </c>
    </row>
    <row r="5" spans="1:57" ht="14.25" hidden="1" customHeight="1">
      <c r="A5" s="3">
        <f t="shared" si="2"/>
        <v>4</v>
      </c>
      <c r="B5" s="3">
        <f t="shared" si="2"/>
        <v>1</v>
      </c>
      <c r="C5" s="3">
        <f t="shared" si="2"/>
        <v>1</v>
      </c>
      <c r="D5" s="3">
        <f t="shared" si="2"/>
        <v>1</v>
      </c>
      <c r="E5" s="3">
        <f t="shared" si="2"/>
        <v>1</v>
      </c>
      <c r="F5" s="3">
        <f t="shared" si="2"/>
        <v>1</v>
      </c>
      <c r="G5" s="105"/>
      <c r="H5" s="69" t="str">
        <f>I17</f>
        <v>4 ਕਸ਼ਮੀਰ ਲਾਲ</v>
      </c>
      <c r="I5" s="5">
        <v>4</v>
      </c>
      <c r="J5" s="5">
        <v>1</v>
      </c>
      <c r="K5" s="5">
        <v>1</v>
      </c>
      <c r="L5" s="5">
        <v>1</v>
      </c>
      <c r="M5" s="5">
        <v>1</v>
      </c>
      <c r="N5" s="5">
        <v>1</v>
      </c>
      <c r="O5" s="5">
        <v>1</v>
      </c>
      <c r="P5" s="5">
        <v>4</v>
      </c>
      <c r="Q5" s="5">
        <v>1</v>
      </c>
      <c r="R5" s="5">
        <v>1</v>
      </c>
      <c r="S5" s="5">
        <v>1</v>
      </c>
      <c r="T5" s="5">
        <v>1</v>
      </c>
      <c r="U5" s="5">
        <v>1</v>
      </c>
      <c r="V5" s="5">
        <v>1</v>
      </c>
      <c r="W5" s="5">
        <v>4</v>
      </c>
      <c r="X5" s="5">
        <v>1</v>
      </c>
      <c r="Y5" s="5">
        <v>1</v>
      </c>
      <c r="Z5" s="5">
        <v>1</v>
      </c>
      <c r="AA5" s="5">
        <v>1</v>
      </c>
      <c r="AB5" s="5">
        <v>1</v>
      </c>
      <c r="AC5" s="2">
        <v>2</v>
      </c>
      <c r="AD5" s="2"/>
      <c r="AE5" s="3">
        <f t="shared" si="1"/>
        <v>4</v>
      </c>
      <c r="AF5" s="3">
        <f t="shared" si="1"/>
        <v>1</v>
      </c>
      <c r="AG5" s="3">
        <f t="shared" si="1"/>
        <v>1</v>
      </c>
      <c r="AH5" s="3">
        <f t="shared" si="1"/>
        <v>1</v>
      </c>
      <c r="AI5" s="3">
        <f t="shared" si="1"/>
        <v>1</v>
      </c>
      <c r="AJ5" s="3">
        <f t="shared" si="1"/>
        <v>1</v>
      </c>
      <c r="AK5" s="4" t="str">
        <f>AL17</f>
        <v>34 four</v>
      </c>
      <c r="AL5" s="5">
        <v>4</v>
      </c>
      <c r="AM5" s="5">
        <v>1</v>
      </c>
      <c r="AN5" s="5">
        <v>1</v>
      </c>
      <c r="AO5" s="5">
        <v>1</v>
      </c>
      <c r="AP5" s="5">
        <v>1</v>
      </c>
      <c r="AQ5" s="5">
        <v>1</v>
      </c>
      <c r="AR5" s="2"/>
      <c r="AS5" s="18">
        <v>4</v>
      </c>
      <c r="AT5" s="18">
        <v>1</v>
      </c>
      <c r="AU5" s="18">
        <v>1</v>
      </c>
      <c r="AV5" s="18">
        <v>1</v>
      </c>
      <c r="AW5" s="18">
        <v>1</v>
      </c>
      <c r="AX5" s="18">
        <v>1</v>
      </c>
      <c r="AY5" s="29"/>
      <c r="AZ5" s="18">
        <v>4</v>
      </c>
      <c r="BA5" s="5">
        <v>1</v>
      </c>
      <c r="BB5" s="5">
        <v>1</v>
      </c>
      <c r="BC5" s="5">
        <v>1</v>
      </c>
      <c r="BD5" s="5">
        <v>1</v>
      </c>
      <c r="BE5" s="5">
        <v>1</v>
      </c>
    </row>
    <row r="6" spans="1:57" ht="14.25" hidden="1" customHeight="1">
      <c r="A6" s="3">
        <f t="shared" si="2"/>
        <v>5</v>
      </c>
      <c r="B6" s="3">
        <f t="shared" si="2"/>
        <v>1</v>
      </c>
      <c r="C6" s="3">
        <f t="shared" si="2"/>
        <v>1</v>
      </c>
      <c r="D6" s="3">
        <f t="shared" si="2"/>
        <v>1</v>
      </c>
      <c r="E6" s="3">
        <f t="shared" si="2"/>
        <v>1</v>
      </c>
      <c r="F6" s="3">
        <f t="shared" si="2"/>
        <v>1</v>
      </c>
      <c r="G6" s="105"/>
      <c r="H6" s="69" t="str">
        <f>I22</f>
        <v>5 ਮਿਲਖ  ਰਾਜ ਮਈਆ ਰਾਮ</v>
      </c>
      <c r="I6" s="5">
        <v>5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5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80">
        <v>1</v>
      </c>
      <c r="W6" s="5">
        <v>5</v>
      </c>
      <c r="X6" s="5">
        <v>1</v>
      </c>
      <c r="Y6" s="5">
        <v>1</v>
      </c>
      <c r="Z6" s="5">
        <v>1</v>
      </c>
      <c r="AA6" s="5">
        <v>1</v>
      </c>
      <c r="AB6" s="5">
        <v>1</v>
      </c>
      <c r="AC6" s="2">
        <v>2</v>
      </c>
      <c r="AD6" s="2"/>
      <c r="AE6" s="3">
        <f t="shared" si="1"/>
        <v>5</v>
      </c>
      <c r="AF6" s="3">
        <f t="shared" si="1"/>
        <v>1</v>
      </c>
      <c r="AG6" s="3">
        <f t="shared" si="1"/>
        <v>1</v>
      </c>
      <c r="AH6" s="3">
        <f t="shared" si="1"/>
        <v>1</v>
      </c>
      <c r="AI6" s="3">
        <f t="shared" si="1"/>
        <v>1</v>
      </c>
      <c r="AJ6" s="3">
        <f t="shared" si="1"/>
        <v>1</v>
      </c>
      <c r="AK6" s="4" t="str">
        <f>AL22</f>
        <v>35 five</v>
      </c>
      <c r="AL6" s="5">
        <v>5</v>
      </c>
      <c r="AM6" s="5">
        <v>1</v>
      </c>
      <c r="AN6" s="5">
        <v>1</v>
      </c>
      <c r="AO6" s="5">
        <v>1</v>
      </c>
      <c r="AP6" s="5">
        <v>1</v>
      </c>
      <c r="AQ6" s="5">
        <v>1</v>
      </c>
      <c r="AR6" s="2"/>
      <c r="AS6" s="18">
        <v>5</v>
      </c>
      <c r="AT6" s="18">
        <v>1</v>
      </c>
      <c r="AU6" s="18">
        <v>1</v>
      </c>
      <c r="AV6" s="18">
        <v>1</v>
      </c>
      <c r="AW6" s="18">
        <v>1</v>
      </c>
      <c r="AX6" s="18">
        <v>1</v>
      </c>
      <c r="AY6" s="29"/>
      <c r="AZ6" s="18">
        <v>5</v>
      </c>
      <c r="BA6" s="5">
        <v>1</v>
      </c>
      <c r="BB6" s="5">
        <v>1</v>
      </c>
      <c r="BC6" s="5">
        <v>1</v>
      </c>
      <c r="BD6" s="5">
        <v>1</v>
      </c>
      <c r="BE6" s="5">
        <v>1</v>
      </c>
    </row>
    <row r="7" spans="1:57" ht="14.25" hidden="1" customHeight="1">
      <c r="A7" s="6"/>
      <c r="B7" s="6"/>
      <c r="C7" s="6"/>
      <c r="D7" s="6"/>
      <c r="E7" s="6"/>
      <c r="F7" s="6"/>
      <c r="G7" s="106"/>
      <c r="H7" s="69" t="str">
        <f>I27</f>
        <v>6 ਲੇਖ ਰਾਜ ਹੁਕਮ ਚੰਦ</v>
      </c>
      <c r="I7" s="73" t="s">
        <v>1065</v>
      </c>
      <c r="J7" s="5" t="s">
        <v>1073</v>
      </c>
      <c r="K7" s="5">
        <v>1</v>
      </c>
      <c r="L7" s="5">
        <v>1</v>
      </c>
      <c r="M7" s="5">
        <v>1</v>
      </c>
      <c r="N7" s="5">
        <v>1</v>
      </c>
      <c r="O7" s="80" t="s">
        <v>1296</v>
      </c>
      <c r="P7" s="73" t="s">
        <v>1088</v>
      </c>
      <c r="Q7" s="5" t="s">
        <v>94</v>
      </c>
      <c r="R7" s="213" t="s">
        <v>39</v>
      </c>
      <c r="S7" s="5">
        <v>1</v>
      </c>
      <c r="T7" s="5">
        <v>1</v>
      </c>
      <c r="U7" s="5">
        <v>1</v>
      </c>
      <c r="V7" s="80" t="s">
        <v>1298</v>
      </c>
      <c r="W7" s="73" t="s">
        <v>986</v>
      </c>
      <c r="X7" s="5">
        <v>1</v>
      </c>
      <c r="Y7" s="5">
        <v>1</v>
      </c>
      <c r="Z7" s="5">
        <v>1</v>
      </c>
      <c r="AA7" s="5">
        <v>1</v>
      </c>
      <c r="AB7" s="5">
        <v>1</v>
      </c>
      <c r="AC7" s="2">
        <v>2</v>
      </c>
      <c r="AD7" s="2"/>
      <c r="AE7" s="6"/>
      <c r="AF7" s="6"/>
      <c r="AG7" s="6"/>
      <c r="AH7" s="6"/>
      <c r="AI7" s="6"/>
      <c r="AJ7" s="6"/>
      <c r="AK7" s="4" t="str">
        <f>AL27</f>
        <v>36 six</v>
      </c>
      <c r="AL7" s="73" t="s">
        <v>907</v>
      </c>
      <c r="AM7" s="5">
        <v>1</v>
      </c>
      <c r="AN7" s="5">
        <v>1</v>
      </c>
      <c r="AO7" s="5">
        <v>1</v>
      </c>
      <c r="AP7" s="5">
        <v>1</v>
      </c>
      <c r="AQ7" s="5">
        <v>1</v>
      </c>
      <c r="AR7" s="2"/>
      <c r="AS7" s="17" t="s">
        <v>680</v>
      </c>
      <c r="AT7" s="18">
        <v>1</v>
      </c>
      <c r="AU7" s="18">
        <v>1</v>
      </c>
      <c r="AV7" s="18">
        <v>1</v>
      </c>
      <c r="AW7" s="18">
        <v>1</v>
      </c>
      <c r="AX7" s="18">
        <v>1</v>
      </c>
      <c r="AY7" s="29"/>
      <c r="AZ7" s="17" t="s">
        <v>85</v>
      </c>
      <c r="BA7" s="5">
        <v>1</v>
      </c>
      <c r="BB7" s="5">
        <v>1</v>
      </c>
      <c r="BC7" s="5">
        <v>1</v>
      </c>
      <c r="BD7" s="5">
        <v>1</v>
      </c>
      <c r="BE7" s="5">
        <v>1</v>
      </c>
    </row>
    <row r="8" spans="1:57" ht="14.25" hidden="1" customHeight="1">
      <c r="A8" s="6"/>
      <c r="B8" s="6"/>
      <c r="C8" s="6"/>
      <c r="D8" s="6"/>
      <c r="E8" s="6"/>
      <c r="F8" s="6"/>
      <c r="G8" s="106"/>
      <c r="H8" s="69" t="str">
        <f>I32</f>
        <v>7 ਟੇਕ ਚੰਦ ਹੁਕਮ ਚੰਦ</v>
      </c>
      <c r="I8" s="5" t="s">
        <v>93</v>
      </c>
      <c r="J8" s="5" t="s">
        <v>394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 t="s">
        <v>1089</v>
      </c>
      <c r="Q8" s="213" t="s">
        <v>163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7</v>
      </c>
      <c r="X8" s="5">
        <v>1</v>
      </c>
      <c r="Y8" s="5">
        <v>1</v>
      </c>
      <c r="Z8" s="5">
        <v>1</v>
      </c>
      <c r="AA8" s="5">
        <v>1</v>
      </c>
      <c r="AB8" s="5">
        <v>1</v>
      </c>
      <c r="AC8" s="2">
        <v>2</v>
      </c>
      <c r="AD8" s="2"/>
      <c r="AE8" s="6"/>
      <c r="AF8" s="6"/>
      <c r="AG8" s="6"/>
      <c r="AH8" s="6"/>
      <c r="AI8" s="6"/>
      <c r="AJ8" s="6"/>
      <c r="AK8" s="4" t="str">
        <f>AL32</f>
        <v>37 seven</v>
      </c>
      <c r="AL8" s="5">
        <v>7</v>
      </c>
      <c r="AM8" s="5">
        <v>1</v>
      </c>
      <c r="AN8" s="5">
        <v>1</v>
      </c>
      <c r="AO8" s="5">
        <v>1</v>
      </c>
      <c r="AP8" s="5">
        <v>1</v>
      </c>
      <c r="AQ8" s="5">
        <v>1</v>
      </c>
      <c r="AR8" s="2"/>
      <c r="AS8" s="18">
        <v>7</v>
      </c>
      <c r="AT8" s="18">
        <v>1</v>
      </c>
      <c r="AU8" s="18">
        <v>1</v>
      </c>
      <c r="AV8" s="18">
        <v>1</v>
      </c>
      <c r="AW8" s="18">
        <v>1</v>
      </c>
      <c r="AX8" s="18">
        <v>1</v>
      </c>
      <c r="AY8" s="29"/>
      <c r="AZ8" s="18">
        <v>7</v>
      </c>
      <c r="BA8" s="5">
        <v>1</v>
      </c>
      <c r="BB8" s="5">
        <v>1</v>
      </c>
      <c r="BC8" s="5">
        <v>1</v>
      </c>
      <c r="BD8" s="5">
        <v>1</v>
      </c>
      <c r="BE8" s="5">
        <v>1</v>
      </c>
    </row>
    <row r="9" spans="1:57" ht="14.25" hidden="1" customHeight="1">
      <c r="A9" s="6"/>
      <c r="B9" s="6"/>
      <c r="C9" s="6"/>
      <c r="D9" s="6"/>
      <c r="E9" s="6"/>
      <c r="F9" s="6"/>
      <c r="G9" s="106"/>
      <c r="H9" s="69" t="str">
        <f>I37</f>
        <v>8 ਚੰਬਾ ਰਾਮ ਚੰਦੂ ਰਾਮ</v>
      </c>
      <c r="I9" s="5">
        <v>8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213" t="s">
        <v>93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8</v>
      </c>
      <c r="X9" s="5">
        <v>1</v>
      </c>
      <c r="Y9" s="5">
        <v>1</v>
      </c>
      <c r="Z9" s="5">
        <v>1</v>
      </c>
      <c r="AA9" s="5">
        <v>1</v>
      </c>
      <c r="AB9" s="5">
        <v>1</v>
      </c>
      <c r="AC9" s="2">
        <v>2</v>
      </c>
      <c r="AD9" s="2"/>
      <c r="AE9" s="6"/>
      <c r="AF9" s="6"/>
      <c r="AG9" s="6"/>
      <c r="AH9" s="6"/>
      <c r="AI9" s="6"/>
      <c r="AJ9" s="6"/>
      <c r="AK9" s="4" t="str">
        <f>AL37</f>
        <v>38 eight</v>
      </c>
      <c r="AL9" s="5">
        <v>8</v>
      </c>
      <c r="AM9" s="5">
        <v>1</v>
      </c>
      <c r="AN9" s="5">
        <v>1</v>
      </c>
      <c r="AO9" s="5">
        <v>1</v>
      </c>
      <c r="AP9" s="5">
        <v>1</v>
      </c>
      <c r="AQ9" s="5">
        <v>1</v>
      </c>
      <c r="AR9" s="2"/>
      <c r="AS9" s="18">
        <v>8</v>
      </c>
      <c r="AT9" s="18">
        <v>1</v>
      </c>
      <c r="AU9" s="18">
        <v>1</v>
      </c>
      <c r="AV9" s="18">
        <v>1</v>
      </c>
      <c r="AW9" s="18">
        <v>1</v>
      </c>
      <c r="AX9" s="18">
        <v>1</v>
      </c>
      <c r="AY9" s="29"/>
      <c r="AZ9" s="18">
        <v>8</v>
      </c>
      <c r="BA9" s="5">
        <v>1</v>
      </c>
      <c r="BB9" s="5">
        <v>1</v>
      </c>
      <c r="BC9" s="5">
        <v>1</v>
      </c>
      <c r="BD9" s="5">
        <v>1</v>
      </c>
      <c r="BE9" s="5">
        <v>1</v>
      </c>
    </row>
    <row r="10" spans="1:57" ht="14.25" customHeight="1">
      <c r="A10" s="6"/>
      <c r="B10" s="6"/>
      <c r="C10" s="6"/>
      <c r="D10" s="6"/>
      <c r="E10" s="6"/>
      <c r="F10" s="6"/>
      <c r="G10" s="106"/>
      <c r="H10" s="69" t="str">
        <f>I42</f>
        <v>9 ਲੁਭਾਇਆ ਰਾਮ ਹੁਕਮ ਚੰਦ</v>
      </c>
      <c r="I10" s="5">
        <v>9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9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9</v>
      </c>
      <c r="X10" s="5">
        <v>1</v>
      </c>
      <c r="Y10" s="5">
        <v>1</v>
      </c>
      <c r="Z10" s="5">
        <v>1</v>
      </c>
      <c r="AA10" s="5">
        <v>1</v>
      </c>
      <c r="AB10" s="5">
        <v>1</v>
      </c>
      <c r="AC10" s="2">
        <v>2</v>
      </c>
      <c r="AD10" s="2"/>
      <c r="AE10" s="6"/>
      <c r="AF10" s="6"/>
      <c r="AG10" s="6"/>
      <c r="AH10" s="6"/>
      <c r="AI10" s="6"/>
      <c r="AJ10" s="6"/>
      <c r="AK10" s="4" t="str">
        <f>AL42</f>
        <v>39 nine</v>
      </c>
      <c r="AL10" s="5">
        <v>9</v>
      </c>
      <c r="AM10" s="5">
        <v>1</v>
      </c>
      <c r="AN10" s="5">
        <v>1</v>
      </c>
      <c r="AO10" s="5">
        <v>1</v>
      </c>
      <c r="AP10" s="5">
        <v>1</v>
      </c>
      <c r="AQ10" s="5">
        <v>1</v>
      </c>
      <c r="AR10" s="2"/>
      <c r="AS10" s="18">
        <v>9</v>
      </c>
      <c r="AT10" s="18">
        <v>1</v>
      </c>
      <c r="AU10" s="18">
        <v>1</v>
      </c>
      <c r="AV10" s="18">
        <v>1</v>
      </c>
      <c r="AW10" s="18">
        <v>1</v>
      </c>
      <c r="AX10" s="18">
        <v>1</v>
      </c>
      <c r="AY10" s="29"/>
      <c r="AZ10" s="18">
        <v>9</v>
      </c>
      <c r="BA10" s="5">
        <v>1</v>
      </c>
      <c r="BB10" s="5">
        <v>1</v>
      </c>
      <c r="BC10" s="5">
        <v>1</v>
      </c>
      <c r="BD10" s="5">
        <v>1</v>
      </c>
      <c r="BE10" s="5">
        <v>1</v>
      </c>
    </row>
    <row r="11" spans="1:57" ht="14.25" customHeight="1">
      <c r="A11" s="7" t="s">
        <v>13</v>
      </c>
      <c r="B11" s="7" t="s">
        <v>14</v>
      </c>
      <c r="C11" s="7" t="s">
        <v>15</v>
      </c>
      <c r="D11" s="7" t="s">
        <v>16</v>
      </c>
      <c r="E11" s="7" t="s">
        <v>17</v>
      </c>
      <c r="F11" s="7" t="s">
        <v>18</v>
      </c>
      <c r="G11" s="107"/>
      <c r="H11" s="69" t="str">
        <f>I47</f>
        <v>10 ਜੈ ਚੰਦ ਜਈਆ</v>
      </c>
      <c r="I11" s="5">
        <v>10</v>
      </c>
      <c r="J11" s="5">
        <v>1</v>
      </c>
      <c r="K11" s="5">
        <v>1</v>
      </c>
      <c r="L11" s="5">
        <v>1</v>
      </c>
      <c r="M11" s="5">
        <v>1</v>
      </c>
      <c r="N11" s="5">
        <v>1</v>
      </c>
      <c r="O11" s="5">
        <v>1</v>
      </c>
      <c r="P11" s="5">
        <v>10</v>
      </c>
      <c r="Q11" s="5">
        <v>1</v>
      </c>
      <c r="R11" s="5">
        <v>1</v>
      </c>
      <c r="S11" s="5">
        <v>1</v>
      </c>
      <c r="T11" s="5">
        <v>1</v>
      </c>
      <c r="U11" s="5">
        <v>1</v>
      </c>
      <c r="V11" s="5">
        <v>1</v>
      </c>
      <c r="W11" s="5">
        <v>10</v>
      </c>
      <c r="X11" s="5">
        <v>1</v>
      </c>
      <c r="Y11" s="5">
        <v>1</v>
      </c>
      <c r="Z11" s="5">
        <v>1</v>
      </c>
      <c r="AA11" s="5">
        <v>1</v>
      </c>
      <c r="AB11" s="5">
        <v>1</v>
      </c>
      <c r="AC11" s="2">
        <v>2</v>
      </c>
      <c r="AD11" s="2"/>
      <c r="AE11" s="7" t="s">
        <v>13</v>
      </c>
      <c r="AF11" s="7" t="s">
        <v>14</v>
      </c>
      <c r="AG11" s="7" t="s">
        <v>15</v>
      </c>
      <c r="AH11" s="7" t="s">
        <v>16</v>
      </c>
      <c r="AI11" s="7" t="s">
        <v>17</v>
      </c>
      <c r="AJ11" s="7" t="s">
        <v>18</v>
      </c>
      <c r="AK11" s="4" t="str">
        <f>AL47</f>
        <v>40 ten</v>
      </c>
      <c r="AL11" s="5">
        <v>10</v>
      </c>
      <c r="AM11" s="5">
        <v>1</v>
      </c>
      <c r="AN11" s="5">
        <v>1</v>
      </c>
      <c r="AO11" s="5">
        <v>1</v>
      </c>
      <c r="AP11" s="5">
        <v>1</v>
      </c>
      <c r="AQ11" s="5">
        <v>1</v>
      </c>
      <c r="AR11" s="2"/>
      <c r="AS11" s="18">
        <v>10</v>
      </c>
      <c r="AT11" s="18">
        <v>1</v>
      </c>
      <c r="AU11" s="18">
        <v>1</v>
      </c>
      <c r="AV11" s="18">
        <v>1</v>
      </c>
      <c r="AW11" s="18">
        <v>1</v>
      </c>
      <c r="AX11" s="18">
        <v>1</v>
      </c>
      <c r="AY11" s="29"/>
      <c r="AZ11" s="18">
        <v>10</v>
      </c>
      <c r="BA11" s="5">
        <v>1</v>
      </c>
      <c r="BB11" s="5">
        <v>1</v>
      </c>
      <c r="BC11" s="5">
        <v>1</v>
      </c>
      <c r="BD11" s="5">
        <v>1</v>
      </c>
      <c r="BE11" s="5">
        <v>1</v>
      </c>
    </row>
    <row r="12" spans="1:57" ht="14.25" customHeight="1">
      <c r="A12" s="8" t="str">
        <f t="shared" ref="A12:F16" si="3">IF(A2&lt;100,"",A2)</f>
        <v xml:space="preserve">11 ਚਾਂਦੀ ਰਾਮ ਜਈਆ ਪੁੰਨੂੰ ਰਾਮ </v>
      </c>
      <c r="B12" s="8" t="str">
        <f t="shared" si="3"/>
        <v>ਪਰਮੇਸ਼ਰੀ</v>
      </c>
      <c r="C12" s="8" t="str">
        <f t="shared" si="3"/>
        <v>ਗੌਰਵ ਕੁਮਾਰ</v>
      </c>
      <c r="D12" s="8" t="str">
        <f t="shared" si="3"/>
        <v/>
      </c>
      <c r="E12" s="8" t="str">
        <f t="shared" si="3"/>
        <v/>
      </c>
      <c r="F12" s="8" t="str">
        <f t="shared" si="3"/>
        <v/>
      </c>
      <c r="G12" s="107"/>
      <c r="H12" s="69" t="str">
        <f>P2</f>
        <v xml:space="preserve">11 ਚਾਂਦੀ ਰਾਮ ਜਈਆ ਪੁੰਨੂੰ ਰਾਮ </v>
      </c>
      <c r="I12" s="73" t="s">
        <v>1069</v>
      </c>
      <c r="J12" s="5" t="s">
        <v>74</v>
      </c>
      <c r="K12" s="5">
        <v>1</v>
      </c>
      <c r="L12" s="5">
        <v>1</v>
      </c>
      <c r="M12" s="5">
        <v>1</v>
      </c>
      <c r="N12" s="5">
        <v>1</v>
      </c>
      <c r="O12" s="121" t="s">
        <v>1299</v>
      </c>
      <c r="P12" s="73" t="s">
        <v>993</v>
      </c>
      <c r="Q12" s="5">
        <v>1</v>
      </c>
      <c r="R12" s="5">
        <v>1</v>
      </c>
      <c r="S12" s="5">
        <v>1</v>
      </c>
      <c r="T12" s="5">
        <v>1</v>
      </c>
      <c r="U12" s="5">
        <v>1</v>
      </c>
      <c r="V12" s="80">
        <v>2</v>
      </c>
      <c r="W12" s="73" t="s">
        <v>994</v>
      </c>
      <c r="X12" s="5">
        <v>1</v>
      </c>
      <c r="Y12" s="5">
        <v>1</v>
      </c>
      <c r="Z12" s="5">
        <v>1</v>
      </c>
      <c r="AA12" s="5">
        <v>1</v>
      </c>
      <c r="AB12" s="5">
        <v>1</v>
      </c>
      <c r="AC12" s="2">
        <v>2</v>
      </c>
      <c r="AD12" s="2"/>
      <c r="AE12" s="8" t="str">
        <f t="shared" ref="AE12:AJ16" si="4">IF(AE2&lt;100,"",AE2)</f>
        <v>31 one</v>
      </c>
      <c r="AF12" s="8" t="str">
        <f t="shared" si="4"/>
        <v/>
      </c>
      <c r="AG12" s="8" t="str">
        <f t="shared" si="4"/>
        <v/>
      </c>
      <c r="AH12" s="8" t="str">
        <f t="shared" si="4"/>
        <v/>
      </c>
      <c r="AI12" s="8" t="str">
        <f t="shared" si="4"/>
        <v/>
      </c>
      <c r="AJ12" s="8" t="str">
        <f t="shared" si="4"/>
        <v/>
      </c>
      <c r="AK12" s="4" t="str">
        <f>AS2</f>
        <v>41 eleven</v>
      </c>
      <c r="AL12" s="73" t="s">
        <v>909</v>
      </c>
      <c r="AM12" s="5">
        <v>1</v>
      </c>
      <c r="AN12" s="5">
        <v>1</v>
      </c>
      <c r="AO12" s="5">
        <v>1</v>
      </c>
      <c r="AP12" s="5">
        <v>1</v>
      </c>
      <c r="AQ12" s="5">
        <v>1</v>
      </c>
      <c r="AR12" s="2"/>
      <c r="AS12" s="17" t="s">
        <v>698</v>
      </c>
      <c r="AT12" s="18">
        <v>1</v>
      </c>
      <c r="AU12" s="18">
        <v>1</v>
      </c>
      <c r="AV12" s="18">
        <v>1</v>
      </c>
      <c r="AW12" s="18">
        <v>1</v>
      </c>
      <c r="AX12" s="18">
        <v>1</v>
      </c>
      <c r="AY12" s="29"/>
      <c r="AZ12" s="17" t="s">
        <v>123</v>
      </c>
      <c r="BA12" s="5">
        <v>1</v>
      </c>
      <c r="BB12" s="5">
        <v>1</v>
      </c>
      <c r="BC12" s="5">
        <v>1</v>
      </c>
      <c r="BD12" s="5">
        <v>1</v>
      </c>
      <c r="BE12" s="5">
        <v>1</v>
      </c>
    </row>
    <row r="13" spans="1:57" ht="14.25" customHeight="1">
      <c r="A13" s="8" t="str">
        <f t="shared" si="3"/>
        <v>ਪ੍ਰਸ਼ੋਤਮ ਕੁਮਾਰ</v>
      </c>
      <c r="B13" s="8" t="str">
        <f t="shared" si="3"/>
        <v>ਰੇਖਾ ਰਾਣੀ</v>
      </c>
      <c r="C13" s="8" t="str">
        <f t="shared" si="3"/>
        <v/>
      </c>
      <c r="D13" s="8" t="str">
        <f t="shared" si="3"/>
        <v/>
      </c>
      <c r="E13" s="8" t="str">
        <f t="shared" si="3"/>
        <v/>
      </c>
      <c r="F13" s="8" t="str">
        <f t="shared" si="3"/>
        <v/>
      </c>
      <c r="G13" s="107"/>
      <c r="H13" s="69" t="str">
        <f>P7</f>
        <v xml:space="preserve"> 12 ਭਗਵਾਨ ਚੰਦ ਮਈਆ ਰਾਮ</v>
      </c>
      <c r="I13" s="5" t="s">
        <v>192</v>
      </c>
      <c r="J13" s="5" t="s">
        <v>164</v>
      </c>
      <c r="K13" s="5">
        <v>1</v>
      </c>
      <c r="L13" s="5">
        <v>1</v>
      </c>
      <c r="M13" s="5">
        <v>1</v>
      </c>
      <c r="N13" s="5">
        <v>1</v>
      </c>
      <c r="O13" s="5">
        <v>1</v>
      </c>
      <c r="P13" s="5">
        <v>12</v>
      </c>
      <c r="Q13" s="5">
        <v>1</v>
      </c>
      <c r="R13" s="5">
        <v>1</v>
      </c>
      <c r="S13" s="5">
        <v>1</v>
      </c>
      <c r="T13" s="5">
        <v>1</v>
      </c>
      <c r="U13" s="5">
        <v>1</v>
      </c>
      <c r="V13" s="80">
        <v>2</v>
      </c>
      <c r="W13" s="5">
        <v>12</v>
      </c>
      <c r="X13" s="5">
        <v>1</v>
      </c>
      <c r="Y13" s="5">
        <v>1</v>
      </c>
      <c r="Z13" s="5">
        <v>1</v>
      </c>
      <c r="AA13" s="5">
        <v>1</v>
      </c>
      <c r="AB13" s="5">
        <v>1</v>
      </c>
      <c r="AC13" s="2">
        <v>2</v>
      </c>
      <c r="AD13" s="2"/>
      <c r="AE13" s="8" t="str">
        <f t="shared" si="4"/>
        <v/>
      </c>
      <c r="AF13" s="8" t="str">
        <f t="shared" si="4"/>
        <v/>
      </c>
      <c r="AG13" s="8" t="str">
        <f t="shared" si="4"/>
        <v/>
      </c>
      <c r="AH13" s="8" t="str">
        <f t="shared" si="4"/>
        <v/>
      </c>
      <c r="AI13" s="8" t="str">
        <f t="shared" si="4"/>
        <v/>
      </c>
      <c r="AJ13" s="8" t="str">
        <f t="shared" si="4"/>
        <v/>
      </c>
      <c r="AK13" s="4" t="str">
        <f>AS7</f>
        <v>42 twelve</v>
      </c>
      <c r="AL13" s="5">
        <v>12</v>
      </c>
      <c r="AM13" s="5">
        <v>1</v>
      </c>
      <c r="AN13" s="5">
        <v>1</v>
      </c>
      <c r="AO13" s="5">
        <v>1</v>
      </c>
      <c r="AP13" s="5">
        <v>1</v>
      </c>
      <c r="AQ13" s="5">
        <v>1</v>
      </c>
      <c r="AR13" s="2"/>
      <c r="AS13" s="18">
        <v>12</v>
      </c>
      <c r="AT13" s="18">
        <v>1</v>
      </c>
      <c r="AU13" s="18">
        <v>1</v>
      </c>
      <c r="AV13" s="18">
        <v>1</v>
      </c>
      <c r="AW13" s="18">
        <v>1</v>
      </c>
      <c r="AX13" s="18">
        <v>1</v>
      </c>
      <c r="AY13" s="29"/>
      <c r="AZ13" s="18">
        <v>12</v>
      </c>
      <c r="BA13" s="5">
        <v>1</v>
      </c>
      <c r="BB13" s="5">
        <v>1</v>
      </c>
      <c r="BC13" s="5">
        <v>1</v>
      </c>
      <c r="BD13" s="5">
        <v>1</v>
      </c>
      <c r="BE13" s="5">
        <v>1</v>
      </c>
    </row>
    <row r="14" spans="1:57" ht="14.25" customHeight="1">
      <c r="A14" s="8" t="str">
        <f t="shared" si="3"/>
        <v/>
      </c>
      <c r="B14" s="8" t="str">
        <f t="shared" si="3"/>
        <v/>
      </c>
      <c r="C14" s="8" t="str">
        <f t="shared" si="3"/>
        <v/>
      </c>
      <c r="D14" s="8" t="str">
        <f t="shared" si="3"/>
        <v/>
      </c>
      <c r="E14" s="8" t="str">
        <f t="shared" si="3"/>
        <v/>
      </c>
      <c r="F14" s="8" t="str">
        <f t="shared" si="3"/>
        <v/>
      </c>
      <c r="G14" s="107"/>
      <c r="H14" s="69" t="str">
        <f>P12</f>
        <v>13 thirteen</v>
      </c>
      <c r="I14" s="5">
        <v>13</v>
      </c>
      <c r="J14" s="5">
        <v>1</v>
      </c>
      <c r="K14" s="5">
        <v>1</v>
      </c>
      <c r="L14" s="5">
        <v>1</v>
      </c>
      <c r="M14" s="5">
        <v>1</v>
      </c>
      <c r="N14" s="5">
        <v>1</v>
      </c>
      <c r="O14" s="5">
        <v>1</v>
      </c>
      <c r="P14" s="5">
        <v>13</v>
      </c>
      <c r="Q14" s="5">
        <v>1</v>
      </c>
      <c r="R14" s="5">
        <v>1</v>
      </c>
      <c r="S14" s="5">
        <v>1</v>
      </c>
      <c r="T14" s="5">
        <v>1</v>
      </c>
      <c r="U14" s="5">
        <v>1</v>
      </c>
      <c r="V14" s="80">
        <v>2</v>
      </c>
      <c r="W14" s="5">
        <v>13</v>
      </c>
      <c r="X14" s="5">
        <v>1</v>
      </c>
      <c r="Y14" s="5">
        <v>1</v>
      </c>
      <c r="Z14" s="5">
        <v>1</v>
      </c>
      <c r="AA14" s="5">
        <v>1</v>
      </c>
      <c r="AB14" s="5">
        <v>1</v>
      </c>
      <c r="AC14" s="2">
        <v>2</v>
      </c>
      <c r="AD14" s="2"/>
      <c r="AE14" s="8" t="str">
        <f t="shared" si="4"/>
        <v/>
      </c>
      <c r="AF14" s="8" t="str">
        <f t="shared" si="4"/>
        <v/>
      </c>
      <c r="AG14" s="8" t="str">
        <f t="shared" si="4"/>
        <v/>
      </c>
      <c r="AH14" s="8" t="str">
        <f t="shared" si="4"/>
        <v/>
      </c>
      <c r="AI14" s="8" t="str">
        <f t="shared" si="4"/>
        <v/>
      </c>
      <c r="AJ14" s="8" t="str">
        <f t="shared" si="4"/>
        <v/>
      </c>
      <c r="AK14" s="4" t="str">
        <f>AS12</f>
        <v>43 thirteen</v>
      </c>
      <c r="AL14" s="5">
        <v>13</v>
      </c>
      <c r="AM14" s="5">
        <v>1</v>
      </c>
      <c r="AN14" s="5">
        <v>1</v>
      </c>
      <c r="AO14" s="5">
        <v>1</v>
      </c>
      <c r="AP14" s="5">
        <v>1</v>
      </c>
      <c r="AQ14" s="5">
        <v>1</v>
      </c>
      <c r="AR14" s="2"/>
      <c r="AS14" s="18">
        <v>13</v>
      </c>
      <c r="AT14" s="18">
        <v>1</v>
      </c>
      <c r="AU14" s="18">
        <v>1</v>
      </c>
      <c r="AV14" s="18">
        <v>1</v>
      </c>
      <c r="AW14" s="18">
        <v>1</v>
      </c>
      <c r="AX14" s="18">
        <v>1</v>
      </c>
      <c r="AY14" s="29"/>
      <c r="AZ14" s="18">
        <v>13</v>
      </c>
      <c r="BA14" s="5">
        <v>1</v>
      </c>
      <c r="BB14" s="5">
        <v>1</v>
      </c>
      <c r="BC14" s="5">
        <v>1</v>
      </c>
      <c r="BD14" s="5">
        <v>1</v>
      </c>
      <c r="BE14" s="5">
        <v>1</v>
      </c>
    </row>
    <row r="15" spans="1:57" ht="14.25" customHeight="1">
      <c r="A15" s="8" t="str">
        <f t="shared" si="3"/>
        <v/>
      </c>
      <c r="B15" s="8" t="str">
        <f t="shared" si="3"/>
        <v/>
      </c>
      <c r="C15" s="8" t="str">
        <f t="shared" si="3"/>
        <v/>
      </c>
      <c r="D15" s="8" t="str">
        <f t="shared" si="3"/>
        <v/>
      </c>
      <c r="E15" s="8" t="str">
        <f t="shared" si="3"/>
        <v/>
      </c>
      <c r="F15" s="8" t="str">
        <f t="shared" si="3"/>
        <v/>
      </c>
      <c r="G15" s="107"/>
      <c r="H15" s="69" t="str">
        <f>P17</f>
        <v>14 fourteen</v>
      </c>
      <c r="I15" s="5">
        <v>14</v>
      </c>
      <c r="J15" s="5">
        <v>1</v>
      </c>
      <c r="K15" s="5">
        <v>1</v>
      </c>
      <c r="L15" s="5">
        <v>1</v>
      </c>
      <c r="M15" s="5">
        <v>1</v>
      </c>
      <c r="N15" s="5">
        <v>1</v>
      </c>
      <c r="O15" s="5">
        <v>1</v>
      </c>
      <c r="P15" s="5">
        <v>14</v>
      </c>
      <c r="Q15" s="5">
        <v>1</v>
      </c>
      <c r="R15" s="5">
        <v>1</v>
      </c>
      <c r="S15" s="5">
        <v>1</v>
      </c>
      <c r="T15" s="5">
        <v>1</v>
      </c>
      <c r="U15" s="5">
        <v>1</v>
      </c>
      <c r="V15" s="80">
        <v>2</v>
      </c>
      <c r="W15" s="5">
        <v>14</v>
      </c>
      <c r="X15" s="5">
        <v>1</v>
      </c>
      <c r="Y15" s="5">
        <v>1</v>
      </c>
      <c r="Z15" s="5">
        <v>1</v>
      </c>
      <c r="AA15" s="5">
        <v>1</v>
      </c>
      <c r="AB15" s="5">
        <v>1</v>
      </c>
      <c r="AC15" s="2">
        <v>2</v>
      </c>
      <c r="AD15" s="2"/>
      <c r="AE15" s="8" t="str">
        <f t="shared" si="4"/>
        <v/>
      </c>
      <c r="AF15" s="8" t="str">
        <f t="shared" si="4"/>
        <v/>
      </c>
      <c r="AG15" s="8" t="str">
        <f t="shared" si="4"/>
        <v/>
      </c>
      <c r="AH15" s="8" t="str">
        <f t="shared" si="4"/>
        <v/>
      </c>
      <c r="AI15" s="8" t="str">
        <f t="shared" si="4"/>
        <v/>
      </c>
      <c r="AJ15" s="8" t="str">
        <f t="shared" si="4"/>
        <v/>
      </c>
      <c r="AK15" s="4" t="str">
        <f>AS17</f>
        <v>44 fourteen</v>
      </c>
      <c r="AL15" s="5">
        <v>14</v>
      </c>
      <c r="AM15" s="5">
        <v>1</v>
      </c>
      <c r="AN15" s="5">
        <v>1</v>
      </c>
      <c r="AO15" s="5">
        <v>1</v>
      </c>
      <c r="AP15" s="5">
        <v>1</v>
      </c>
      <c r="AQ15" s="5">
        <v>1</v>
      </c>
      <c r="AR15" s="2"/>
      <c r="AS15" s="18">
        <v>14</v>
      </c>
      <c r="AT15" s="18">
        <v>1</v>
      </c>
      <c r="AU15" s="18">
        <v>1</v>
      </c>
      <c r="AV15" s="18">
        <v>1</v>
      </c>
      <c r="AW15" s="18">
        <v>1</v>
      </c>
      <c r="AX15" s="18">
        <v>1</v>
      </c>
      <c r="AY15" s="29"/>
      <c r="AZ15" s="18">
        <v>14</v>
      </c>
      <c r="BA15" s="5">
        <v>1</v>
      </c>
      <c r="BB15" s="5">
        <v>1</v>
      </c>
      <c r="BC15" s="5">
        <v>1</v>
      </c>
      <c r="BD15" s="5">
        <v>1</v>
      </c>
      <c r="BE15" s="5">
        <v>1</v>
      </c>
    </row>
    <row r="16" spans="1:57" ht="14.25" customHeight="1">
      <c r="A16" s="8" t="str">
        <f t="shared" si="3"/>
        <v/>
      </c>
      <c r="B16" s="8" t="str">
        <f t="shared" si="3"/>
        <v/>
      </c>
      <c r="C16" s="8" t="str">
        <f t="shared" si="3"/>
        <v/>
      </c>
      <c r="D16" s="8" t="str">
        <f t="shared" si="3"/>
        <v/>
      </c>
      <c r="E16" s="8" t="str">
        <f t="shared" si="3"/>
        <v/>
      </c>
      <c r="F16" s="8" t="str">
        <f t="shared" si="3"/>
        <v/>
      </c>
      <c r="G16" s="107"/>
      <c r="H16" s="69" t="str">
        <f>P22</f>
        <v>15 fifteen</v>
      </c>
      <c r="I16" s="5">
        <v>15</v>
      </c>
      <c r="J16" s="5">
        <v>1</v>
      </c>
      <c r="K16" s="5">
        <v>1</v>
      </c>
      <c r="L16" s="5">
        <v>1</v>
      </c>
      <c r="M16" s="5">
        <v>1</v>
      </c>
      <c r="N16" s="5">
        <v>1</v>
      </c>
      <c r="O16" s="5">
        <v>1</v>
      </c>
      <c r="P16" s="5">
        <v>15</v>
      </c>
      <c r="Q16" s="5">
        <v>1</v>
      </c>
      <c r="R16" s="5">
        <v>1</v>
      </c>
      <c r="S16" s="5">
        <v>1</v>
      </c>
      <c r="T16" s="5">
        <v>1</v>
      </c>
      <c r="U16" s="5">
        <v>1</v>
      </c>
      <c r="V16" s="80">
        <v>2</v>
      </c>
      <c r="W16" s="5">
        <v>15</v>
      </c>
      <c r="X16" s="5">
        <v>1</v>
      </c>
      <c r="Y16" s="5">
        <v>1</v>
      </c>
      <c r="Z16" s="5">
        <v>1</v>
      </c>
      <c r="AA16" s="5">
        <v>1</v>
      </c>
      <c r="AB16" s="5">
        <v>1</v>
      </c>
      <c r="AC16" s="2">
        <v>2</v>
      </c>
      <c r="AD16" s="2"/>
      <c r="AE16" s="8" t="str">
        <f t="shared" si="4"/>
        <v/>
      </c>
      <c r="AF16" s="8" t="str">
        <f t="shared" si="4"/>
        <v/>
      </c>
      <c r="AG16" s="8" t="str">
        <f t="shared" si="4"/>
        <v/>
      </c>
      <c r="AH16" s="8" t="str">
        <f t="shared" si="4"/>
        <v/>
      </c>
      <c r="AI16" s="8" t="str">
        <f t="shared" si="4"/>
        <v/>
      </c>
      <c r="AJ16" s="8" t="str">
        <f t="shared" si="4"/>
        <v/>
      </c>
      <c r="AK16" s="4" t="str">
        <f>AS22</f>
        <v>45 fifteen</v>
      </c>
      <c r="AL16" s="5">
        <v>15</v>
      </c>
      <c r="AM16" s="5">
        <v>1</v>
      </c>
      <c r="AN16" s="5">
        <v>1</v>
      </c>
      <c r="AO16" s="5">
        <v>1</v>
      </c>
      <c r="AP16" s="5">
        <v>1</v>
      </c>
      <c r="AQ16" s="5">
        <v>1</v>
      </c>
      <c r="AR16" s="2"/>
      <c r="AS16" s="18">
        <v>15</v>
      </c>
      <c r="AT16" s="18">
        <v>1</v>
      </c>
      <c r="AU16" s="18">
        <v>1</v>
      </c>
      <c r="AV16" s="18">
        <v>1</v>
      </c>
      <c r="AW16" s="18">
        <v>1</v>
      </c>
      <c r="AX16" s="18">
        <v>1</v>
      </c>
      <c r="AY16" s="29"/>
      <c r="AZ16" s="18">
        <v>15</v>
      </c>
      <c r="BA16" s="5">
        <v>1</v>
      </c>
      <c r="BB16" s="5">
        <v>1</v>
      </c>
      <c r="BC16" s="5">
        <v>1</v>
      </c>
      <c r="BD16" s="5">
        <v>1</v>
      </c>
      <c r="BE16" s="5">
        <v>1</v>
      </c>
    </row>
    <row r="17" spans="1:57" ht="14.25" customHeight="1">
      <c r="A17" s="6"/>
      <c r="B17" s="6"/>
      <c r="C17" s="6"/>
      <c r="D17" s="6"/>
      <c r="E17" s="6"/>
      <c r="F17" s="6"/>
      <c r="G17" s="106"/>
      <c r="H17" s="69" t="str">
        <f>P27</f>
        <v>16 sixteen</v>
      </c>
      <c r="I17" s="73" t="s">
        <v>1070</v>
      </c>
      <c r="J17" s="5" t="s">
        <v>99</v>
      </c>
      <c r="K17" s="5" t="s">
        <v>661</v>
      </c>
      <c r="L17" s="5">
        <v>1</v>
      </c>
      <c r="M17" s="5">
        <v>1</v>
      </c>
      <c r="N17" s="5">
        <v>1</v>
      </c>
      <c r="O17" s="80" t="s">
        <v>1299</v>
      </c>
      <c r="P17" s="73" t="s">
        <v>995</v>
      </c>
      <c r="Q17" s="5">
        <v>1</v>
      </c>
      <c r="R17" s="5">
        <v>1</v>
      </c>
      <c r="S17" s="5">
        <v>1</v>
      </c>
      <c r="T17" s="5">
        <v>1</v>
      </c>
      <c r="U17" s="5">
        <v>1</v>
      </c>
      <c r="V17" s="80">
        <v>2</v>
      </c>
      <c r="W17" s="73" t="s">
        <v>998</v>
      </c>
      <c r="X17" s="5">
        <v>1</v>
      </c>
      <c r="Y17" s="5">
        <v>1</v>
      </c>
      <c r="Z17" s="5">
        <v>1</v>
      </c>
      <c r="AA17" s="5">
        <v>1</v>
      </c>
      <c r="AB17" s="5">
        <v>1</v>
      </c>
      <c r="AC17" s="2">
        <v>2</v>
      </c>
      <c r="AD17" s="2"/>
      <c r="AE17" s="6"/>
      <c r="AF17" s="6"/>
      <c r="AG17" s="6"/>
      <c r="AH17" s="6"/>
      <c r="AI17" s="6"/>
      <c r="AJ17" s="6"/>
      <c r="AK17" s="4" t="str">
        <f>AS27</f>
        <v>46 sixteen</v>
      </c>
      <c r="AL17" s="73" t="s">
        <v>911</v>
      </c>
      <c r="AM17" s="5">
        <v>1</v>
      </c>
      <c r="AN17" s="5">
        <v>1</v>
      </c>
      <c r="AO17" s="5">
        <v>1</v>
      </c>
      <c r="AP17" s="5">
        <v>1</v>
      </c>
      <c r="AQ17" s="5">
        <v>1</v>
      </c>
      <c r="AR17" s="2"/>
      <c r="AS17" s="17" t="s">
        <v>707</v>
      </c>
      <c r="AT17" s="18">
        <v>1</v>
      </c>
      <c r="AU17" s="18">
        <v>1</v>
      </c>
      <c r="AV17" s="18">
        <v>1</v>
      </c>
      <c r="AW17" s="18">
        <v>1</v>
      </c>
      <c r="AX17" s="18">
        <v>1</v>
      </c>
      <c r="AY17" s="29"/>
      <c r="AZ17" s="17" t="s">
        <v>151</v>
      </c>
      <c r="BA17" s="5">
        <v>1</v>
      </c>
      <c r="BB17" s="5">
        <v>1</v>
      </c>
      <c r="BC17" s="5">
        <v>1</v>
      </c>
      <c r="BD17" s="5">
        <v>1</v>
      </c>
      <c r="BE17" s="5">
        <v>1</v>
      </c>
    </row>
    <row r="18" spans="1:57" ht="14.25" customHeight="1">
      <c r="A18" s="6"/>
      <c r="B18" s="6"/>
      <c r="C18" s="6"/>
      <c r="D18" s="6"/>
      <c r="E18" s="6"/>
      <c r="F18" s="6"/>
      <c r="G18" s="106"/>
      <c r="H18" s="69" t="str">
        <f>P32</f>
        <v>17 seventeen</v>
      </c>
      <c r="I18" s="5" t="s">
        <v>335</v>
      </c>
      <c r="J18" s="5" t="s">
        <v>691</v>
      </c>
      <c r="K18" s="5">
        <v>1</v>
      </c>
      <c r="L18" s="5">
        <v>1</v>
      </c>
      <c r="M18" s="5">
        <v>1</v>
      </c>
      <c r="N18" s="5">
        <v>1</v>
      </c>
      <c r="O18" s="5">
        <v>1</v>
      </c>
      <c r="P18" s="5">
        <v>17</v>
      </c>
      <c r="Q18" s="5">
        <v>1</v>
      </c>
      <c r="R18" s="5">
        <v>1</v>
      </c>
      <c r="S18" s="5">
        <v>1</v>
      </c>
      <c r="T18" s="5">
        <v>1</v>
      </c>
      <c r="U18" s="5">
        <v>1</v>
      </c>
      <c r="V18" s="80">
        <v>2</v>
      </c>
      <c r="W18" s="5">
        <v>17</v>
      </c>
      <c r="X18" s="5">
        <v>1</v>
      </c>
      <c r="Y18" s="5">
        <v>1</v>
      </c>
      <c r="Z18" s="5">
        <v>1</v>
      </c>
      <c r="AA18" s="5">
        <v>1</v>
      </c>
      <c r="AB18" s="5">
        <v>1</v>
      </c>
      <c r="AC18" s="2">
        <v>2</v>
      </c>
      <c r="AD18" s="2"/>
      <c r="AE18" s="6"/>
      <c r="AF18" s="6"/>
      <c r="AG18" s="6"/>
      <c r="AH18" s="6"/>
      <c r="AI18" s="6"/>
      <c r="AJ18" s="6"/>
      <c r="AK18" s="4" t="str">
        <f>AS32</f>
        <v>47 seventeen</v>
      </c>
      <c r="AL18" s="5">
        <v>17</v>
      </c>
      <c r="AM18" s="5">
        <v>1</v>
      </c>
      <c r="AN18" s="5">
        <v>1</v>
      </c>
      <c r="AO18" s="5">
        <v>1</v>
      </c>
      <c r="AP18" s="5">
        <v>1</v>
      </c>
      <c r="AQ18" s="5">
        <v>1</v>
      </c>
      <c r="AR18" s="2"/>
      <c r="AS18" s="18">
        <v>17</v>
      </c>
      <c r="AT18" s="18">
        <v>1</v>
      </c>
      <c r="AU18" s="18">
        <v>1</v>
      </c>
      <c r="AV18" s="18">
        <v>1</v>
      </c>
      <c r="AW18" s="18">
        <v>1</v>
      </c>
      <c r="AX18" s="18">
        <v>1</v>
      </c>
      <c r="AY18" s="29"/>
      <c r="AZ18" s="18">
        <v>17</v>
      </c>
      <c r="BA18" s="5">
        <v>1</v>
      </c>
      <c r="BB18" s="5">
        <v>1</v>
      </c>
      <c r="BC18" s="5">
        <v>1</v>
      </c>
      <c r="BD18" s="5">
        <v>1</v>
      </c>
      <c r="BE18" s="5">
        <v>1</v>
      </c>
    </row>
    <row r="19" spans="1:57" ht="14.25" customHeight="1">
      <c r="A19" s="6"/>
      <c r="B19" s="6"/>
      <c r="C19" s="6"/>
      <c r="D19" s="6"/>
      <c r="E19" s="6"/>
      <c r="F19" s="6"/>
      <c r="G19" s="106"/>
      <c r="H19" s="69" t="str">
        <f>P37</f>
        <v>18 eighteen</v>
      </c>
      <c r="I19" s="5" t="s">
        <v>193</v>
      </c>
      <c r="J19" s="5">
        <v>1</v>
      </c>
      <c r="K19" s="5">
        <v>1</v>
      </c>
      <c r="L19" s="5">
        <v>1</v>
      </c>
      <c r="M19" s="5">
        <v>1</v>
      </c>
      <c r="N19" s="5">
        <v>1</v>
      </c>
      <c r="O19" s="5">
        <v>1</v>
      </c>
      <c r="P19" s="5">
        <v>18</v>
      </c>
      <c r="Q19" s="5">
        <v>1</v>
      </c>
      <c r="R19" s="5">
        <v>1</v>
      </c>
      <c r="S19" s="5">
        <v>1</v>
      </c>
      <c r="T19" s="5">
        <v>1</v>
      </c>
      <c r="U19" s="5">
        <v>1</v>
      </c>
      <c r="V19" s="80">
        <v>2</v>
      </c>
      <c r="W19" s="5">
        <v>18</v>
      </c>
      <c r="X19" s="5">
        <v>1</v>
      </c>
      <c r="Y19" s="5">
        <v>1</v>
      </c>
      <c r="Z19" s="5">
        <v>1</v>
      </c>
      <c r="AA19" s="5">
        <v>1</v>
      </c>
      <c r="AB19" s="5">
        <v>1</v>
      </c>
      <c r="AC19" s="2">
        <v>2</v>
      </c>
      <c r="AD19" s="2"/>
      <c r="AE19" s="2"/>
      <c r="AF19" s="2"/>
      <c r="AG19" s="2"/>
      <c r="AH19" s="2"/>
      <c r="AI19" s="2"/>
      <c r="AJ19" s="2"/>
      <c r="AK19" s="4" t="str">
        <f>AS37</f>
        <v>48 eighteen</v>
      </c>
      <c r="AL19" s="5">
        <v>18</v>
      </c>
      <c r="AM19" s="5">
        <v>1</v>
      </c>
      <c r="AN19" s="5">
        <v>1</v>
      </c>
      <c r="AO19" s="5">
        <v>1</v>
      </c>
      <c r="AP19" s="5">
        <v>1</v>
      </c>
      <c r="AQ19" s="5">
        <v>1</v>
      </c>
      <c r="AR19" s="2"/>
      <c r="AS19" s="18">
        <v>18</v>
      </c>
      <c r="AT19" s="18">
        <v>1</v>
      </c>
      <c r="AU19" s="18">
        <v>1</v>
      </c>
      <c r="AV19" s="18">
        <v>1</v>
      </c>
      <c r="AW19" s="18">
        <v>1</v>
      </c>
      <c r="AX19" s="18">
        <v>1</v>
      </c>
      <c r="AY19" s="29"/>
      <c r="AZ19" s="18">
        <v>18</v>
      </c>
      <c r="BA19" s="5">
        <v>1</v>
      </c>
      <c r="BB19" s="5">
        <v>1</v>
      </c>
      <c r="BC19" s="5">
        <v>1</v>
      </c>
      <c r="BD19" s="5">
        <v>1</v>
      </c>
      <c r="BE19" s="5">
        <v>1</v>
      </c>
    </row>
    <row r="20" spans="1:57" ht="14.25" customHeight="1">
      <c r="A20" s="2"/>
      <c r="B20" s="2"/>
      <c r="C20" s="2"/>
      <c r="D20" s="2"/>
      <c r="E20" s="2"/>
      <c r="F20" s="2"/>
      <c r="G20" s="2"/>
      <c r="H20" s="69" t="str">
        <f>P42</f>
        <v>19 niunteen</v>
      </c>
      <c r="I20" s="5">
        <v>19</v>
      </c>
      <c r="J20" s="5">
        <v>1</v>
      </c>
      <c r="K20" s="5">
        <v>1</v>
      </c>
      <c r="L20" s="5">
        <v>1</v>
      </c>
      <c r="M20" s="5">
        <v>1</v>
      </c>
      <c r="N20" s="5">
        <v>1</v>
      </c>
      <c r="O20" s="5">
        <v>1</v>
      </c>
      <c r="P20" s="5">
        <v>19</v>
      </c>
      <c r="Q20" s="5">
        <v>1</v>
      </c>
      <c r="R20" s="5">
        <v>1</v>
      </c>
      <c r="S20" s="5">
        <v>1</v>
      </c>
      <c r="T20" s="5">
        <v>1</v>
      </c>
      <c r="U20" s="5">
        <v>1</v>
      </c>
      <c r="V20" s="80">
        <v>2</v>
      </c>
      <c r="W20" s="5">
        <v>19</v>
      </c>
      <c r="X20" s="5">
        <v>1</v>
      </c>
      <c r="Y20" s="5">
        <v>1</v>
      </c>
      <c r="Z20" s="5">
        <v>1</v>
      </c>
      <c r="AA20" s="5">
        <v>1</v>
      </c>
      <c r="AB20" s="5">
        <v>1</v>
      </c>
      <c r="AC20" s="2">
        <v>2</v>
      </c>
      <c r="AD20" s="2"/>
      <c r="AE20" s="2"/>
      <c r="AF20" s="2"/>
      <c r="AG20" s="2"/>
      <c r="AH20" s="2"/>
      <c r="AI20" s="2"/>
      <c r="AJ20" s="2"/>
      <c r="AK20" s="4" t="str">
        <f>AS42</f>
        <v>49 niunteen</v>
      </c>
      <c r="AL20" s="5">
        <v>19</v>
      </c>
      <c r="AM20" s="5">
        <v>1</v>
      </c>
      <c r="AN20" s="5">
        <v>1</v>
      </c>
      <c r="AO20" s="5">
        <v>1</v>
      </c>
      <c r="AP20" s="5">
        <v>1</v>
      </c>
      <c r="AQ20" s="5">
        <v>1</v>
      </c>
      <c r="AR20" s="2"/>
      <c r="AS20" s="18">
        <v>19</v>
      </c>
      <c r="AT20" s="18">
        <v>1</v>
      </c>
      <c r="AU20" s="18">
        <v>1</v>
      </c>
      <c r="AV20" s="18">
        <v>1</v>
      </c>
      <c r="AW20" s="18">
        <v>1</v>
      </c>
      <c r="AX20" s="18">
        <v>1</v>
      </c>
      <c r="AY20" s="29"/>
      <c r="AZ20" s="18">
        <v>19</v>
      </c>
      <c r="BA20" s="5">
        <v>1</v>
      </c>
      <c r="BB20" s="5">
        <v>1</v>
      </c>
      <c r="BC20" s="5">
        <v>1</v>
      </c>
      <c r="BD20" s="5">
        <v>1</v>
      </c>
      <c r="BE20" s="5">
        <v>1</v>
      </c>
    </row>
    <row r="21" spans="1:57" ht="14.25" customHeight="1">
      <c r="A21" s="2"/>
      <c r="B21" s="2"/>
      <c r="C21" s="2"/>
      <c r="D21" s="2"/>
      <c r="E21" s="2"/>
      <c r="F21" s="2"/>
      <c r="G21" s="2"/>
      <c r="H21" s="69" t="str">
        <f>P47</f>
        <v>20 twenty</v>
      </c>
      <c r="I21" s="5">
        <v>20</v>
      </c>
      <c r="J21" s="5">
        <v>1</v>
      </c>
      <c r="K21" s="5">
        <v>1</v>
      </c>
      <c r="L21" s="5">
        <v>1</v>
      </c>
      <c r="M21" s="5">
        <v>1</v>
      </c>
      <c r="N21" s="5">
        <v>1</v>
      </c>
      <c r="O21" s="5">
        <v>1</v>
      </c>
      <c r="P21" s="5">
        <v>20</v>
      </c>
      <c r="Q21" s="5">
        <v>1</v>
      </c>
      <c r="R21" s="5">
        <v>1</v>
      </c>
      <c r="S21" s="5">
        <v>1</v>
      </c>
      <c r="T21" s="5">
        <v>1</v>
      </c>
      <c r="U21" s="5">
        <v>1</v>
      </c>
      <c r="V21" s="80">
        <v>2</v>
      </c>
      <c r="W21" s="5">
        <v>20</v>
      </c>
      <c r="X21" s="5">
        <v>1</v>
      </c>
      <c r="Y21" s="5">
        <v>1</v>
      </c>
      <c r="Z21" s="5">
        <v>1</v>
      </c>
      <c r="AA21" s="5">
        <v>1</v>
      </c>
      <c r="AB21" s="5">
        <v>1</v>
      </c>
      <c r="AC21" s="2">
        <v>2</v>
      </c>
      <c r="AD21" s="2"/>
      <c r="AE21" s="2"/>
      <c r="AF21" s="2"/>
      <c r="AG21" s="2"/>
      <c r="AH21" s="2"/>
      <c r="AI21" s="2"/>
      <c r="AJ21" s="2"/>
      <c r="AK21" s="4" t="str">
        <f>AS47</f>
        <v>50 twenty</v>
      </c>
      <c r="AL21" s="5">
        <v>20</v>
      </c>
      <c r="AM21" s="5">
        <v>1</v>
      </c>
      <c r="AN21" s="5">
        <v>1</v>
      </c>
      <c r="AO21" s="5">
        <v>1</v>
      </c>
      <c r="AP21" s="5">
        <v>1</v>
      </c>
      <c r="AQ21" s="5">
        <v>1</v>
      </c>
      <c r="AR21" s="2"/>
      <c r="AS21" s="18">
        <v>20</v>
      </c>
      <c r="AT21" s="18">
        <v>1</v>
      </c>
      <c r="AU21" s="18">
        <v>1</v>
      </c>
      <c r="AV21" s="18">
        <v>1</v>
      </c>
      <c r="AW21" s="18">
        <v>1</v>
      </c>
      <c r="AX21" s="18">
        <v>1</v>
      </c>
      <c r="AY21" s="29"/>
      <c r="AZ21" s="18">
        <v>20</v>
      </c>
      <c r="BA21" s="5">
        <v>1</v>
      </c>
      <c r="BB21" s="5">
        <v>1</v>
      </c>
      <c r="BC21" s="5">
        <v>1</v>
      </c>
      <c r="BD21" s="5">
        <v>1</v>
      </c>
      <c r="BE21" s="5">
        <v>1</v>
      </c>
    </row>
    <row r="22" spans="1:57" ht="14.25" customHeight="1">
      <c r="A22" s="2"/>
      <c r="B22" s="2"/>
      <c r="C22" s="2"/>
      <c r="D22" s="2"/>
      <c r="E22" s="2"/>
      <c r="F22" s="2"/>
      <c r="G22" s="2"/>
      <c r="H22" s="69" t="str">
        <f>W2</f>
        <v>21 sona</v>
      </c>
      <c r="I22" s="73" t="s">
        <v>1071</v>
      </c>
      <c r="J22" s="5" t="s">
        <v>129</v>
      </c>
      <c r="K22" s="5">
        <v>1</v>
      </c>
      <c r="L22" s="5">
        <v>1</v>
      </c>
      <c r="M22" s="5">
        <v>1</v>
      </c>
      <c r="N22" s="5">
        <v>1</v>
      </c>
      <c r="O22" s="80" t="s">
        <v>1297</v>
      </c>
      <c r="P22" s="73" t="s">
        <v>996</v>
      </c>
      <c r="Q22" s="5">
        <v>1</v>
      </c>
      <c r="R22" s="5">
        <v>1</v>
      </c>
      <c r="S22" s="5">
        <v>1</v>
      </c>
      <c r="T22" s="5">
        <v>1</v>
      </c>
      <c r="U22" s="5">
        <v>1</v>
      </c>
      <c r="V22" s="80">
        <v>2</v>
      </c>
      <c r="W22" s="73" t="s">
        <v>1003</v>
      </c>
      <c r="X22" s="5">
        <v>1</v>
      </c>
      <c r="Y22" s="5">
        <v>1</v>
      </c>
      <c r="Z22" s="5">
        <v>1</v>
      </c>
      <c r="AA22" s="5">
        <v>1</v>
      </c>
      <c r="AB22" s="5">
        <v>1</v>
      </c>
      <c r="AC22" s="2">
        <v>2</v>
      </c>
      <c r="AD22" s="2"/>
      <c r="AE22" s="2"/>
      <c r="AF22" s="2"/>
      <c r="AG22" s="2"/>
      <c r="AH22" s="2"/>
      <c r="AI22" s="2"/>
      <c r="AJ22" s="2"/>
      <c r="AK22" s="4" t="str">
        <f>AZ2</f>
        <v>51 sona</v>
      </c>
      <c r="AL22" s="73" t="s">
        <v>848</v>
      </c>
      <c r="AM22" s="5">
        <v>1</v>
      </c>
      <c r="AN22" s="5">
        <v>1</v>
      </c>
      <c r="AO22" s="5">
        <v>1</v>
      </c>
      <c r="AP22" s="5">
        <v>1</v>
      </c>
      <c r="AQ22" s="5">
        <v>1</v>
      </c>
      <c r="AR22" s="2"/>
      <c r="AS22" s="17" t="s">
        <v>722</v>
      </c>
      <c r="AT22" s="18">
        <v>1</v>
      </c>
      <c r="AU22" s="18">
        <v>1</v>
      </c>
      <c r="AV22" s="18">
        <v>1</v>
      </c>
      <c r="AW22" s="18">
        <v>1</v>
      </c>
      <c r="AX22" s="18">
        <v>1</v>
      </c>
      <c r="AY22" s="29"/>
      <c r="AZ22" s="17" t="s">
        <v>171</v>
      </c>
      <c r="BA22" s="5">
        <v>1</v>
      </c>
      <c r="BB22" s="5">
        <v>1</v>
      </c>
      <c r="BC22" s="5">
        <v>1</v>
      </c>
      <c r="BD22" s="5">
        <v>1</v>
      </c>
      <c r="BE22" s="5">
        <v>1</v>
      </c>
    </row>
    <row r="23" spans="1:57" ht="14.25" customHeight="1">
      <c r="A23" s="2"/>
      <c r="B23" s="2"/>
      <c r="C23" s="2"/>
      <c r="D23" s="2"/>
      <c r="E23" s="2"/>
      <c r="F23" s="2"/>
      <c r="G23" s="2"/>
      <c r="H23" s="69" t="str">
        <f>W7</f>
        <v>22 twenty 2</v>
      </c>
      <c r="I23" s="5" t="s">
        <v>212</v>
      </c>
      <c r="J23" s="5" t="s">
        <v>164</v>
      </c>
      <c r="K23" s="5" t="s">
        <v>1078</v>
      </c>
      <c r="L23" s="5">
        <v>1</v>
      </c>
      <c r="M23" s="5">
        <v>1</v>
      </c>
      <c r="N23" s="5">
        <v>1</v>
      </c>
      <c r="O23" s="5">
        <v>1</v>
      </c>
      <c r="P23" s="5">
        <v>22</v>
      </c>
      <c r="Q23" s="5">
        <v>1</v>
      </c>
      <c r="R23" s="5">
        <v>1</v>
      </c>
      <c r="S23" s="5">
        <v>1</v>
      </c>
      <c r="T23" s="5">
        <v>1</v>
      </c>
      <c r="U23" s="5">
        <v>1</v>
      </c>
      <c r="V23" s="80">
        <v>2</v>
      </c>
      <c r="W23" s="5">
        <v>22</v>
      </c>
      <c r="X23" s="5">
        <v>1</v>
      </c>
      <c r="Y23" s="5">
        <v>1</v>
      </c>
      <c r="Z23" s="5">
        <v>1</v>
      </c>
      <c r="AA23" s="5">
        <v>1</v>
      </c>
      <c r="AB23" s="5">
        <v>1</v>
      </c>
      <c r="AC23" s="2">
        <v>2</v>
      </c>
      <c r="AD23" s="2"/>
      <c r="AE23" s="2"/>
      <c r="AF23" s="2"/>
      <c r="AG23" s="2"/>
      <c r="AH23" s="2"/>
      <c r="AI23" s="2"/>
      <c r="AJ23" s="2"/>
      <c r="AK23" s="4" t="str">
        <f>AZ7</f>
        <v>52 twenty 2</v>
      </c>
      <c r="AL23" s="5" t="s">
        <v>853</v>
      </c>
      <c r="AM23" s="5">
        <v>1</v>
      </c>
      <c r="AN23" s="5">
        <v>1</v>
      </c>
      <c r="AO23" s="5">
        <v>1</v>
      </c>
      <c r="AP23" s="5">
        <v>1</v>
      </c>
      <c r="AQ23" s="5">
        <v>1</v>
      </c>
      <c r="AR23" s="2"/>
      <c r="AS23" s="18">
        <v>22</v>
      </c>
      <c r="AT23" s="18">
        <v>1</v>
      </c>
      <c r="AU23" s="18">
        <v>1</v>
      </c>
      <c r="AV23" s="18">
        <v>1</v>
      </c>
      <c r="AW23" s="18">
        <v>1</v>
      </c>
      <c r="AX23" s="18">
        <v>1</v>
      </c>
      <c r="AY23" s="29"/>
      <c r="AZ23" s="18">
        <v>22</v>
      </c>
      <c r="BA23" s="5">
        <v>1</v>
      </c>
      <c r="BB23" s="5">
        <v>1</v>
      </c>
      <c r="BC23" s="5">
        <v>1</v>
      </c>
      <c r="BD23" s="5">
        <v>1</v>
      </c>
      <c r="BE23" s="5">
        <v>1</v>
      </c>
    </row>
    <row r="24" spans="1:57" ht="14.25" customHeight="1">
      <c r="A24" s="2"/>
      <c r="B24" s="2"/>
      <c r="C24" s="2"/>
      <c r="D24" s="2"/>
      <c r="E24" s="2"/>
      <c r="F24" s="2"/>
      <c r="G24" s="2"/>
      <c r="H24" s="69" t="str">
        <f>W12</f>
        <v>23 twenty 3</v>
      </c>
      <c r="I24" s="5" t="s">
        <v>1079</v>
      </c>
      <c r="J24" s="5" t="s">
        <v>90</v>
      </c>
      <c r="K24" s="5">
        <v>1</v>
      </c>
      <c r="L24" s="5">
        <v>1</v>
      </c>
      <c r="M24" s="5">
        <v>1</v>
      </c>
      <c r="N24" s="5">
        <v>1</v>
      </c>
      <c r="O24" s="5">
        <v>1</v>
      </c>
      <c r="P24" s="5">
        <v>23</v>
      </c>
      <c r="Q24" s="5">
        <v>1</v>
      </c>
      <c r="R24" s="5">
        <v>1</v>
      </c>
      <c r="S24" s="5">
        <v>1</v>
      </c>
      <c r="T24" s="5">
        <v>1</v>
      </c>
      <c r="U24" s="5">
        <v>1</v>
      </c>
      <c r="V24" s="80">
        <v>2</v>
      </c>
      <c r="W24" s="5">
        <v>23</v>
      </c>
      <c r="X24" s="5">
        <v>1</v>
      </c>
      <c r="Y24" s="5">
        <v>1</v>
      </c>
      <c r="Z24" s="5">
        <v>1</v>
      </c>
      <c r="AA24" s="5">
        <v>1</v>
      </c>
      <c r="AB24" s="5">
        <v>1</v>
      </c>
      <c r="AC24" s="2">
        <v>2</v>
      </c>
      <c r="AD24" s="2"/>
      <c r="AE24" s="2"/>
      <c r="AF24" s="2"/>
      <c r="AG24" s="2"/>
      <c r="AH24" s="2"/>
      <c r="AI24" s="2"/>
      <c r="AJ24" s="2"/>
      <c r="AK24" s="4" t="str">
        <f>AZ12</f>
        <v>53 twenty 3</v>
      </c>
      <c r="AL24" s="5">
        <v>23</v>
      </c>
      <c r="AM24" s="5">
        <v>1</v>
      </c>
      <c r="AN24" s="5">
        <v>1</v>
      </c>
      <c r="AO24" s="5">
        <v>1</v>
      </c>
      <c r="AP24" s="5">
        <v>1</v>
      </c>
      <c r="AQ24" s="5">
        <v>1</v>
      </c>
      <c r="AR24" s="2"/>
      <c r="AS24" s="18">
        <v>23</v>
      </c>
      <c r="AT24" s="18">
        <v>1</v>
      </c>
      <c r="AU24" s="18">
        <v>1</v>
      </c>
      <c r="AV24" s="18">
        <v>1</v>
      </c>
      <c r="AW24" s="18">
        <v>1</v>
      </c>
      <c r="AX24" s="18">
        <v>1</v>
      </c>
      <c r="AY24" s="29"/>
      <c r="AZ24" s="18">
        <v>23</v>
      </c>
      <c r="BA24" s="5">
        <v>1</v>
      </c>
      <c r="BB24" s="5">
        <v>1</v>
      </c>
      <c r="BC24" s="5">
        <v>1</v>
      </c>
      <c r="BD24" s="5">
        <v>1</v>
      </c>
      <c r="BE24" s="5">
        <v>1</v>
      </c>
    </row>
    <row r="25" spans="1:57" ht="14.25" customHeight="1">
      <c r="A25" s="2"/>
      <c r="B25" s="2"/>
      <c r="C25" s="2"/>
      <c r="D25" s="2"/>
      <c r="E25" s="2"/>
      <c r="F25" s="2"/>
      <c r="G25" s="2"/>
      <c r="H25" s="69" t="str">
        <f>W17</f>
        <v>24 twenty 4</v>
      </c>
      <c r="I25" s="5">
        <v>24</v>
      </c>
      <c r="J25" s="5">
        <v>1</v>
      </c>
      <c r="K25" s="5">
        <v>1</v>
      </c>
      <c r="L25" s="5">
        <v>1</v>
      </c>
      <c r="M25" s="5">
        <v>1</v>
      </c>
      <c r="N25" s="5">
        <v>1</v>
      </c>
      <c r="O25" s="5">
        <v>1</v>
      </c>
      <c r="P25" s="5">
        <v>24</v>
      </c>
      <c r="Q25" s="5">
        <v>1</v>
      </c>
      <c r="R25" s="5">
        <v>1</v>
      </c>
      <c r="S25" s="5">
        <v>1</v>
      </c>
      <c r="T25" s="5">
        <v>1</v>
      </c>
      <c r="U25" s="5">
        <v>1</v>
      </c>
      <c r="V25" s="80">
        <v>2</v>
      </c>
      <c r="W25" s="5">
        <v>24</v>
      </c>
      <c r="X25" s="5">
        <v>1</v>
      </c>
      <c r="Y25" s="5">
        <v>1</v>
      </c>
      <c r="Z25" s="5">
        <v>1</v>
      </c>
      <c r="AA25" s="5">
        <v>1</v>
      </c>
      <c r="AB25" s="5">
        <v>1</v>
      </c>
      <c r="AC25" s="2">
        <v>2</v>
      </c>
      <c r="AD25" s="2"/>
      <c r="AE25" s="2"/>
      <c r="AF25" s="2"/>
      <c r="AG25" s="2"/>
      <c r="AH25" s="2"/>
      <c r="AI25" s="2"/>
      <c r="AJ25" s="2"/>
      <c r="AK25" s="4" t="str">
        <f>AZ17</f>
        <v>54 twenty 4</v>
      </c>
      <c r="AL25" s="5">
        <v>24</v>
      </c>
      <c r="AM25" s="5">
        <v>1</v>
      </c>
      <c r="AN25" s="5">
        <v>1</v>
      </c>
      <c r="AO25" s="5">
        <v>1</v>
      </c>
      <c r="AP25" s="5">
        <v>1</v>
      </c>
      <c r="AQ25" s="5">
        <v>1</v>
      </c>
      <c r="AR25" s="2"/>
      <c r="AS25" s="18">
        <v>24</v>
      </c>
      <c r="AT25" s="18">
        <v>1</v>
      </c>
      <c r="AU25" s="18">
        <v>1</v>
      </c>
      <c r="AV25" s="18">
        <v>1</v>
      </c>
      <c r="AW25" s="18">
        <v>1</v>
      </c>
      <c r="AX25" s="18">
        <v>1</v>
      </c>
      <c r="AY25" s="29"/>
      <c r="AZ25" s="18">
        <v>24</v>
      </c>
      <c r="BA25" s="5">
        <v>1</v>
      </c>
      <c r="BB25" s="5">
        <v>1</v>
      </c>
      <c r="BC25" s="5">
        <v>1</v>
      </c>
      <c r="BD25" s="5">
        <v>1</v>
      </c>
      <c r="BE25" s="5">
        <v>1</v>
      </c>
    </row>
    <row r="26" spans="1:57" ht="14.25" customHeight="1">
      <c r="A26" s="2"/>
      <c r="B26" s="2"/>
      <c r="C26" s="2"/>
      <c r="D26" s="2"/>
      <c r="E26" s="2"/>
      <c r="F26" s="2"/>
      <c r="G26" s="2"/>
      <c r="H26" s="69" t="str">
        <f>W22</f>
        <v>25 twenty 5</v>
      </c>
      <c r="I26" s="5">
        <v>25</v>
      </c>
      <c r="J26" s="5">
        <v>1</v>
      </c>
      <c r="K26" s="5">
        <v>1</v>
      </c>
      <c r="L26" s="5">
        <v>1</v>
      </c>
      <c r="M26" s="5">
        <v>1</v>
      </c>
      <c r="N26" s="5">
        <v>1</v>
      </c>
      <c r="O26" s="5">
        <v>1</v>
      </c>
      <c r="P26" s="5">
        <v>25</v>
      </c>
      <c r="Q26" s="5">
        <v>1</v>
      </c>
      <c r="R26" s="5">
        <v>1</v>
      </c>
      <c r="S26" s="5">
        <v>1</v>
      </c>
      <c r="T26" s="5">
        <v>1</v>
      </c>
      <c r="U26" s="5">
        <v>1</v>
      </c>
      <c r="V26" s="80">
        <v>2</v>
      </c>
      <c r="W26" s="5">
        <v>25</v>
      </c>
      <c r="X26" s="5">
        <v>1</v>
      </c>
      <c r="Y26" s="5">
        <v>1</v>
      </c>
      <c r="Z26" s="5">
        <v>1</v>
      </c>
      <c r="AA26" s="5">
        <v>1</v>
      </c>
      <c r="AB26" s="5">
        <v>1</v>
      </c>
      <c r="AC26" s="2">
        <v>2</v>
      </c>
      <c r="AD26" s="2"/>
      <c r="AE26" s="2"/>
      <c r="AF26" s="2"/>
      <c r="AG26" s="2"/>
      <c r="AH26" s="2"/>
      <c r="AI26" s="2"/>
      <c r="AJ26" s="2"/>
      <c r="AK26" s="4" t="str">
        <f>AZ22</f>
        <v>55 twenty 5</v>
      </c>
      <c r="AL26" s="5">
        <v>25</v>
      </c>
      <c r="AM26" s="5">
        <v>1</v>
      </c>
      <c r="AN26" s="5">
        <v>1</v>
      </c>
      <c r="AO26" s="5">
        <v>1</v>
      </c>
      <c r="AP26" s="5">
        <v>1</v>
      </c>
      <c r="AQ26" s="5">
        <v>1</v>
      </c>
      <c r="AR26" s="2"/>
      <c r="AS26" s="18">
        <v>25</v>
      </c>
      <c r="AT26" s="18">
        <v>1</v>
      </c>
      <c r="AU26" s="18">
        <v>1</v>
      </c>
      <c r="AV26" s="18">
        <v>1</v>
      </c>
      <c r="AW26" s="18">
        <v>1</v>
      </c>
      <c r="AX26" s="18">
        <v>1</v>
      </c>
      <c r="AY26" s="29"/>
      <c r="AZ26" s="18">
        <v>25</v>
      </c>
      <c r="BA26" s="5">
        <v>1</v>
      </c>
      <c r="BB26" s="5">
        <v>1</v>
      </c>
      <c r="BC26" s="5">
        <v>1</v>
      </c>
      <c r="BD26" s="5">
        <v>1</v>
      </c>
      <c r="BE26" s="5">
        <v>1</v>
      </c>
    </row>
    <row r="27" spans="1:57" ht="14.25" customHeight="1">
      <c r="A27" s="2"/>
      <c r="B27" s="2"/>
      <c r="C27" s="2"/>
      <c r="D27" s="2"/>
      <c r="E27" s="2"/>
      <c r="F27" s="2"/>
      <c r="G27" s="2"/>
      <c r="H27" s="69" t="str">
        <f>W27</f>
        <v>26 twenty 6</v>
      </c>
      <c r="I27" s="73" t="s">
        <v>1072</v>
      </c>
      <c r="J27" s="5" t="s">
        <v>150</v>
      </c>
      <c r="K27" s="5">
        <v>1</v>
      </c>
      <c r="L27" s="5">
        <v>1</v>
      </c>
      <c r="M27" s="5">
        <v>1</v>
      </c>
      <c r="N27" s="5">
        <v>1</v>
      </c>
      <c r="O27" s="80" t="s">
        <v>1300</v>
      </c>
      <c r="P27" s="73" t="s">
        <v>997</v>
      </c>
      <c r="Q27" s="5">
        <v>1</v>
      </c>
      <c r="R27" s="5">
        <v>1</v>
      </c>
      <c r="S27" s="5">
        <v>1</v>
      </c>
      <c r="T27" s="5">
        <v>1</v>
      </c>
      <c r="U27" s="5">
        <v>1</v>
      </c>
      <c r="V27" s="80">
        <v>2</v>
      </c>
      <c r="W27" s="73" t="s">
        <v>956</v>
      </c>
      <c r="X27" s="5">
        <v>1</v>
      </c>
      <c r="Y27" s="5">
        <v>1</v>
      </c>
      <c r="Z27" s="5">
        <v>1</v>
      </c>
      <c r="AA27" s="5">
        <v>1</v>
      </c>
      <c r="AB27" s="5">
        <v>1</v>
      </c>
      <c r="AC27" s="2">
        <v>2</v>
      </c>
      <c r="AD27" s="2"/>
      <c r="AE27" s="2"/>
      <c r="AF27" s="2"/>
      <c r="AG27" s="2"/>
      <c r="AH27" s="2"/>
      <c r="AI27" s="2"/>
      <c r="AJ27" s="2"/>
      <c r="AK27" s="4" t="str">
        <f>AZ27</f>
        <v>56 twenty 6</v>
      </c>
      <c r="AL27" s="73" t="s">
        <v>860</v>
      </c>
      <c r="AM27" s="5">
        <v>1</v>
      </c>
      <c r="AN27" s="5">
        <v>1</v>
      </c>
      <c r="AO27" s="5">
        <v>1</v>
      </c>
      <c r="AP27" s="5">
        <v>1</v>
      </c>
      <c r="AQ27" s="5">
        <v>1</v>
      </c>
      <c r="AR27" s="2"/>
      <c r="AS27" s="17" t="s">
        <v>731</v>
      </c>
      <c r="AT27" s="18">
        <v>1</v>
      </c>
      <c r="AU27" s="18">
        <v>1</v>
      </c>
      <c r="AV27" s="18">
        <v>1</v>
      </c>
      <c r="AW27" s="18">
        <v>1</v>
      </c>
      <c r="AX27" s="18">
        <v>1</v>
      </c>
      <c r="AY27" s="29"/>
      <c r="AZ27" s="17" t="s">
        <v>202</v>
      </c>
      <c r="BA27" s="5">
        <v>1</v>
      </c>
      <c r="BB27" s="5">
        <v>1</v>
      </c>
      <c r="BC27" s="5">
        <v>1</v>
      </c>
      <c r="BD27" s="5">
        <v>1</v>
      </c>
      <c r="BE27" s="5">
        <v>1</v>
      </c>
    </row>
    <row r="28" spans="1:57" ht="14.25" customHeight="1">
      <c r="A28" s="2"/>
      <c r="B28" s="2"/>
      <c r="C28" s="2"/>
      <c r="D28" s="2"/>
      <c r="E28" s="2"/>
      <c r="F28" s="2"/>
      <c r="G28" s="2"/>
      <c r="H28" s="69" t="str">
        <f>W32</f>
        <v>27 twenty 7</v>
      </c>
      <c r="I28" s="5" t="s">
        <v>559</v>
      </c>
      <c r="J28" s="5" t="s">
        <v>1080</v>
      </c>
      <c r="K28" s="5">
        <v>1</v>
      </c>
      <c r="L28" s="5">
        <v>1</v>
      </c>
      <c r="M28" s="5">
        <v>1</v>
      </c>
      <c r="N28" s="5">
        <v>1</v>
      </c>
      <c r="O28" s="5">
        <v>1</v>
      </c>
      <c r="P28" s="5">
        <v>27</v>
      </c>
      <c r="Q28" s="5">
        <v>1</v>
      </c>
      <c r="R28" s="5">
        <v>1</v>
      </c>
      <c r="S28" s="5">
        <v>1</v>
      </c>
      <c r="T28" s="5">
        <v>1</v>
      </c>
      <c r="U28" s="5">
        <v>1</v>
      </c>
      <c r="V28" s="80">
        <v>2</v>
      </c>
      <c r="W28" s="5">
        <v>27</v>
      </c>
      <c r="X28" s="5">
        <v>1</v>
      </c>
      <c r="Y28" s="5">
        <v>1</v>
      </c>
      <c r="Z28" s="5">
        <v>1</v>
      </c>
      <c r="AA28" s="5">
        <v>1</v>
      </c>
      <c r="AB28" s="5">
        <v>1</v>
      </c>
      <c r="AC28" s="2">
        <v>2</v>
      </c>
      <c r="AD28" s="2"/>
      <c r="AE28" s="2"/>
      <c r="AF28" s="2"/>
      <c r="AG28" s="2"/>
      <c r="AH28" s="2"/>
      <c r="AI28" s="2"/>
      <c r="AJ28" s="2"/>
      <c r="AK28" s="4" t="str">
        <f>AZ32</f>
        <v>57 twenty 7</v>
      </c>
      <c r="AL28" s="5">
        <v>27</v>
      </c>
      <c r="AM28" s="5">
        <v>1</v>
      </c>
      <c r="AN28" s="5">
        <v>1</v>
      </c>
      <c r="AO28" s="5">
        <v>1</v>
      </c>
      <c r="AP28" s="5">
        <v>1</v>
      </c>
      <c r="AQ28" s="5">
        <v>1</v>
      </c>
      <c r="AR28" s="2"/>
      <c r="AS28" s="18">
        <v>27</v>
      </c>
      <c r="AT28" s="18">
        <v>1</v>
      </c>
      <c r="AU28" s="18">
        <v>1</v>
      </c>
      <c r="AV28" s="18">
        <v>1</v>
      </c>
      <c r="AW28" s="18">
        <v>1</v>
      </c>
      <c r="AX28" s="18">
        <v>1</v>
      </c>
      <c r="AY28" s="29"/>
      <c r="AZ28" s="18">
        <v>27</v>
      </c>
      <c r="BA28" s="5">
        <v>1</v>
      </c>
      <c r="BB28" s="5">
        <v>1</v>
      </c>
      <c r="BC28" s="5">
        <v>1</v>
      </c>
      <c r="BD28" s="5">
        <v>1</v>
      </c>
      <c r="BE28" s="5">
        <v>1</v>
      </c>
    </row>
    <row r="29" spans="1:57" ht="14.25" customHeight="1">
      <c r="A29" s="2"/>
      <c r="B29" s="2"/>
      <c r="C29" s="2"/>
      <c r="D29" s="2"/>
      <c r="E29" s="2"/>
      <c r="F29" s="2"/>
      <c r="G29" s="2"/>
      <c r="H29" s="69" t="str">
        <f>W37</f>
        <v>28 twenty 8</v>
      </c>
      <c r="I29" s="5" t="s">
        <v>566</v>
      </c>
      <c r="J29" s="5" t="s">
        <v>459</v>
      </c>
      <c r="K29" s="5">
        <v>1</v>
      </c>
      <c r="L29" s="5">
        <v>1</v>
      </c>
      <c r="M29" s="5">
        <v>1</v>
      </c>
      <c r="N29" s="5">
        <v>1</v>
      </c>
      <c r="O29" s="5">
        <v>1</v>
      </c>
      <c r="P29" s="5">
        <v>28</v>
      </c>
      <c r="Q29" s="5">
        <v>1</v>
      </c>
      <c r="R29" s="5">
        <v>1</v>
      </c>
      <c r="S29" s="5">
        <v>1</v>
      </c>
      <c r="T29" s="5">
        <v>1</v>
      </c>
      <c r="U29" s="5">
        <v>1</v>
      </c>
      <c r="V29" s="80">
        <v>2</v>
      </c>
      <c r="W29" s="5">
        <v>28</v>
      </c>
      <c r="X29" s="5">
        <v>1</v>
      </c>
      <c r="Y29" s="5">
        <v>1</v>
      </c>
      <c r="Z29" s="5">
        <v>1</v>
      </c>
      <c r="AA29" s="5">
        <v>1</v>
      </c>
      <c r="AB29" s="5">
        <v>1</v>
      </c>
      <c r="AC29" s="2">
        <v>2</v>
      </c>
      <c r="AD29" s="2"/>
      <c r="AE29" s="2"/>
      <c r="AF29" s="2"/>
      <c r="AG29" s="2"/>
      <c r="AH29" s="2"/>
      <c r="AI29" s="2"/>
      <c r="AJ29" s="2"/>
      <c r="AK29" s="4" t="str">
        <f>AZ37</f>
        <v>58 twenty 8</v>
      </c>
      <c r="AL29" s="5">
        <v>28</v>
      </c>
      <c r="AM29" s="5">
        <v>1</v>
      </c>
      <c r="AN29" s="5">
        <v>1</v>
      </c>
      <c r="AO29" s="5">
        <v>1</v>
      </c>
      <c r="AP29" s="5">
        <v>1</v>
      </c>
      <c r="AQ29" s="5">
        <v>1</v>
      </c>
      <c r="AR29" s="2"/>
      <c r="AS29" s="18">
        <v>28</v>
      </c>
      <c r="AT29" s="18">
        <v>1</v>
      </c>
      <c r="AU29" s="18">
        <v>1</v>
      </c>
      <c r="AV29" s="18">
        <v>1</v>
      </c>
      <c r="AW29" s="18">
        <v>1</v>
      </c>
      <c r="AX29" s="18">
        <v>1</v>
      </c>
      <c r="AY29" s="29"/>
      <c r="AZ29" s="18">
        <v>28</v>
      </c>
      <c r="BA29" s="5">
        <v>1</v>
      </c>
      <c r="BB29" s="5">
        <v>1</v>
      </c>
      <c r="BC29" s="5">
        <v>1</v>
      </c>
      <c r="BD29" s="5">
        <v>1</v>
      </c>
      <c r="BE29" s="5">
        <v>1</v>
      </c>
    </row>
    <row r="30" spans="1:57" ht="14.25" customHeight="1">
      <c r="A30" s="2"/>
      <c r="B30" s="2"/>
      <c r="C30" s="2"/>
      <c r="D30" s="2"/>
      <c r="E30" s="2"/>
      <c r="F30" s="2"/>
      <c r="G30" s="2"/>
      <c r="H30" s="69" t="str">
        <f>W42</f>
        <v>29 twnety 9</v>
      </c>
      <c r="I30" s="5">
        <v>29</v>
      </c>
      <c r="J30" s="5">
        <v>1</v>
      </c>
      <c r="K30" s="5">
        <v>1</v>
      </c>
      <c r="L30" s="5">
        <v>1</v>
      </c>
      <c r="M30" s="5">
        <v>1</v>
      </c>
      <c r="N30" s="5">
        <v>1</v>
      </c>
      <c r="O30" s="5">
        <v>1</v>
      </c>
      <c r="P30" s="5">
        <v>29</v>
      </c>
      <c r="Q30" s="5">
        <v>1</v>
      </c>
      <c r="R30" s="5">
        <v>1</v>
      </c>
      <c r="S30" s="5">
        <v>1</v>
      </c>
      <c r="T30" s="5">
        <v>1</v>
      </c>
      <c r="U30" s="5">
        <v>1</v>
      </c>
      <c r="V30" s="80">
        <v>2</v>
      </c>
      <c r="W30" s="5">
        <v>29</v>
      </c>
      <c r="X30" s="5">
        <v>1</v>
      </c>
      <c r="Y30" s="5">
        <v>1</v>
      </c>
      <c r="Z30" s="5">
        <v>1</v>
      </c>
      <c r="AA30" s="5">
        <v>1</v>
      </c>
      <c r="AB30" s="5">
        <v>1</v>
      </c>
      <c r="AC30" s="2">
        <v>2</v>
      </c>
      <c r="AD30" s="2"/>
      <c r="AE30" s="2"/>
      <c r="AF30" s="2"/>
      <c r="AG30" s="2"/>
      <c r="AH30" s="2"/>
      <c r="AI30" s="2"/>
      <c r="AJ30" s="2"/>
      <c r="AK30" s="4" t="str">
        <f>AZ42</f>
        <v>59 twnety 9</v>
      </c>
      <c r="AL30" s="5">
        <v>29</v>
      </c>
      <c r="AM30" s="5">
        <v>1</v>
      </c>
      <c r="AN30" s="5">
        <v>1</v>
      </c>
      <c r="AO30" s="5">
        <v>1</v>
      </c>
      <c r="AP30" s="5">
        <v>1</v>
      </c>
      <c r="AQ30" s="5">
        <v>1</v>
      </c>
      <c r="AR30" s="2"/>
      <c r="AS30" s="18">
        <v>29</v>
      </c>
      <c r="AT30" s="18">
        <v>1</v>
      </c>
      <c r="AU30" s="18">
        <v>1</v>
      </c>
      <c r="AV30" s="18">
        <v>1</v>
      </c>
      <c r="AW30" s="18">
        <v>1</v>
      </c>
      <c r="AX30" s="18">
        <v>1</v>
      </c>
      <c r="AY30" s="29"/>
      <c r="AZ30" s="18">
        <v>29</v>
      </c>
      <c r="BA30" s="5">
        <v>1</v>
      </c>
      <c r="BB30" s="5">
        <v>1</v>
      </c>
      <c r="BC30" s="5">
        <v>1</v>
      </c>
      <c r="BD30" s="5">
        <v>1</v>
      </c>
      <c r="BE30" s="5">
        <v>1</v>
      </c>
    </row>
    <row r="31" spans="1:57" ht="14.25" customHeight="1">
      <c r="A31" s="2"/>
      <c r="B31" s="2"/>
      <c r="C31" s="2"/>
      <c r="D31" s="2"/>
      <c r="E31" s="2"/>
      <c r="F31" s="2"/>
      <c r="G31" s="2"/>
      <c r="H31" s="69" t="str">
        <f>W47</f>
        <v>30 thirty</v>
      </c>
      <c r="I31" s="5">
        <v>30</v>
      </c>
      <c r="J31" s="5">
        <v>1</v>
      </c>
      <c r="K31" s="5">
        <v>1</v>
      </c>
      <c r="L31" s="5">
        <v>1</v>
      </c>
      <c r="M31" s="5">
        <v>1</v>
      </c>
      <c r="N31" s="5">
        <v>1</v>
      </c>
      <c r="O31" s="5">
        <v>1</v>
      </c>
      <c r="P31" s="5">
        <v>30</v>
      </c>
      <c r="Q31" s="5">
        <v>1</v>
      </c>
      <c r="R31" s="5">
        <v>1</v>
      </c>
      <c r="S31" s="5">
        <v>1</v>
      </c>
      <c r="T31" s="5">
        <v>1</v>
      </c>
      <c r="U31" s="5">
        <v>1</v>
      </c>
      <c r="V31" s="80">
        <v>2</v>
      </c>
      <c r="W31" s="5">
        <v>30</v>
      </c>
      <c r="X31" s="5">
        <v>1</v>
      </c>
      <c r="Y31" s="5">
        <v>1</v>
      </c>
      <c r="Z31" s="5">
        <v>1</v>
      </c>
      <c r="AA31" s="5">
        <v>1</v>
      </c>
      <c r="AB31" s="5">
        <v>1</v>
      </c>
      <c r="AC31" s="2">
        <v>2</v>
      </c>
      <c r="AD31" s="2"/>
      <c r="AE31" s="2"/>
      <c r="AF31" s="2"/>
      <c r="AG31" s="2"/>
      <c r="AH31" s="2"/>
      <c r="AI31" s="2"/>
      <c r="AJ31" s="2"/>
      <c r="AK31" s="4" t="str">
        <f>AZ47</f>
        <v>60 thirty</v>
      </c>
      <c r="AL31" s="5">
        <v>30</v>
      </c>
      <c r="AM31" s="5">
        <v>1</v>
      </c>
      <c r="AN31" s="5">
        <v>1</v>
      </c>
      <c r="AO31" s="5">
        <v>1</v>
      </c>
      <c r="AP31" s="5">
        <v>1</v>
      </c>
      <c r="AQ31" s="5">
        <v>1</v>
      </c>
      <c r="AR31" s="2"/>
      <c r="AS31" s="18">
        <v>30</v>
      </c>
      <c r="AT31" s="18">
        <v>1</v>
      </c>
      <c r="AU31" s="18">
        <v>1</v>
      </c>
      <c r="AV31" s="18">
        <v>1</v>
      </c>
      <c r="AW31" s="18">
        <v>1</v>
      </c>
      <c r="AX31" s="18">
        <v>1</v>
      </c>
      <c r="AY31" s="29"/>
      <c r="AZ31" s="18">
        <v>30</v>
      </c>
      <c r="BA31" s="5">
        <v>1</v>
      </c>
      <c r="BB31" s="5">
        <v>1</v>
      </c>
      <c r="BC31" s="5">
        <v>1</v>
      </c>
      <c r="BD31" s="5">
        <v>1</v>
      </c>
      <c r="BE31" s="5">
        <v>1</v>
      </c>
    </row>
    <row r="32" spans="1:57" ht="14.25" customHeight="1">
      <c r="A32" s="2"/>
      <c r="B32" s="2"/>
      <c r="C32" s="2"/>
      <c r="D32" s="2"/>
      <c r="E32" s="2"/>
      <c r="F32" s="2"/>
      <c r="G32" s="2"/>
      <c r="H32" s="80"/>
      <c r="I32" s="73" t="s">
        <v>1074</v>
      </c>
      <c r="J32" s="5" t="s">
        <v>536</v>
      </c>
      <c r="K32" s="5">
        <v>1</v>
      </c>
      <c r="L32" s="5">
        <v>1</v>
      </c>
      <c r="M32" s="5">
        <v>1</v>
      </c>
      <c r="N32" s="5">
        <v>1</v>
      </c>
      <c r="O32" s="80" t="s">
        <v>1301</v>
      </c>
      <c r="P32" s="73" t="s">
        <v>999</v>
      </c>
      <c r="Q32" s="5">
        <v>1</v>
      </c>
      <c r="R32" s="5">
        <v>1</v>
      </c>
      <c r="S32" s="5">
        <v>1</v>
      </c>
      <c r="T32" s="5">
        <v>1</v>
      </c>
      <c r="U32" s="5">
        <v>1</v>
      </c>
      <c r="V32" s="80">
        <v>2</v>
      </c>
      <c r="W32" s="73" t="s">
        <v>958</v>
      </c>
      <c r="X32" s="5">
        <v>1</v>
      </c>
      <c r="Y32" s="5">
        <v>1</v>
      </c>
      <c r="Z32" s="5">
        <v>1</v>
      </c>
      <c r="AA32" s="5">
        <v>1</v>
      </c>
      <c r="AB32" s="5">
        <v>1</v>
      </c>
      <c r="AC32" s="2">
        <v>2</v>
      </c>
      <c r="AD32" s="2"/>
      <c r="AE32" s="2"/>
      <c r="AF32" s="2"/>
      <c r="AG32" s="2"/>
      <c r="AH32" s="2"/>
      <c r="AI32" s="2"/>
      <c r="AJ32" s="2"/>
      <c r="AK32" s="2"/>
      <c r="AL32" s="73" t="s">
        <v>865</v>
      </c>
      <c r="AM32" s="5">
        <v>1</v>
      </c>
      <c r="AN32" s="5">
        <v>1</v>
      </c>
      <c r="AO32" s="5">
        <v>1</v>
      </c>
      <c r="AP32" s="5">
        <v>1</v>
      </c>
      <c r="AQ32" s="5">
        <v>1</v>
      </c>
      <c r="AR32" s="2"/>
      <c r="AS32" s="17" t="s">
        <v>745</v>
      </c>
      <c r="AT32" s="18">
        <v>1</v>
      </c>
      <c r="AU32" s="18">
        <v>1</v>
      </c>
      <c r="AV32" s="18">
        <v>1</v>
      </c>
      <c r="AW32" s="18">
        <v>1</v>
      </c>
      <c r="AX32" s="18">
        <v>1</v>
      </c>
      <c r="AY32" s="29"/>
      <c r="AZ32" s="17" t="s">
        <v>227</v>
      </c>
      <c r="BA32" s="5">
        <v>1</v>
      </c>
      <c r="BB32" s="5">
        <v>1</v>
      </c>
      <c r="BC32" s="5">
        <v>1</v>
      </c>
      <c r="BD32" s="5">
        <v>1</v>
      </c>
      <c r="BE32" s="5">
        <v>1</v>
      </c>
    </row>
    <row r="33" spans="1:57" ht="14.25" customHeight="1">
      <c r="A33" s="2"/>
      <c r="B33" s="2"/>
      <c r="C33" s="2"/>
      <c r="D33" s="2"/>
      <c r="E33" s="2"/>
      <c r="F33" s="2"/>
      <c r="G33" s="2"/>
      <c r="H33" s="80"/>
      <c r="I33" s="5" t="s">
        <v>222</v>
      </c>
      <c r="J33" s="5" t="s">
        <v>1081</v>
      </c>
      <c r="K33" s="5">
        <v>1</v>
      </c>
      <c r="L33" s="5">
        <v>1</v>
      </c>
      <c r="M33" s="5">
        <v>1</v>
      </c>
      <c r="N33" s="5">
        <v>1</v>
      </c>
      <c r="O33" s="5">
        <v>1</v>
      </c>
      <c r="P33" s="5">
        <v>32</v>
      </c>
      <c r="Q33" s="5">
        <v>1</v>
      </c>
      <c r="R33" s="5">
        <v>1</v>
      </c>
      <c r="S33" s="5">
        <v>1</v>
      </c>
      <c r="T33" s="5">
        <v>1</v>
      </c>
      <c r="U33" s="5">
        <v>1</v>
      </c>
      <c r="V33" s="80">
        <v>2</v>
      </c>
      <c r="W33" s="5">
        <v>32</v>
      </c>
      <c r="X33" s="5">
        <v>1</v>
      </c>
      <c r="Y33" s="5">
        <v>1</v>
      </c>
      <c r="Z33" s="5">
        <v>1</v>
      </c>
      <c r="AA33" s="5">
        <v>1</v>
      </c>
      <c r="AB33" s="5">
        <v>1</v>
      </c>
      <c r="AC33" s="2">
        <v>2</v>
      </c>
      <c r="AD33" s="2"/>
      <c r="AE33" s="2"/>
      <c r="AF33" s="2"/>
      <c r="AG33" s="2"/>
      <c r="AH33" s="2"/>
      <c r="AI33" s="2"/>
      <c r="AJ33" s="2"/>
      <c r="AK33" s="2"/>
      <c r="AL33" s="5">
        <v>32</v>
      </c>
      <c r="AM33" s="5">
        <v>1</v>
      </c>
      <c r="AN33" s="5">
        <v>1</v>
      </c>
      <c r="AO33" s="5">
        <v>1</v>
      </c>
      <c r="AP33" s="5">
        <v>1</v>
      </c>
      <c r="AQ33" s="5">
        <v>1</v>
      </c>
      <c r="AR33" s="2"/>
      <c r="AS33" s="18">
        <v>32</v>
      </c>
      <c r="AT33" s="18">
        <v>1</v>
      </c>
      <c r="AU33" s="18">
        <v>1</v>
      </c>
      <c r="AV33" s="18">
        <v>1</v>
      </c>
      <c r="AW33" s="18">
        <v>1</v>
      </c>
      <c r="AX33" s="18">
        <v>1</v>
      </c>
      <c r="AY33" s="29"/>
      <c r="AZ33" s="18">
        <v>32</v>
      </c>
      <c r="BA33" s="5">
        <v>1</v>
      </c>
      <c r="BB33" s="5">
        <v>1</v>
      </c>
      <c r="BC33" s="5">
        <v>1</v>
      </c>
      <c r="BD33" s="5">
        <v>1</v>
      </c>
      <c r="BE33" s="5">
        <v>1</v>
      </c>
    </row>
    <row r="34" spans="1:57" ht="14.25" customHeight="1">
      <c r="A34" s="2"/>
      <c r="B34" s="2"/>
      <c r="C34" s="2"/>
      <c r="D34" s="2"/>
      <c r="E34" s="2"/>
      <c r="F34" s="2"/>
      <c r="G34" s="2"/>
      <c r="H34" s="80"/>
      <c r="I34" s="5" t="s">
        <v>457</v>
      </c>
      <c r="J34" s="5">
        <v>1</v>
      </c>
      <c r="K34" s="5">
        <v>1</v>
      </c>
      <c r="L34" s="5">
        <v>1</v>
      </c>
      <c r="M34" s="5">
        <v>1</v>
      </c>
      <c r="N34" s="5">
        <v>1</v>
      </c>
      <c r="O34" s="5">
        <v>1</v>
      </c>
      <c r="P34" s="5">
        <v>33</v>
      </c>
      <c r="Q34" s="5">
        <v>1</v>
      </c>
      <c r="R34" s="5">
        <v>1</v>
      </c>
      <c r="S34" s="5">
        <v>1</v>
      </c>
      <c r="T34" s="5">
        <v>1</v>
      </c>
      <c r="U34" s="5">
        <v>1</v>
      </c>
      <c r="V34" s="80">
        <v>2</v>
      </c>
      <c r="W34" s="5">
        <v>33</v>
      </c>
      <c r="X34" s="5">
        <v>1</v>
      </c>
      <c r="Y34" s="5">
        <v>1</v>
      </c>
      <c r="Z34" s="5">
        <v>1</v>
      </c>
      <c r="AA34" s="5">
        <v>1</v>
      </c>
      <c r="AB34" s="5">
        <v>1</v>
      </c>
      <c r="AC34" s="2">
        <v>2</v>
      </c>
      <c r="AD34" s="2"/>
      <c r="AE34" s="2"/>
      <c r="AF34" s="2"/>
      <c r="AG34" s="2"/>
      <c r="AH34" s="2"/>
      <c r="AI34" s="2"/>
      <c r="AJ34" s="2"/>
      <c r="AK34" s="2"/>
      <c r="AL34" s="5">
        <v>33</v>
      </c>
      <c r="AM34" s="5">
        <v>1</v>
      </c>
      <c r="AN34" s="5">
        <v>1</v>
      </c>
      <c r="AO34" s="5">
        <v>1</v>
      </c>
      <c r="AP34" s="5">
        <v>1</v>
      </c>
      <c r="AQ34" s="5">
        <v>1</v>
      </c>
      <c r="AR34" s="2"/>
      <c r="AS34" s="18">
        <v>33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29"/>
      <c r="AZ34" s="18">
        <v>33</v>
      </c>
      <c r="BA34" s="5">
        <v>1</v>
      </c>
      <c r="BB34" s="5">
        <v>1</v>
      </c>
      <c r="BC34" s="5">
        <v>1</v>
      </c>
      <c r="BD34" s="5">
        <v>1</v>
      </c>
      <c r="BE34" s="5">
        <v>1</v>
      </c>
    </row>
    <row r="35" spans="1:57" ht="14.25" customHeight="1">
      <c r="A35" s="2"/>
      <c r="B35" s="2"/>
      <c r="C35" s="2"/>
      <c r="D35" s="2"/>
      <c r="E35" s="2"/>
      <c r="F35" s="2"/>
      <c r="G35" s="2"/>
      <c r="H35" s="80"/>
      <c r="I35" s="5">
        <v>34</v>
      </c>
      <c r="J35" s="5">
        <v>1</v>
      </c>
      <c r="K35" s="5">
        <v>1</v>
      </c>
      <c r="L35" s="5">
        <v>1</v>
      </c>
      <c r="M35" s="5">
        <v>1</v>
      </c>
      <c r="N35" s="5">
        <v>1</v>
      </c>
      <c r="O35" s="5">
        <v>1</v>
      </c>
      <c r="P35" s="5">
        <v>34</v>
      </c>
      <c r="Q35" s="5">
        <v>1</v>
      </c>
      <c r="R35" s="5">
        <v>1</v>
      </c>
      <c r="S35" s="5">
        <v>1</v>
      </c>
      <c r="T35" s="5">
        <v>1</v>
      </c>
      <c r="U35" s="5">
        <v>1</v>
      </c>
      <c r="V35" s="80">
        <v>2</v>
      </c>
      <c r="W35" s="5">
        <v>34</v>
      </c>
      <c r="X35" s="5">
        <v>1</v>
      </c>
      <c r="Y35" s="5">
        <v>1</v>
      </c>
      <c r="Z35" s="5">
        <v>1</v>
      </c>
      <c r="AA35" s="5">
        <v>1</v>
      </c>
      <c r="AB35" s="5">
        <v>1</v>
      </c>
      <c r="AC35" s="2">
        <v>2</v>
      </c>
      <c r="AD35" s="2"/>
      <c r="AE35" s="2"/>
      <c r="AF35" s="2"/>
      <c r="AG35" s="2"/>
      <c r="AH35" s="2"/>
      <c r="AI35" s="2"/>
      <c r="AJ35" s="2"/>
      <c r="AK35" s="2"/>
      <c r="AL35" s="5">
        <v>34</v>
      </c>
      <c r="AM35" s="5">
        <v>1</v>
      </c>
      <c r="AN35" s="5">
        <v>1</v>
      </c>
      <c r="AO35" s="5">
        <v>1</v>
      </c>
      <c r="AP35" s="5">
        <v>1</v>
      </c>
      <c r="AQ35" s="5">
        <v>1</v>
      </c>
      <c r="AR35" s="2"/>
      <c r="AS35" s="18">
        <v>34</v>
      </c>
      <c r="AT35" s="18">
        <v>1</v>
      </c>
      <c r="AU35" s="18">
        <v>1</v>
      </c>
      <c r="AV35" s="18">
        <v>1</v>
      </c>
      <c r="AW35" s="18">
        <v>1</v>
      </c>
      <c r="AX35" s="18">
        <v>1</v>
      </c>
      <c r="AY35" s="29"/>
      <c r="AZ35" s="18">
        <v>34</v>
      </c>
      <c r="BA35" s="5">
        <v>1</v>
      </c>
      <c r="BB35" s="5">
        <v>1</v>
      </c>
      <c r="BC35" s="5">
        <v>1</v>
      </c>
      <c r="BD35" s="5">
        <v>1</v>
      </c>
      <c r="BE35" s="5">
        <v>1</v>
      </c>
    </row>
    <row r="36" spans="1:57" ht="14.25" customHeight="1">
      <c r="A36" s="2"/>
      <c r="B36" s="2"/>
      <c r="C36" s="2"/>
      <c r="D36" s="2"/>
      <c r="E36" s="2"/>
      <c r="F36" s="2"/>
      <c r="G36" s="2"/>
      <c r="H36" s="80"/>
      <c r="I36" s="5">
        <v>35</v>
      </c>
      <c r="J36" s="5">
        <v>1</v>
      </c>
      <c r="K36" s="5">
        <v>1</v>
      </c>
      <c r="L36" s="5">
        <v>1</v>
      </c>
      <c r="M36" s="5">
        <v>1</v>
      </c>
      <c r="N36" s="5">
        <v>1</v>
      </c>
      <c r="O36" s="5">
        <v>1</v>
      </c>
      <c r="P36" s="5">
        <v>35</v>
      </c>
      <c r="Q36" s="5">
        <v>1</v>
      </c>
      <c r="R36" s="5">
        <v>1</v>
      </c>
      <c r="S36" s="5">
        <v>1</v>
      </c>
      <c r="T36" s="5">
        <v>1</v>
      </c>
      <c r="U36" s="5">
        <v>1</v>
      </c>
      <c r="V36" s="80">
        <v>2</v>
      </c>
      <c r="W36" s="5">
        <v>35</v>
      </c>
      <c r="X36" s="5">
        <v>1</v>
      </c>
      <c r="Y36" s="5">
        <v>1</v>
      </c>
      <c r="Z36" s="5">
        <v>1</v>
      </c>
      <c r="AA36" s="5">
        <v>1</v>
      </c>
      <c r="AB36" s="5">
        <v>1</v>
      </c>
      <c r="AC36" s="2">
        <v>2</v>
      </c>
      <c r="AD36" s="2"/>
      <c r="AE36" s="2"/>
      <c r="AF36" s="2"/>
      <c r="AG36" s="2"/>
      <c r="AH36" s="2"/>
      <c r="AI36" s="2"/>
      <c r="AJ36" s="2"/>
      <c r="AK36" s="2"/>
      <c r="AL36" s="5">
        <v>35</v>
      </c>
      <c r="AM36" s="5">
        <v>1</v>
      </c>
      <c r="AN36" s="5">
        <v>1</v>
      </c>
      <c r="AO36" s="5">
        <v>1</v>
      </c>
      <c r="AP36" s="5">
        <v>1</v>
      </c>
      <c r="AQ36" s="5">
        <v>1</v>
      </c>
      <c r="AR36" s="2"/>
      <c r="AS36" s="18">
        <v>35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29"/>
      <c r="AZ36" s="18">
        <v>35</v>
      </c>
      <c r="BA36" s="5">
        <v>1</v>
      </c>
      <c r="BB36" s="5">
        <v>1</v>
      </c>
      <c r="BC36" s="5">
        <v>1</v>
      </c>
      <c r="BD36" s="5">
        <v>1</v>
      </c>
      <c r="BE36" s="5">
        <v>1</v>
      </c>
    </row>
    <row r="37" spans="1:57" ht="14.25" customHeight="1">
      <c r="A37" s="2"/>
      <c r="B37" s="2"/>
      <c r="C37" s="2"/>
      <c r="D37" s="2"/>
      <c r="E37" s="2"/>
      <c r="F37" s="2"/>
      <c r="G37" s="2"/>
      <c r="H37" s="80"/>
      <c r="I37" s="73" t="s">
        <v>1075</v>
      </c>
      <c r="J37" s="5">
        <v>1</v>
      </c>
      <c r="K37" s="5">
        <v>1</v>
      </c>
      <c r="L37" s="5">
        <v>1</v>
      </c>
      <c r="M37" s="5">
        <v>1</v>
      </c>
      <c r="N37" s="5">
        <v>1</v>
      </c>
      <c r="O37" s="80" t="s">
        <v>1302</v>
      </c>
      <c r="P37" s="73" t="s">
        <v>1000</v>
      </c>
      <c r="Q37" s="5">
        <v>1</v>
      </c>
      <c r="R37" s="5">
        <v>1</v>
      </c>
      <c r="S37" s="5">
        <v>1</v>
      </c>
      <c r="T37" s="5">
        <v>1</v>
      </c>
      <c r="U37" s="5">
        <v>1</v>
      </c>
      <c r="V37" s="80">
        <v>2</v>
      </c>
      <c r="W37" s="73" t="s">
        <v>959</v>
      </c>
      <c r="X37" s="5">
        <v>1</v>
      </c>
      <c r="Y37" s="5">
        <v>1</v>
      </c>
      <c r="Z37" s="5">
        <v>1</v>
      </c>
      <c r="AA37" s="5">
        <v>1</v>
      </c>
      <c r="AB37" s="5">
        <v>1</v>
      </c>
      <c r="AC37" s="2">
        <v>2</v>
      </c>
      <c r="AD37" s="2"/>
      <c r="AE37" s="2"/>
      <c r="AF37" s="2"/>
      <c r="AG37" s="2"/>
      <c r="AH37" s="2"/>
      <c r="AI37" s="2"/>
      <c r="AJ37" s="2"/>
      <c r="AK37" s="2"/>
      <c r="AL37" s="73" t="s">
        <v>871</v>
      </c>
      <c r="AM37" s="5">
        <v>1</v>
      </c>
      <c r="AN37" s="5">
        <v>1</v>
      </c>
      <c r="AO37" s="5">
        <v>1</v>
      </c>
      <c r="AP37" s="5">
        <v>1</v>
      </c>
      <c r="AQ37" s="5">
        <v>1</v>
      </c>
      <c r="AR37" s="2"/>
      <c r="AS37" s="17" t="s">
        <v>758</v>
      </c>
      <c r="AT37" s="18">
        <v>1</v>
      </c>
      <c r="AU37" s="18">
        <v>1</v>
      </c>
      <c r="AV37" s="18">
        <v>1</v>
      </c>
      <c r="AW37" s="18">
        <v>1</v>
      </c>
      <c r="AX37" s="18">
        <v>1</v>
      </c>
      <c r="AY37" s="29"/>
      <c r="AZ37" s="17" t="s">
        <v>247</v>
      </c>
      <c r="BA37" s="5">
        <v>1</v>
      </c>
      <c r="BB37" s="5">
        <v>1</v>
      </c>
      <c r="BC37" s="5">
        <v>1</v>
      </c>
      <c r="BD37" s="5">
        <v>1</v>
      </c>
      <c r="BE37" s="5">
        <v>1</v>
      </c>
    </row>
    <row r="38" spans="1:57" ht="14.25" customHeight="1">
      <c r="A38" s="2"/>
      <c r="B38" s="2"/>
      <c r="C38" s="2"/>
      <c r="D38" s="2"/>
      <c r="E38" s="2"/>
      <c r="F38" s="2"/>
      <c r="G38" s="2"/>
      <c r="H38" s="80"/>
      <c r="I38" s="5" t="s">
        <v>760</v>
      </c>
      <c r="J38" s="5" t="s">
        <v>150</v>
      </c>
      <c r="K38" s="5">
        <v>1</v>
      </c>
      <c r="L38" s="5">
        <v>1</v>
      </c>
      <c r="M38" s="5">
        <v>1</v>
      </c>
      <c r="N38" s="5">
        <v>1</v>
      </c>
      <c r="O38" s="5">
        <v>1</v>
      </c>
      <c r="P38" s="5">
        <v>37</v>
      </c>
      <c r="Q38" s="5">
        <v>1</v>
      </c>
      <c r="R38" s="5">
        <v>1</v>
      </c>
      <c r="S38" s="5">
        <v>1</v>
      </c>
      <c r="T38" s="5">
        <v>1</v>
      </c>
      <c r="U38" s="5">
        <v>1</v>
      </c>
      <c r="V38" s="80">
        <v>2</v>
      </c>
      <c r="W38" s="5">
        <v>37</v>
      </c>
      <c r="X38" s="5">
        <v>1</v>
      </c>
      <c r="Y38" s="5">
        <v>1</v>
      </c>
      <c r="Z38" s="5">
        <v>1</v>
      </c>
      <c r="AA38" s="5">
        <v>1</v>
      </c>
      <c r="AB38" s="5">
        <v>1</v>
      </c>
      <c r="AC38" s="2">
        <v>2</v>
      </c>
      <c r="AD38" s="2"/>
      <c r="AE38" s="2"/>
      <c r="AF38" s="2"/>
      <c r="AG38" s="2"/>
      <c r="AH38" s="2"/>
      <c r="AI38" s="2"/>
      <c r="AJ38" s="2"/>
      <c r="AK38" s="2"/>
      <c r="AL38" s="5">
        <v>37</v>
      </c>
      <c r="AM38" s="5">
        <v>1</v>
      </c>
      <c r="AN38" s="5">
        <v>1</v>
      </c>
      <c r="AO38" s="5">
        <v>1</v>
      </c>
      <c r="AP38" s="5">
        <v>1</v>
      </c>
      <c r="AQ38" s="5">
        <v>1</v>
      </c>
      <c r="AR38" s="2"/>
      <c r="AS38" s="18">
        <v>37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29"/>
      <c r="AZ38" s="18">
        <v>37</v>
      </c>
      <c r="BA38" s="5">
        <v>1</v>
      </c>
      <c r="BB38" s="5">
        <v>1</v>
      </c>
      <c r="BC38" s="5">
        <v>1</v>
      </c>
      <c r="BD38" s="5">
        <v>1</v>
      </c>
      <c r="BE38" s="5">
        <v>1</v>
      </c>
    </row>
    <row r="39" spans="1:57" ht="14.25" customHeight="1">
      <c r="A39" s="2"/>
      <c r="B39" s="2"/>
      <c r="C39" s="2"/>
      <c r="D39" s="2"/>
      <c r="E39" s="2"/>
      <c r="F39" s="2"/>
      <c r="G39" s="2"/>
      <c r="H39" s="80"/>
      <c r="I39" s="5" t="s">
        <v>1082</v>
      </c>
      <c r="J39" s="5" t="s">
        <v>143</v>
      </c>
      <c r="K39" s="5">
        <v>1</v>
      </c>
      <c r="L39" s="5">
        <v>1</v>
      </c>
      <c r="M39" s="5">
        <v>1</v>
      </c>
      <c r="N39" s="5">
        <v>1</v>
      </c>
      <c r="O39" s="5">
        <v>1</v>
      </c>
      <c r="P39" s="5">
        <v>38</v>
      </c>
      <c r="Q39" s="5">
        <v>1</v>
      </c>
      <c r="R39" s="5">
        <v>1</v>
      </c>
      <c r="S39" s="5">
        <v>1</v>
      </c>
      <c r="T39" s="5">
        <v>1</v>
      </c>
      <c r="U39" s="5">
        <v>1</v>
      </c>
      <c r="V39" s="80">
        <v>2</v>
      </c>
      <c r="W39" s="5">
        <v>38</v>
      </c>
      <c r="X39" s="5">
        <v>1</v>
      </c>
      <c r="Y39" s="5">
        <v>1</v>
      </c>
      <c r="Z39" s="5">
        <v>1</v>
      </c>
      <c r="AA39" s="5">
        <v>1</v>
      </c>
      <c r="AB39" s="5">
        <v>1</v>
      </c>
      <c r="AC39" s="2">
        <v>2</v>
      </c>
      <c r="AD39" s="2"/>
      <c r="AE39" s="2"/>
      <c r="AF39" s="2"/>
      <c r="AG39" s="2"/>
      <c r="AH39" s="2"/>
      <c r="AI39" s="2"/>
      <c r="AJ39" s="2"/>
      <c r="AK39" s="2"/>
      <c r="AL39" s="5">
        <v>38</v>
      </c>
      <c r="AM39" s="5">
        <v>1</v>
      </c>
      <c r="AN39" s="5">
        <v>1</v>
      </c>
      <c r="AO39" s="5">
        <v>1</v>
      </c>
      <c r="AP39" s="5">
        <v>1</v>
      </c>
      <c r="AQ39" s="5">
        <v>1</v>
      </c>
      <c r="AR39" s="2"/>
      <c r="AS39" s="18">
        <v>38</v>
      </c>
      <c r="AT39" s="18">
        <v>1</v>
      </c>
      <c r="AU39" s="18">
        <v>1</v>
      </c>
      <c r="AV39" s="18">
        <v>1</v>
      </c>
      <c r="AW39" s="18">
        <v>1</v>
      </c>
      <c r="AX39" s="18">
        <v>1</v>
      </c>
      <c r="AY39" s="29"/>
      <c r="AZ39" s="18">
        <v>38</v>
      </c>
      <c r="BA39" s="5">
        <v>1</v>
      </c>
      <c r="BB39" s="5">
        <v>1</v>
      </c>
      <c r="BC39" s="5">
        <v>1</v>
      </c>
      <c r="BD39" s="5">
        <v>1</v>
      </c>
      <c r="BE39" s="5">
        <v>1</v>
      </c>
    </row>
    <row r="40" spans="1:57" ht="14.25" customHeight="1">
      <c r="A40" s="2"/>
      <c r="B40" s="2"/>
      <c r="C40" s="2"/>
      <c r="D40" s="2"/>
      <c r="E40" s="2"/>
      <c r="F40" s="2"/>
      <c r="G40" s="2"/>
      <c r="H40" s="80"/>
      <c r="I40" s="5">
        <v>39</v>
      </c>
      <c r="J40" s="5">
        <v>1</v>
      </c>
      <c r="K40" s="5">
        <v>1</v>
      </c>
      <c r="L40" s="5">
        <v>1</v>
      </c>
      <c r="M40" s="5">
        <v>1</v>
      </c>
      <c r="N40" s="5">
        <v>1</v>
      </c>
      <c r="O40" s="5">
        <v>1</v>
      </c>
      <c r="P40" s="5">
        <v>39</v>
      </c>
      <c r="Q40" s="5">
        <v>1</v>
      </c>
      <c r="R40" s="5">
        <v>1</v>
      </c>
      <c r="S40" s="5">
        <v>1</v>
      </c>
      <c r="T40" s="5">
        <v>1</v>
      </c>
      <c r="U40" s="5">
        <v>1</v>
      </c>
      <c r="V40" s="80">
        <v>2</v>
      </c>
      <c r="W40" s="5">
        <v>39</v>
      </c>
      <c r="X40" s="5">
        <v>1</v>
      </c>
      <c r="Y40" s="5">
        <v>1</v>
      </c>
      <c r="Z40" s="5">
        <v>1</v>
      </c>
      <c r="AA40" s="5">
        <v>1</v>
      </c>
      <c r="AB40" s="5">
        <v>1</v>
      </c>
      <c r="AC40" s="2">
        <v>2</v>
      </c>
      <c r="AD40" s="2"/>
      <c r="AE40" s="2"/>
      <c r="AF40" s="2"/>
      <c r="AG40" s="2"/>
      <c r="AH40" s="2"/>
      <c r="AI40" s="2"/>
      <c r="AJ40" s="2"/>
      <c r="AK40" s="2"/>
      <c r="AL40" s="5">
        <v>39</v>
      </c>
      <c r="AM40" s="5">
        <v>1</v>
      </c>
      <c r="AN40" s="5">
        <v>1</v>
      </c>
      <c r="AO40" s="5">
        <v>1</v>
      </c>
      <c r="AP40" s="5">
        <v>1</v>
      </c>
      <c r="AQ40" s="5">
        <v>1</v>
      </c>
      <c r="AR40" s="2"/>
      <c r="AS40" s="18">
        <v>39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29"/>
      <c r="AZ40" s="18">
        <v>39</v>
      </c>
      <c r="BA40" s="5">
        <v>1</v>
      </c>
      <c r="BB40" s="5">
        <v>1</v>
      </c>
      <c r="BC40" s="5">
        <v>1</v>
      </c>
      <c r="BD40" s="5">
        <v>1</v>
      </c>
      <c r="BE40" s="5">
        <v>1</v>
      </c>
    </row>
    <row r="41" spans="1:57" ht="14.25" customHeight="1">
      <c r="A41" s="2"/>
      <c r="B41" s="2"/>
      <c r="C41" s="2"/>
      <c r="D41" s="2"/>
      <c r="E41" s="2"/>
      <c r="F41" s="2"/>
      <c r="G41" s="2"/>
      <c r="H41" s="80"/>
      <c r="I41" s="5">
        <v>40</v>
      </c>
      <c r="J41" s="5">
        <v>1</v>
      </c>
      <c r="K41" s="5">
        <v>1</v>
      </c>
      <c r="L41" s="5">
        <v>1</v>
      </c>
      <c r="M41" s="5">
        <v>1</v>
      </c>
      <c r="N41" s="5">
        <v>1</v>
      </c>
      <c r="O41" s="5">
        <v>1</v>
      </c>
      <c r="P41" s="5">
        <v>40</v>
      </c>
      <c r="Q41" s="5">
        <v>1</v>
      </c>
      <c r="R41" s="5">
        <v>1</v>
      </c>
      <c r="S41" s="5">
        <v>1</v>
      </c>
      <c r="T41" s="5">
        <v>1</v>
      </c>
      <c r="U41" s="5">
        <v>1</v>
      </c>
      <c r="V41" s="80">
        <v>2</v>
      </c>
      <c r="W41" s="5">
        <v>40</v>
      </c>
      <c r="X41" s="5">
        <v>1</v>
      </c>
      <c r="Y41" s="5">
        <v>1</v>
      </c>
      <c r="Z41" s="5">
        <v>1</v>
      </c>
      <c r="AA41" s="5">
        <v>1</v>
      </c>
      <c r="AB41" s="5">
        <v>1</v>
      </c>
      <c r="AC41" s="2">
        <v>2</v>
      </c>
      <c r="AD41" s="2"/>
      <c r="AE41" s="2"/>
      <c r="AF41" s="2"/>
      <c r="AG41" s="2"/>
      <c r="AH41" s="2"/>
      <c r="AI41" s="2"/>
      <c r="AJ41" s="2"/>
      <c r="AK41" s="2"/>
      <c r="AL41" s="5">
        <v>40</v>
      </c>
      <c r="AM41" s="5">
        <v>1</v>
      </c>
      <c r="AN41" s="5">
        <v>1</v>
      </c>
      <c r="AO41" s="5">
        <v>1</v>
      </c>
      <c r="AP41" s="5">
        <v>1</v>
      </c>
      <c r="AQ41" s="5">
        <v>1</v>
      </c>
      <c r="AR41" s="2"/>
      <c r="AS41" s="18">
        <v>40</v>
      </c>
      <c r="AT41" s="18">
        <v>1</v>
      </c>
      <c r="AU41" s="18">
        <v>1</v>
      </c>
      <c r="AV41" s="18">
        <v>1</v>
      </c>
      <c r="AW41" s="18">
        <v>1</v>
      </c>
      <c r="AX41" s="18">
        <v>1</v>
      </c>
      <c r="AY41" s="29"/>
      <c r="AZ41" s="18">
        <v>40</v>
      </c>
      <c r="BA41" s="5">
        <v>1</v>
      </c>
      <c r="BB41" s="5">
        <v>1</v>
      </c>
      <c r="BC41" s="5">
        <v>1</v>
      </c>
      <c r="BD41" s="5">
        <v>1</v>
      </c>
      <c r="BE41" s="5">
        <v>1</v>
      </c>
    </row>
    <row r="42" spans="1:57" ht="14.25" customHeight="1">
      <c r="A42" s="2"/>
      <c r="B42" s="2"/>
      <c r="C42" s="2"/>
      <c r="D42" s="2"/>
      <c r="E42" s="2"/>
      <c r="F42" s="2"/>
      <c r="G42" s="2"/>
      <c r="H42" s="80"/>
      <c r="I42" s="73" t="s">
        <v>1076</v>
      </c>
      <c r="J42" s="5" t="s">
        <v>783</v>
      </c>
      <c r="K42" s="5" t="s">
        <v>1083</v>
      </c>
      <c r="L42" s="5">
        <v>1</v>
      </c>
      <c r="M42" s="5">
        <v>1</v>
      </c>
      <c r="N42" s="5">
        <v>1</v>
      </c>
      <c r="O42" s="80" t="s">
        <v>1303</v>
      </c>
      <c r="P42" s="73" t="s">
        <v>1001</v>
      </c>
      <c r="Q42" s="5">
        <v>1</v>
      </c>
      <c r="R42" s="5">
        <v>1</v>
      </c>
      <c r="S42" s="5">
        <v>1</v>
      </c>
      <c r="T42" s="5">
        <v>1</v>
      </c>
      <c r="U42" s="5">
        <v>1</v>
      </c>
      <c r="V42" s="80">
        <v>2</v>
      </c>
      <c r="W42" s="73" t="s">
        <v>960</v>
      </c>
      <c r="X42" s="5">
        <v>1</v>
      </c>
      <c r="Y42" s="5">
        <v>1</v>
      </c>
      <c r="Z42" s="5">
        <v>1</v>
      </c>
      <c r="AA42" s="5">
        <v>1</v>
      </c>
      <c r="AB42" s="5">
        <v>1</v>
      </c>
      <c r="AC42" s="2">
        <v>2</v>
      </c>
      <c r="AD42" s="2"/>
      <c r="AE42" s="2"/>
      <c r="AF42" s="2"/>
      <c r="AG42" s="2"/>
      <c r="AH42" s="2"/>
      <c r="AI42" s="2"/>
      <c r="AJ42" s="2"/>
      <c r="AK42" s="2"/>
      <c r="AL42" s="73" t="s">
        <v>881</v>
      </c>
      <c r="AM42" s="5">
        <v>1</v>
      </c>
      <c r="AN42" s="5">
        <v>1</v>
      </c>
      <c r="AO42" s="5">
        <v>1</v>
      </c>
      <c r="AP42" s="5">
        <v>1</v>
      </c>
      <c r="AQ42" s="5">
        <v>1</v>
      </c>
      <c r="AR42" s="2"/>
      <c r="AS42" s="17" t="s">
        <v>765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29"/>
      <c r="AZ42" s="17" t="s">
        <v>270</v>
      </c>
      <c r="BA42" s="5">
        <v>1</v>
      </c>
      <c r="BB42" s="5">
        <v>1</v>
      </c>
      <c r="BC42" s="5">
        <v>1</v>
      </c>
      <c r="BD42" s="5">
        <v>1</v>
      </c>
      <c r="BE42" s="5">
        <v>1</v>
      </c>
    </row>
    <row r="43" spans="1:57" ht="14.25" customHeight="1">
      <c r="A43" s="2"/>
      <c r="B43" s="2"/>
      <c r="C43" s="2"/>
      <c r="D43" s="2"/>
      <c r="E43" s="2"/>
      <c r="F43" s="2"/>
      <c r="G43" s="2"/>
      <c r="H43" s="80"/>
      <c r="I43" s="5">
        <v>42</v>
      </c>
      <c r="J43" s="5">
        <v>1</v>
      </c>
      <c r="K43" s="5">
        <v>1</v>
      </c>
      <c r="L43" s="5">
        <v>1</v>
      </c>
      <c r="M43" s="5">
        <v>1</v>
      </c>
      <c r="N43" s="5">
        <v>1</v>
      </c>
      <c r="O43" s="5">
        <v>1</v>
      </c>
      <c r="P43" s="5">
        <v>42</v>
      </c>
      <c r="Q43" s="5">
        <v>1</v>
      </c>
      <c r="R43" s="5">
        <v>1</v>
      </c>
      <c r="S43" s="5">
        <v>1</v>
      </c>
      <c r="T43" s="5">
        <v>1</v>
      </c>
      <c r="U43" s="5">
        <v>1</v>
      </c>
      <c r="V43" s="80">
        <v>2</v>
      </c>
      <c r="W43" s="5">
        <v>42</v>
      </c>
      <c r="X43" s="5">
        <v>1</v>
      </c>
      <c r="Y43" s="5">
        <v>1</v>
      </c>
      <c r="Z43" s="5">
        <v>1</v>
      </c>
      <c r="AA43" s="5">
        <v>1</v>
      </c>
      <c r="AB43" s="5">
        <v>1</v>
      </c>
      <c r="AC43" s="2">
        <v>2</v>
      </c>
      <c r="AD43" s="2"/>
      <c r="AE43" s="2"/>
      <c r="AF43" s="2"/>
      <c r="AG43" s="2"/>
      <c r="AH43" s="2"/>
      <c r="AI43" s="2"/>
      <c r="AJ43" s="2"/>
      <c r="AK43" s="2"/>
      <c r="AL43" s="5">
        <v>42</v>
      </c>
      <c r="AM43" s="5">
        <v>1</v>
      </c>
      <c r="AN43" s="5">
        <v>1</v>
      </c>
      <c r="AO43" s="5">
        <v>1</v>
      </c>
      <c r="AP43" s="5">
        <v>1</v>
      </c>
      <c r="AQ43" s="5">
        <v>1</v>
      </c>
      <c r="AR43" s="2"/>
      <c r="AS43" s="18">
        <v>42</v>
      </c>
      <c r="AT43" s="18">
        <v>1</v>
      </c>
      <c r="AU43" s="18">
        <v>1</v>
      </c>
      <c r="AV43" s="18">
        <v>1</v>
      </c>
      <c r="AW43" s="18">
        <v>1</v>
      </c>
      <c r="AX43" s="18">
        <v>1</v>
      </c>
      <c r="AY43" s="29"/>
      <c r="AZ43" s="18">
        <v>42</v>
      </c>
      <c r="BA43" s="5">
        <v>1</v>
      </c>
      <c r="BB43" s="5">
        <v>1</v>
      </c>
      <c r="BC43" s="5">
        <v>1</v>
      </c>
      <c r="BD43" s="5">
        <v>1</v>
      </c>
      <c r="BE43" s="5">
        <v>1</v>
      </c>
    </row>
    <row r="44" spans="1:57" ht="14.25" customHeight="1">
      <c r="A44" s="2"/>
      <c r="B44" s="2"/>
      <c r="C44" s="2"/>
      <c r="D44" s="2"/>
      <c r="E44" s="2"/>
      <c r="F44" s="2"/>
      <c r="G44" s="2"/>
      <c r="H44" s="80"/>
      <c r="I44" s="5">
        <v>43</v>
      </c>
      <c r="J44" s="5">
        <v>1</v>
      </c>
      <c r="K44" s="5">
        <v>1</v>
      </c>
      <c r="L44" s="5">
        <v>1</v>
      </c>
      <c r="M44" s="5">
        <v>1</v>
      </c>
      <c r="N44" s="5">
        <v>1</v>
      </c>
      <c r="O44" s="5">
        <v>1</v>
      </c>
      <c r="P44" s="5">
        <v>43</v>
      </c>
      <c r="Q44" s="5">
        <v>1</v>
      </c>
      <c r="R44" s="5">
        <v>1</v>
      </c>
      <c r="S44" s="5">
        <v>1</v>
      </c>
      <c r="T44" s="5">
        <v>1</v>
      </c>
      <c r="U44" s="5">
        <v>1</v>
      </c>
      <c r="V44" s="80">
        <v>2</v>
      </c>
      <c r="W44" s="5">
        <v>43</v>
      </c>
      <c r="X44" s="5">
        <v>1</v>
      </c>
      <c r="Y44" s="5">
        <v>1</v>
      </c>
      <c r="Z44" s="5">
        <v>1</v>
      </c>
      <c r="AA44" s="5">
        <v>1</v>
      </c>
      <c r="AB44" s="5">
        <v>1</v>
      </c>
      <c r="AC44" s="2">
        <v>2</v>
      </c>
      <c r="AD44" s="2"/>
      <c r="AE44" s="2"/>
      <c r="AF44" s="2"/>
      <c r="AG44" s="2"/>
      <c r="AH44" s="2"/>
      <c r="AI44" s="2"/>
      <c r="AJ44" s="2"/>
      <c r="AK44" s="2"/>
      <c r="AL44" s="5">
        <v>43</v>
      </c>
      <c r="AM44" s="5">
        <v>1</v>
      </c>
      <c r="AN44" s="5">
        <v>1</v>
      </c>
      <c r="AO44" s="5">
        <v>1</v>
      </c>
      <c r="AP44" s="5">
        <v>1</v>
      </c>
      <c r="AQ44" s="5">
        <v>1</v>
      </c>
      <c r="AR44" s="2"/>
      <c r="AS44" s="18">
        <v>43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29"/>
      <c r="AZ44" s="18">
        <v>43</v>
      </c>
      <c r="BA44" s="5">
        <v>1</v>
      </c>
      <c r="BB44" s="5">
        <v>1</v>
      </c>
      <c r="BC44" s="5">
        <v>1</v>
      </c>
      <c r="BD44" s="5">
        <v>1</v>
      </c>
      <c r="BE44" s="5">
        <v>1</v>
      </c>
    </row>
    <row r="45" spans="1:57" ht="14.25" customHeight="1">
      <c r="A45" s="2"/>
      <c r="B45" s="2"/>
      <c r="C45" s="2"/>
      <c r="D45" s="2"/>
      <c r="E45" s="2"/>
      <c r="F45" s="2"/>
      <c r="G45" s="2"/>
      <c r="H45" s="80"/>
      <c r="I45" s="5">
        <v>44</v>
      </c>
      <c r="J45" s="5">
        <v>1</v>
      </c>
      <c r="K45" s="5">
        <v>1</v>
      </c>
      <c r="L45" s="5">
        <v>1</v>
      </c>
      <c r="M45" s="5">
        <v>1</v>
      </c>
      <c r="N45" s="5">
        <v>1</v>
      </c>
      <c r="O45" s="5">
        <v>1</v>
      </c>
      <c r="P45" s="5">
        <v>44</v>
      </c>
      <c r="Q45" s="5">
        <v>1</v>
      </c>
      <c r="R45" s="5">
        <v>1</v>
      </c>
      <c r="S45" s="5">
        <v>1</v>
      </c>
      <c r="T45" s="5">
        <v>1</v>
      </c>
      <c r="U45" s="5">
        <v>1</v>
      </c>
      <c r="V45" s="80">
        <v>2</v>
      </c>
      <c r="W45" s="5">
        <v>44</v>
      </c>
      <c r="X45" s="5">
        <v>1</v>
      </c>
      <c r="Y45" s="5">
        <v>1</v>
      </c>
      <c r="Z45" s="5">
        <v>1</v>
      </c>
      <c r="AA45" s="5">
        <v>1</v>
      </c>
      <c r="AB45" s="5">
        <v>1</v>
      </c>
      <c r="AC45" s="2">
        <v>2</v>
      </c>
      <c r="AD45" s="2"/>
      <c r="AE45" s="2"/>
      <c r="AF45" s="2"/>
      <c r="AG45" s="2"/>
      <c r="AH45" s="2"/>
      <c r="AI45" s="2"/>
      <c r="AJ45" s="2"/>
      <c r="AK45" s="2"/>
      <c r="AL45" s="5">
        <v>44</v>
      </c>
      <c r="AM45" s="5">
        <v>1</v>
      </c>
      <c r="AN45" s="5">
        <v>1</v>
      </c>
      <c r="AO45" s="5">
        <v>1</v>
      </c>
      <c r="AP45" s="5">
        <v>1</v>
      </c>
      <c r="AQ45" s="5">
        <v>1</v>
      </c>
      <c r="AR45" s="2"/>
      <c r="AS45" s="18">
        <v>44</v>
      </c>
      <c r="AT45" s="18">
        <v>1</v>
      </c>
      <c r="AU45" s="18">
        <v>1</v>
      </c>
      <c r="AV45" s="18">
        <v>1</v>
      </c>
      <c r="AW45" s="18">
        <v>1</v>
      </c>
      <c r="AX45" s="18">
        <v>1</v>
      </c>
      <c r="AY45" s="29"/>
      <c r="AZ45" s="18">
        <v>44</v>
      </c>
      <c r="BA45" s="5">
        <v>1</v>
      </c>
      <c r="BB45" s="5">
        <v>1</v>
      </c>
      <c r="BC45" s="5">
        <v>1</v>
      </c>
      <c r="BD45" s="5">
        <v>1</v>
      </c>
      <c r="BE45" s="5">
        <v>1</v>
      </c>
    </row>
    <row r="46" spans="1:57" ht="14.25" customHeight="1">
      <c r="A46" s="2"/>
      <c r="B46" s="2"/>
      <c r="C46" s="2"/>
      <c r="D46" s="2"/>
      <c r="E46" s="2"/>
      <c r="F46" s="2"/>
      <c r="G46" s="2"/>
      <c r="H46" s="80"/>
      <c r="I46" s="5">
        <v>45</v>
      </c>
      <c r="J46" s="5">
        <v>1</v>
      </c>
      <c r="K46" s="5">
        <v>1</v>
      </c>
      <c r="L46" s="5">
        <v>1</v>
      </c>
      <c r="M46" s="5">
        <v>1</v>
      </c>
      <c r="N46" s="5">
        <v>1</v>
      </c>
      <c r="O46" s="5">
        <v>1</v>
      </c>
      <c r="P46" s="5">
        <v>45</v>
      </c>
      <c r="Q46" s="5">
        <v>1</v>
      </c>
      <c r="R46" s="5">
        <v>1</v>
      </c>
      <c r="S46" s="5">
        <v>1</v>
      </c>
      <c r="T46" s="5">
        <v>1</v>
      </c>
      <c r="U46" s="5">
        <v>1</v>
      </c>
      <c r="V46" s="80">
        <v>2</v>
      </c>
      <c r="W46" s="5">
        <v>45</v>
      </c>
      <c r="X46" s="5">
        <v>1</v>
      </c>
      <c r="Y46" s="5">
        <v>1</v>
      </c>
      <c r="Z46" s="5">
        <v>1</v>
      </c>
      <c r="AA46" s="5">
        <v>1</v>
      </c>
      <c r="AB46" s="5">
        <v>1</v>
      </c>
      <c r="AC46" s="2">
        <v>2</v>
      </c>
      <c r="AD46" s="2"/>
      <c r="AE46" s="2"/>
      <c r="AF46" s="2"/>
      <c r="AG46" s="2"/>
      <c r="AH46" s="2"/>
      <c r="AI46" s="2"/>
      <c r="AJ46" s="2"/>
      <c r="AK46" s="2"/>
      <c r="AL46" s="5">
        <v>45</v>
      </c>
      <c r="AM46" s="5">
        <v>1</v>
      </c>
      <c r="AN46" s="5">
        <v>1</v>
      </c>
      <c r="AO46" s="5">
        <v>1</v>
      </c>
      <c r="AP46" s="5">
        <v>1</v>
      </c>
      <c r="AQ46" s="5">
        <v>1</v>
      </c>
      <c r="AR46" s="2"/>
      <c r="AS46" s="18">
        <v>45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29"/>
      <c r="AZ46" s="18">
        <v>45</v>
      </c>
      <c r="BA46" s="5">
        <v>1</v>
      </c>
      <c r="BB46" s="5">
        <v>1</v>
      </c>
      <c r="BC46" s="5">
        <v>1</v>
      </c>
      <c r="BD46" s="5">
        <v>1</v>
      </c>
      <c r="BE46" s="5">
        <v>1</v>
      </c>
    </row>
    <row r="47" spans="1:57" ht="14.25" customHeight="1">
      <c r="A47" s="2"/>
      <c r="B47" s="2"/>
      <c r="C47" s="2"/>
      <c r="D47" s="2"/>
      <c r="E47" s="2"/>
      <c r="F47" s="2"/>
      <c r="G47" s="2"/>
      <c r="H47" s="80"/>
      <c r="I47" s="73" t="s">
        <v>1077</v>
      </c>
      <c r="J47" s="5" t="s">
        <v>1084</v>
      </c>
      <c r="K47" s="5">
        <v>1</v>
      </c>
      <c r="L47" s="5">
        <v>1</v>
      </c>
      <c r="M47" s="5">
        <v>1</v>
      </c>
      <c r="N47" s="5">
        <v>1</v>
      </c>
      <c r="O47" s="80" t="s">
        <v>1304</v>
      </c>
      <c r="P47" s="73" t="s">
        <v>1002</v>
      </c>
      <c r="Q47" s="5">
        <v>1</v>
      </c>
      <c r="R47" s="5">
        <v>1</v>
      </c>
      <c r="S47" s="5">
        <v>1</v>
      </c>
      <c r="T47" s="5">
        <v>1</v>
      </c>
      <c r="U47" s="5">
        <v>1</v>
      </c>
      <c r="V47" s="80">
        <v>2</v>
      </c>
      <c r="W47" s="73" t="s">
        <v>961</v>
      </c>
      <c r="X47" s="5">
        <v>1</v>
      </c>
      <c r="Y47" s="5">
        <v>1</v>
      </c>
      <c r="Z47" s="5">
        <v>1</v>
      </c>
      <c r="AA47" s="5">
        <v>1</v>
      </c>
      <c r="AB47" s="5">
        <v>1</v>
      </c>
      <c r="AC47" s="2">
        <v>2</v>
      </c>
      <c r="AD47" s="2"/>
      <c r="AE47" s="2"/>
      <c r="AF47" s="2"/>
      <c r="AG47" s="2"/>
      <c r="AH47" s="2"/>
      <c r="AI47" s="2"/>
      <c r="AJ47" s="2"/>
      <c r="AK47" s="2"/>
      <c r="AL47" s="73" t="s">
        <v>885</v>
      </c>
      <c r="AM47" s="5">
        <v>1</v>
      </c>
      <c r="AN47" s="5">
        <v>1</v>
      </c>
      <c r="AO47" s="5">
        <v>1</v>
      </c>
      <c r="AP47" s="5">
        <v>1</v>
      </c>
      <c r="AQ47" s="5">
        <v>1</v>
      </c>
      <c r="AR47" s="2"/>
      <c r="AS47" s="17" t="s">
        <v>772</v>
      </c>
      <c r="AT47" s="18">
        <v>1</v>
      </c>
      <c r="AU47" s="18">
        <v>1</v>
      </c>
      <c r="AV47" s="18">
        <v>1</v>
      </c>
      <c r="AW47" s="18">
        <v>1</v>
      </c>
      <c r="AX47" s="18">
        <v>1</v>
      </c>
      <c r="AY47" s="29"/>
      <c r="AZ47" s="17" t="s">
        <v>298</v>
      </c>
      <c r="BA47" s="5">
        <v>1</v>
      </c>
      <c r="BB47" s="5">
        <v>1</v>
      </c>
      <c r="BC47" s="5">
        <v>1</v>
      </c>
      <c r="BD47" s="5">
        <v>1</v>
      </c>
      <c r="BE47" s="5">
        <v>1</v>
      </c>
    </row>
    <row r="48" spans="1:57" ht="14.25" customHeight="1">
      <c r="A48" s="2"/>
      <c r="B48" s="2"/>
      <c r="C48" s="2"/>
      <c r="D48" s="2"/>
      <c r="E48" s="2"/>
      <c r="F48" s="2"/>
      <c r="G48" s="2"/>
      <c r="H48" s="80"/>
      <c r="I48" s="5" t="s">
        <v>1085</v>
      </c>
      <c r="J48" s="5" t="s">
        <v>111</v>
      </c>
      <c r="K48" s="5" t="s">
        <v>212</v>
      </c>
      <c r="L48" s="5" t="s">
        <v>130</v>
      </c>
      <c r="M48" s="5" t="s">
        <v>1086</v>
      </c>
      <c r="N48" s="5">
        <v>1</v>
      </c>
      <c r="O48" s="5">
        <v>1</v>
      </c>
      <c r="P48" s="5">
        <v>47</v>
      </c>
      <c r="Q48" s="5">
        <v>1</v>
      </c>
      <c r="R48" s="5">
        <v>1</v>
      </c>
      <c r="S48" s="5">
        <v>1</v>
      </c>
      <c r="T48" s="5">
        <v>1</v>
      </c>
      <c r="U48" s="5">
        <v>1</v>
      </c>
      <c r="V48" s="80">
        <v>2</v>
      </c>
      <c r="W48" s="5">
        <v>47</v>
      </c>
      <c r="X48" s="5">
        <v>1</v>
      </c>
      <c r="Y48" s="5">
        <v>1</v>
      </c>
      <c r="Z48" s="5">
        <v>1</v>
      </c>
      <c r="AA48" s="5">
        <v>1</v>
      </c>
      <c r="AB48" s="5">
        <v>1</v>
      </c>
      <c r="AC48" s="2">
        <v>2</v>
      </c>
      <c r="AD48" s="2"/>
      <c r="AE48" s="2"/>
      <c r="AF48" s="2"/>
      <c r="AG48" s="2"/>
      <c r="AH48" s="2"/>
      <c r="AI48" s="2"/>
      <c r="AJ48" s="2"/>
      <c r="AK48" s="2"/>
      <c r="AL48" s="5">
        <v>47</v>
      </c>
      <c r="AM48" s="5">
        <v>1</v>
      </c>
      <c r="AN48" s="5">
        <v>1</v>
      </c>
      <c r="AO48" s="5">
        <v>1</v>
      </c>
      <c r="AP48" s="5">
        <v>1</v>
      </c>
      <c r="AQ48" s="5">
        <v>1</v>
      </c>
      <c r="AR48" s="2"/>
      <c r="AS48" s="18">
        <v>47</v>
      </c>
      <c r="AT48" s="18">
        <v>1</v>
      </c>
      <c r="AU48" s="18">
        <v>1</v>
      </c>
      <c r="AV48" s="18">
        <v>1</v>
      </c>
      <c r="AW48" s="18">
        <v>1</v>
      </c>
      <c r="AX48" s="18">
        <v>1</v>
      </c>
      <c r="AY48" s="29"/>
      <c r="AZ48" s="18">
        <v>47</v>
      </c>
      <c r="BA48" s="5">
        <v>1</v>
      </c>
      <c r="BB48" s="5">
        <v>1</v>
      </c>
      <c r="BC48" s="5">
        <v>1</v>
      </c>
      <c r="BD48" s="5">
        <v>1</v>
      </c>
      <c r="BE48" s="5">
        <v>1</v>
      </c>
    </row>
    <row r="49" spans="1:57" ht="14.25" customHeight="1">
      <c r="A49" s="2"/>
      <c r="B49" s="2"/>
      <c r="C49" s="2"/>
      <c r="D49" s="2"/>
      <c r="E49" s="2"/>
      <c r="F49" s="2"/>
      <c r="G49" s="2"/>
      <c r="H49" s="80"/>
      <c r="I49" s="5" t="s">
        <v>69</v>
      </c>
      <c r="J49" s="5" t="s">
        <v>107</v>
      </c>
      <c r="K49" s="5">
        <v>1</v>
      </c>
      <c r="L49" s="5">
        <v>1</v>
      </c>
      <c r="M49" s="5">
        <v>1</v>
      </c>
      <c r="N49" s="5">
        <v>1</v>
      </c>
      <c r="O49" s="5">
        <v>1</v>
      </c>
      <c r="P49" s="5">
        <v>48</v>
      </c>
      <c r="Q49" s="5">
        <v>1</v>
      </c>
      <c r="R49" s="5">
        <v>1</v>
      </c>
      <c r="S49" s="5">
        <v>1</v>
      </c>
      <c r="T49" s="5">
        <v>1</v>
      </c>
      <c r="U49" s="5">
        <v>1</v>
      </c>
      <c r="V49" s="80">
        <v>2</v>
      </c>
      <c r="W49" s="5">
        <v>48</v>
      </c>
      <c r="X49" s="5">
        <v>1</v>
      </c>
      <c r="Y49" s="5">
        <v>1</v>
      </c>
      <c r="Z49" s="5">
        <v>1</v>
      </c>
      <c r="AA49" s="5">
        <v>1</v>
      </c>
      <c r="AB49" s="5">
        <v>1</v>
      </c>
      <c r="AC49" s="2">
        <v>2</v>
      </c>
      <c r="AD49" s="2"/>
      <c r="AE49" s="2"/>
      <c r="AF49" s="2"/>
      <c r="AG49" s="2"/>
      <c r="AH49" s="2"/>
      <c r="AI49" s="2"/>
      <c r="AJ49" s="2"/>
      <c r="AK49" s="2"/>
      <c r="AL49" s="5">
        <v>48</v>
      </c>
      <c r="AM49" s="5">
        <v>1</v>
      </c>
      <c r="AN49" s="5">
        <v>1</v>
      </c>
      <c r="AO49" s="5">
        <v>1</v>
      </c>
      <c r="AP49" s="5">
        <v>1</v>
      </c>
      <c r="AQ49" s="5">
        <v>1</v>
      </c>
      <c r="AR49" s="2"/>
      <c r="AS49" s="18">
        <v>48</v>
      </c>
      <c r="AT49" s="18">
        <v>1</v>
      </c>
      <c r="AU49" s="18">
        <v>1</v>
      </c>
      <c r="AV49" s="18">
        <v>1</v>
      </c>
      <c r="AW49" s="18">
        <v>1</v>
      </c>
      <c r="AX49" s="18">
        <v>1</v>
      </c>
      <c r="AY49" s="29"/>
      <c r="AZ49" s="18">
        <v>48</v>
      </c>
      <c r="BA49" s="5">
        <v>1</v>
      </c>
      <c r="BB49" s="5">
        <v>1</v>
      </c>
      <c r="BC49" s="5">
        <v>1</v>
      </c>
      <c r="BD49" s="5">
        <v>1</v>
      </c>
      <c r="BE49" s="5">
        <v>1</v>
      </c>
    </row>
    <row r="50" spans="1:57" ht="14.25" customHeight="1">
      <c r="A50" s="2"/>
      <c r="B50" s="2"/>
      <c r="C50" s="2"/>
      <c r="D50" s="2"/>
      <c r="E50" s="2"/>
      <c r="F50" s="2"/>
      <c r="G50" s="2"/>
      <c r="H50" s="80"/>
      <c r="I50" s="5">
        <v>49</v>
      </c>
      <c r="J50" s="5">
        <v>1</v>
      </c>
      <c r="K50" s="5">
        <v>1</v>
      </c>
      <c r="L50" s="5">
        <v>1</v>
      </c>
      <c r="M50" s="5">
        <v>1</v>
      </c>
      <c r="N50" s="5">
        <v>1</v>
      </c>
      <c r="O50" s="5">
        <v>1</v>
      </c>
      <c r="P50" s="5">
        <v>49</v>
      </c>
      <c r="Q50" s="5">
        <v>1</v>
      </c>
      <c r="R50" s="5">
        <v>1</v>
      </c>
      <c r="S50" s="5">
        <v>1</v>
      </c>
      <c r="T50" s="5">
        <v>1</v>
      </c>
      <c r="U50" s="5">
        <v>1</v>
      </c>
      <c r="V50" s="80">
        <v>2</v>
      </c>
      <c r="W50" s="5">
        <v>49</v>
      </c>
      <c r="X50" s="5">
        <v>1</v>
      </c>
      <c r="Y50" s="5">
        <v>1</v>
      </c>
      <c r="Z50" s="5">
        <v>1</v>
      </c>
      <c r="AA50" s="5">
        <v>1</v>
      </c>
      <c r="AB50" s="5">
        <v>1</v>
      </c>
      <c r="AC50" s="2">
        <v>2</v>
      </c>
      <c r="AD50" s="2"/>
      <c r="AE50" s="2"/>
      <c r="AF50" s="2"/>
      <c r="AG50" s="2"/>
      <c r="AH50" s="2"/>
      <c r="AI50" s="2"/>
      <c r="AJ50" s="2"/>
      <c r="AK50" s="2"/>
      <c r="AL50" s="5">
        <v>49</v>
      </c>
      <c r="AM50" s="5">
        <v>1</v>
      </c>
      <c r="AN50" s="5">
        <v>1</v>
      </c>
      <c r="AO50" s="5">
        <v>1</v>
      </c>
      <c r="AP50" s="5">
        <v>1</v>
      </c>
      <c r="AQ50" s="5">
        <v>1</v>
      </c>
      <c r="AR50" s="2"/>
      <c r="AS50" s="18">
        <v>49</v>
      </c>
      <c r="AT50" s="18">
        <v>1</v>
      </c>
      <c r="AU50" s="18">
        <v>1</v>
      </c>
      <c r="AV50" s="18">
        <v>1</v>
      </c>
      <c r="AW50" s="18">
        <v>1</v>
      </c>
      <c r="AX50" s="18">
        <v>1</v>
      </c>
      <c r="AY50" s="29"/>
      <c r="AZ50" s="18">
        <v>49</v>
      </c>
      <c r="BA50" s="5">
        <v>1</v>
      </c>
      <c r="BB50" s="5">
        <v>1</v>
      </c>
      <c r="BC50" s="5">
        <v>1</v>
      </c>
      <c r="BD50" s="5">
        <v>1</v>
      </c>
      <c r="BE50" s="5">
        <v>1</v>
      </c>
    </row>
    <row r="51" spans="1:57" ht="14.25" customHeight="1">
      <c r="A51" s="2"/>
      <c r="B51" s="2"/>
      <c r="C51" s="2"/>
      <c r="D51" s="2"/>
      <c r="E51" s="2"/>
      <c r="F51" s="2"/>
      <c r="G51" s="2"/>
      <c r="H51" s="80"/>
      <c r="I51" s="5">
        <v>50</v>
      </c>
      <c r="J51" s="5">
        <v>1</v>
      </c>
      <c r="K51" s="5">
        <v>1</v>
      </c>
      <c r="L51" s="5">
        <v>1</v>
      </c>
      <c r="M51" s="5">
        <v>1</v>
      </c>
      <c r="N51" s="5">
        <v>1</v>
      </c>
      <c r="O51" s="5">
        <v>1</v>
      </c>
      <c r="P51" s="5">
        <v>50</v>
      </c>
      <c r="Q51" s="5">
        <v>1</v>
      </c>
      <c r="R51" s="5">
        <v>1</v>
      </c>
      <c r="S51" s="5">
        <v>1</v>
      </c>
      <c r="T51" s="5">
        <v>1</v>
      </c>
      <c r="U51" s="5">
        <v>1</v>
      </c>
      <c r="V51" s="80">
        <v>2</v>
      </c>
      <c r="W51" s="5">
        <v>50</v>
      </c>
      <c r="X51" s="5">
        <v>1</v>
      </c>
      <c r="Y51" s="5">
        <v>1</v>
      </c>
      <c r="Z51" s="5">
        <v>1</v>
      </c>
      <c r="AA51" s="5">
        <v>1</v>
      </c>
      <c r="AB51" s="5">
        <v>1</v>
      </c>
      <c r="AC51" s="2">
        <v>2</v>
      </c>
      <c r="AD51" s="2"/>
      <c r="AE51" s="2"/>
      <c r="AF51" s="2"/>
      <c r="AG51" s="2"/>
      <c r="AH51" s="2"/>
      <c r="AI51" s="2"/>
      <c r="AJ51" s="2"/>
      <c r="AK51" s="2"/>
      <c r="AL51" s="5">
        <v>50</v>
      </c>
      <c r="AM51" s="5">
        <v>1</v>
      </c>
      <c r="AN51" s="5">
        <v>1</v>
      </c>
      <c r="AO51" s="5">
        <v>1</v>
      </c>
      <c r="AP51" s="5">
        <v>1</v>
      </c>
      <c r="AQ51" s="5">
        <v>1</v>
      </c>
      <c r="AR51" s="2"/>
      <c r="AS51" s="18">
        <v>50</v>
      </c>
      <c r="AT51" s="18">
        <v>1</v>
      </c>
      <c r="AU51" s="18">
        <v>1</v>
      </c>
      <c r="AV51" s="18">
        <v>1</v>
      </c>
      <c r="AW51" s="18">
        <v>1</v>
      </c>
      <c r="AX51" s="18">
        <v>1</v>
      </c>
      <c r="AY51" s="29"/>
      <c r="AZ51" s="18">
        <v>50</v>
      </c>
      <c r="BA51" s="5">
        <v>1</v>
      </c>
      <c r="BB51" s="5">
        <v>1</v>
      </c>
      <c r="BC51" s="5">
        <v>1</v>
      </c>
      <c r="BD51" s="5">
        <v>1</v>
      </c>
      <c r="BE51" s="5">
        <v>1</v>
      </c>
    </row>
    <row r="52" spans="1:57" ht="14.25" customHeight="1">
      <c r="A52" s="2"/>
      <c r="B52" s="2"/>
      <c r="C52" s="2"/>
      <c r="D52" s="2"/>
      <c r="E52" s="2"/>
      <c r="F52" s="2"/>
      <c r="G52" s="2"/>
      <c r="H52" s="80"/>
      <c r="I52" s="2"/>
      <c r="J52" s="2"/>
      <c r="K52" s="2"/>
      <c r="L52" s="2"/>
      <c r="M52" s="2"/>
      <c r="N52" s="2"/>
      <c r="O52" s="80"/>
      <c r="P52" s="2"/>
      <c r="Q52" s="2"/>
      <c r="R52" s="2"/>
      <c r="S52" s="2"/>
      <c r="T52" s="2"/>
      <c r="U52" s="2"/>
      <c r="V52" s="80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</row>
    <row r="53" spans="1:57" ht="14.25" customHeight="1">
      <c r="A53" s="2"/>
      <c r="B53" s="2"/>
      <c r="C53" s="2"/>
      <c r="D53" s="2"/>
      <c r="E53" s="2"/>
      <c r="F53" s="2"/>
      <c r="G53" s="2"/>
      <c r="H53" s="80"/>
      <c r="I53" s="2"/>
      <c r="J53" s="2"/>
      <c r="K53" s="2"/>
      <c r="L53" s="2"/>
      <c r="M53" s="2"/>
      <c r="N53" s="2"/>
      <c r="O53" s="80"/>
      <c r="P53" s="2"/>
      <c r="Q53" s="2"/>
      <c r="R53" s="2"/>
      <c r="S53" s="2"/>
      <c r="T53" s="2"/>
      <c r="U53" s="2"/>
      <c r="V53" s="80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</row>
    <row r="54" spans="1:57" ht="14.25" customHeight="1">
      <c r="A54" s="2"/>
      <c r="B54" s="2"/>
      <c r="C54" s="2"/>
      <c r="D54" s="2"/>
      <c r="E54" s="2"/>
      <c r="F54" s="2"/>
      <c r="G54" s="2"/>
      <c r="H54" s="80"/>
      <c r="I54" s="2"/>
      <c r="J54" s="2"/>
      <c r="K54" s="2"/>
      <c r="L54" s="2"/>
      <c r="M54" s="2"/>
      <c r="N54" s="2"/>
      <c r="O54" s="80"/>
      <c r="P54" s="2"/>
      <c r="Q54" s="2"/>
      <c r="R54" s="2"/>
      <c r="S54" s="2"/>
      <c r="T54" s="2"/>
      <c r="U54" s="2"/>
      <c r="V54" s="80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</row>
    <row r="55" spans="1:57" ht="14.25" customHeight="1">
      <c r="A55" s="2"/>
      <c r="B55" s="2"/>
      <c r="C55" s="2"/>
      <c r="D55" s="2"/>
      <c r="E55" s="2"/>
      <c r="F55" s="2"/>
      <c r="G55" s="2"/>
      <c r="H55" s="80"/>
      <c r="I55" s="2"/>
      <c r="J55" s="2"/>
      <c r="K55" s="2"/>
      <c r="L55" s="2"/>
      <c r="M55" s="2"/>
      <c r="N55" s="2"/>
      <c r="O55" s="80"/>
      <c r="P55" s="2"/>
      <c r="Q55" s="2"/>
      <c r="R55" s="2"/>
      <c r="S55" s="2"/>
      <c r="T55" s="2"/>
      <c r="U55" s="2"/>
      <c r="V55" s="80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</row>
    <row r="56" spans="1:57" ht="14.25" customHeight="1">
      <c r="A56" s="2"/>
      <c r="B56" s="2"/>
      <c r="C56" s="2"/>
      <c r="D56" s="2"/>
      <c r="E56" s="2"/>
      <c r="F56" s="2"/>
      <c r="G56" s="2"/>
      <c r="H56" s="80"/>
      <c r="I56" s="2"/>
      <c r="J56" s="2"/>
      <c r="K56" s="2"/>
      <c r="L56" s="2"/>
      <c r="M56" s="2"/>
      <c r="N56" s="2"/>
      <c r="O56" s="80"/>
      <c r="P56" s="2"/>
      <c r="Q56" s="2"/>
      <c r="R56" s="2"/>
      <c r="S56" s="2"/>
      <c r="T56" s="2"/>
      <c r="U56" s="2"/>
      <c r="V56" s="80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</row>
    <row r="57" spans="1:57" ht="14.25" customHeight="1">
      <c r="A57" s="2"/>
      <c r="B57" s="2"/>
      <c r="C57" s="2"/>
      <c r="D57" s="2"/>
      <c r="E57" s="2"/>
      <c r="F57" s="2"/>
      <c r="G57" s="2"/>
      <c r="H57" s="80"/>
      <c r="I57" s="2"/>
      <c r="J57" s="2"/>
      <c r="K57" s="2"/>
      <c r="L57" s="2"/>
      <c r="M57" s="2"/>
      <c r="N57" s="2"/>
      <c r="O57" s="80"/>
      <c r="P57" s="2"/>
      <c r="Q57" s="2"/>
      <c r="R57" s="2"/>
      <c r="S57" s="2"/>
      <c r="T57" s="2"/>
      <c r="U57" s="2"/>
      <c r="V57" s="80"/>
      <c r="W57" s="2"/>
      <c r="X57" s="2"/>
      <c r="Y57" s="2"/>
      <c r="Z57" s="2"/>
      <c r="AA57" s="2"/>
      <c r="AB57" s="2"/>
      <c r="AC57" s="2"/>
      <c r="AD57" s="2"/>
      <c r="AE57" s="2" t="str">
        <f>IF($AE$1=$AK$2,AL2,IF($AE$1=$AK$3,AL7,IF($AE$1=$AK$4,AL12,IF($AE$1=$AK$5,AL17,IF($AE$1=$AK$6,AL22,IF($AE$1=$AK$7,AL27,IF($AE$1=$AK$8,AL32,IF($AE$1=$AK$9,AL37,IF($AE$1=$AK$10,AL42,IF($AE$1=$AK$11,AL47,IF($AE$1=$AK$12,AS2,IF($AE$1=$AK$13,AS7,IF($AE$1=$AK$14,AS12,IF($AE$1=$AK$15,AS17,IF($AE$1=$AK$16,AS22,IF($AE$1=$AK$17,AS27,IF($AE$1=$AK$18,AS32,IF($AE$1=$AK$19,AS37,IF($AE$1=$AK$20,AS42,IF($AE$1=$AK$21,AS47,IF($AE$1=$AK$22,AS52,IF($AE$1=$AK$22,AZ2,IF($AE$1=$AK$23,AZ7,IF($AE$1=$AK$24,AZ12,IF($AE$1=$AK$25,AZ17,IF($AE$1=$AK$26,AZ22,IF($AE$1=$AK$27,AZ27,IF($AE$1=$AK$28,AZ32,IF($AE$1=$AK$29,AZ37,IF($AE$1=$AK$30,AZ42,IF($AE$1=$AK$31,AZ47)))))))))))))))))))))))))))))))</f>
        <v>31 one</v>
      </c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</row>
    <row r="58" spans="1:57" ht="14.25" customHeight="1">
      <c r="A58" s="2"/>
      <c r="B58" s="2"/>
      <c r="C58" s="2"/>
      <c r="D58" s="2"/>
      <c r="E58" s="2"/>
      <c r="F58" s="2"/>
      <c r="G58" s="2"/>
      <c r="H58" s="80"/>
      <c r="I58" s="2"/>
      <c r="J58" s="2"/>
      <c r="K58" s="2"/>
      <c r="L58" s="2"/>
      <c r="M58" s="2"/>
      <c r="N58" s="2"/>
      <c r="O58" s="80"/>
      <c r="P58" s="2"/>
      <c r="Q58" s="2"/>
      <c r="R58" s="2"/>
      <c r="S58" s="2"/>
      <c r="T58" s="2"/>
      <c r="U58" s="2"/>
      <c r="V58" s="80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</row>
    <row r="59" spans="1:57" ht="14.25" customHeight="1">
      <c r="A59" s="2"/>
      <c r="B59" s="2"/>
      <c r="C59" s="2"/>
      <c r="D59" s="2"/>
      <c r="E59" s="2"/>
      <c r="F59" s="2"/>
      <c r="G59" s="2"/>
      <c r="H59" s="80"/>
      <c r="I59" s="2"/>
      <c r="J59" s="2"/>
      <c r="K59" s="2"/>
      <c r="L59" s="2"/>
      <c r="M59" s="2"/>
      <c r="N59" s="2"/>
      <c r="O59" s="80"/>
      <c r="P59" s="2"/>
      <c r="Q59" s="2"/>
      <c r="R59" s="2"/>
      <c r="S59" s="2"/>
      <c r="T59" s="2"/>
      <c r="U59" s="2"/>
      <c r="V59" s="80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</row>
    <row r="60" spans="1:57" ht="14.25" customHeight="1">
      <c r="A60" s="2"/>
      <c r="B60" s="2"/>
      <c r="C60" s="2"/>
      <c r="D60" s="2"/>
      <c r="E60" s="2"/>
      <c r="F60" s="2"/>
      <c r="G60" s="2"/>
      <c r="H60" s="80"/>
      <c r="I60" s="2"/>
      <c r="J60" s="2"/>
      <c r="K60" s="2"/>
      <c r="L60" s="2"/>
      <c r="M60" s="2"/>
      <c r="N60" s="2"/>
      <c r="O60" s="80"/>
      <c r="P60" s="2"/>
      <c r="Q60" s="2"/>
      <c r="R60" s="2"/>
      <c r="S60" s="2"/>
      <c r="T60" s="2"/>
      <c r="U60" s="2"/>
      <c r="V60" s="80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</row>
    <row r="61" spans="1:57" ht="14.25" customHeight="1">
      <c r="A61" s="2"/>
      <c r="B61" s="2"/>
      <c r="C61" s="2"/>
      <c r="D61" s="2"/>
      <c r="E61" s="2"/>
      <c r="F61" s="2"/>
      <c r="G61" s="2"/>
      <c r="H61" s="80"/>
      <c r="I61" s="2"/>
      <c r="J61" s="2"/>
      <c r="K61" s="2"/>
      <c r="L61" s="2"/>
      <c r="M61" s="2"/>
      <c r="N61" s="2"/>
      <c r="O61" s="80"/>
      <c r="P61" s="2"/>
      <c r="Q61" s="2"/>
      <c r="R61" s="2"/>
      <c r="S61" s="2"/>
      <c r="T61" s="2"/>
      <c r="U61" s="2"/>
      <c r="V61" s="80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</row>
    <row r="62" spans="1:57" ht="14.25" customHeight="1">
      <c r="A62" s="2"/>
      <c r="B62" s="2"/>
      <c r="C62" s="2"/>
      <c r="D62" s="2"/>
      <c r="E62" s="2"/>
      <c r="F62" s="2"/>
      <c r="G62" s="2"/>
      <c r="H62" s="80"/>
      <c r="I62" s="2"/>
      <c r="J62" s="2"/>
      <c r="K62" s="2"/>
      <c r="L62" s="2"/>
      <c r="M62" s="2"/>
      <c r="N62" s="2"/>
      <c r="O62" s="80"/>
      <c r="P62" s="2"/>
      <c r="Q62" s="2"/>
      <c r="R62" s="2"/>
      <c r="S62" s="2"/>
      <c r="T62" s="2"/>
      <c r="U62" s="2"/>
      <c r="V62" s="80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</row>
    <row r="63" spans="1:57" ht="14.25" customHeight="1">
      <c r="A63" s="2"/>
      <c r="B63" s="2"/>
      <c r="C63" s="2"/>
      <c r="D63" s="2"/>
      <c r="E63" s="2"/>
      <c r="F63" s="2"/>
      <c r="G63" s="2"/>
      <c r="H63" s="80"/>
      <c r="I63" s="2"/>
      <c r="J63" s="2"/>
      <c r="K63" s="2"/>
      <c r="L63" s="2"/>
      <c r="M63" s="2"/>
      <c r="N63" s="2"/>
      <c r="O63" s="80"/>
      <c r="P63" s="2"/>
      <c r="Q63" s="2"/>
      <c r="R63" s="2"/>
      <c r="S63" s="2"/>
      <c r="T63" s="2"/>
      <c r="U63" s="2"/>
      <c r="V63" s="80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</row>
    <row r="64" spans="1:57" ht="14.25" customHeight="1">
      <c r="A64" s="2"/>
      <c r="B64" s="2"/>
      <c r="C64" s="2"/>
      <c r="D64" s="2"/>
      <c r="E64" s="2"/>
      <c r="F64" s="2"/>
      <c r="G64" s="2"/>
      <c r="H64" s="80"/>
      <c r="I64" s="2"/>
      <c r="J64" s="2"/>
      <c r="K64" s="2"/>
      <c r="L64" s="2"/>
      <c r="M64" s="2"/>
      <c r="N64" s="2"/>
      <c r="O64" s="80"/>
      <c r="P64" s="2"/>
      <c r="Q64" s="2"/>
      <c r="R64" s="2"/>
      <c r="S64" s="2"/>
      <c r="T64" s="2"/>
      <c r="U64" s="2"/>
      <c r="V64" s="80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</row>
    <row r="65" spans="1:57" ht="14.25" customHeight="1">
      <c r="A65" s="2"/>
      <c r="B65" s="2"/>
      <c r="C65" s="2"/>
      <c r="D65" s="2"/>
      <c r="E65" s="2"/>
      <c r="F65" s="2"/>
      <c r="G65" s="2"/>
      <c r="H65" s="80"/>
      <c r="I65" s="2"/>
      <c r="J65" s="2"/>
      <c r="K65" s="2"/>
      <c r="L65" s="2"/>
      <c r="M65" s="2"/>
      <c r="N65" s="2"/>
      <c r="O65" s="80"/>
      <c r="P65" s="2"/>
      <c r="Q65" s="2"/>
      <c r="R65" s="2"/>
      <c r="S65" s="2"/>
      <c r="T65" s="2"/>
      <c r="U65" s="2"/>
      <c r="V65" s="80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</row>
    <row r="66" spans="1:57" ht="14.25" customHeight="1">
      <c r="A66" s="2"/>
      <c r="B66" s="2"/>
      <c r="C66" s="2"/>
      <c r="D66" s="2"/>
      <c r="E66" s="2"/>
      <c r="F66" s="2"/>
      <c r="G66" s="2"/>
      <c r="H66" s="80"/>
      <c r="I66" s="2"/>
      <c r="J66" s="2"/>
      <c r="K66" s="2"/>
      <c r="L66" s="2"/>
      <c r="M66" s="2"/>
      <c r="N66" s="2"/>
      <c r="O66" s="80"/>
      <c r="P66" s="2"/>
      <c r="Q66" s="2"/>
      <c r="R66" s="2"/>
      <c r="S66" s="2"/>
      <c r="T66" s="2"/>
      <c r="U66" s="2"/>
      <c r="V66" s="80"/>
      <c r="W66" s="2"/>
      <c r="X66" s="2"/>
      <c r="Y66" s="2"/>
      <c r="Z66" s="2"/>
      <c r="AA66" s="2"/>
      <c r="AB66" s="2"/>
      <c r="AC66" s="2"/>
      <c r="AD66" s="2"/>
      <c r="AE66" s="6"/>
      <c r="AF66" s="6"/>
      <c r="AG66" s="6"/>
      <c r="AH66" s="6"/>
      <c r="AI66" s="6"/>
      <c r="AJ66" s="6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</row>
    <row r="67" spans="1:57" ht="14.25" customHeight="1">
      <c r="A67" s="2"/>
      <c r="B67" s="2"/>
      <c r="C67" s="2"/>
      <c r="D67" s="2"/>
      <c r="E67" s="2"/>
      <c r="F67" s="2"/>
      <c r="G67" s="2"/>
      <c r="H67" s="80"/>
      <c r="I67" s="2"/>
      <c r="J67" s="2"/>
      <c r="K67" s="2"/>
      <c r="L67" s="2"/>
      <c r="M67" s="2"/>
      <c r="N67" s="2"/>
      <c r="O67" s="80"/>
      <c r="P67" s="2"/>
      <c r="Q67" s="2"/>
      <c r="R67" s="2"/>
      <c r="S67" s="2"/>
      <c r="T67" s="2"/>
      <c r="U67" s="2"/>
      <c r="V67" s="80"/>
      <c r="W67" s="2"/>
      <c r="X67" s="2"/>
      <c r="Y67" s="2"/>
      <c r="Z67" s="2"/>
      <c r="AA67" s="2"/>
      <c r="AB67" s="2"/>
      <c r="AC67" s="2"/>
      <c r="AD67" s="2"/>
      <c r="AE67" s="6"/>
      <c r="AF67" s="6"/>
      <c r="AG67" s="6"/>
      <c r="AH67" s="6"/>
      <c r="AI67" s="6"/>
      <c r="AJ67" s="6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</row>
    <row r="68" spans="1:57" ht="14.25" customHeight="1">
      <c r="A68" s="6"/>
      <c r="B68" s="6"/>
      <c r="C68" s="6"/>
      <c r="D68" s="6"/>
      <c r="E68" s="6"/>
      <c r="F68" s="6"/>
      <c r="G68" s="6"/>
      <c r="H68" s="80"/>
      <c r="I68" s="2"/>
      <c r="J68" s="2"/>
      <c r="K68" s="2"/>
      <c r="L68" s="2"/>
      <c r="M68" s="2"/>
      <c r="N68" s="2"/>
      <c r="O68" s="80"/>
      <c r="P68" s="2"/>
      <c r="Q68" s="2"/>
      <c r="R68" s="2"/>
      <c r="S68" s="2"/>
      <c r="T68" s="2"/>
      <c r="U68" s="2"/>
      <c r="V68" s="80"/>
      <c r="W68" s="2"/>
      <c r="X68" s="2"/>
      <c r="Y68" s="2"/>
      <c r="Z68" s="2"/>
      <c r="AA68" s="2"/>
      <c r="AB68" s="2"/>
      <c r="AC68" s="2"/>
      <c r="AD68" s="2"/>
      <c r="AE68" s="6"/>
      <c r="AF68" s="6"/>
      <c r="AG68" s="6"/>
      <c r="AH68" s="6"/>
      <c r="AI68" s="6"/>
      <c r="AJ68" s="6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</row>
    <row r="69" spans="1:57" ht="14.25" customHeight="1">
      <c r="A69" s="6"/>
      <c r="B69" s="6"/>
      <c r="C69" s="6"/>
      <c r="D69" s="6"/>
      <c r="E69" s="6"/>
      <c r="F69" s="6"/>
      <c r="G69" s="6"/>
      <c r="H69" s="80"/>
      <c r="I69" s="2"/>
      <c r="J69" s="2"/>
      <c r="K69" s="2"/>
      <c r="L69" s="2"/>
      <c r="M69" s="2"/>
      <c r="N69" s="2"/>
      <c r="O69" s="80"/>
      <c r="P69" s="2"/>
      <c r="Q69" s="2"/>
      <c r="R69" s="2"/>
      <c r="S69" s="2"/>
      <c r="T69" s="2"/>
      <c r="U69" s="2"/>
      <c r="V69" s="80"/>
      <c r="W69" s="2"/>
      <c r="X69" s="2"/>
      <c r="Y69" s="2"/>
      <c r="Z69" s="2"/>
      <c r="AA69" s="2"/>
      <c r="AB69" s="2"/>
      <c r="AC69" s="2"/>
      <c r="AD69" s="2"/>
      <c r="AE69" s="6"/>
      <c r="AF69" s="6"/>
      <c r="AG69" s="6"/>
      <c r="AH69" s="6"/>
      <c r="AI69" s="6"/>
      <c r="AJ69" s="6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</row>
    <row r="70" spans="1:57" ht="14.25" customHeight="1">
      <c r="A70" s="6"/>
      <c r="B70" s="6"/>
      <c r="C70" s="6"/>
      <c r="D70" s="6"/>
      <c r="E70" s="6"/>
      <c r="F70" s="6"/>
      <c r="G70" s="6"/>
      <c r="H70" s="80"/>
      <c r="I70" s="2"/>
      <c r="J70" s="2"/>
      <c r="K70" s="2"/>
      <c r="L70" s="2"/>
      <c r="M70" s="2"/>
      <c r="N70" s="2"/>
      <c r="O70" s="80"/>
      <c r="P70" s="2"/>
      <c r="Q70" s="2"/>
      <c r="R70" s="2"/>
      <c r="S70" s="2"/>
      <c r="T70" s="2"/>
      <c r="U70" s="2"/>
      <c r="V70" s="80"/>
      <c r="W70" s="2"/>
      <c r="X70" s="2"/>
      <c r="Y70" s="2"/>
      <c r="Z70" s="2"/>
      <c r="AA70" s="2"/>
      <c r="AB70" s="2"/>
      <c r="AC70" s="2"/>
      <c r="AD70" s="2"/>
      <c r="AE70" s="6"/>
      <c r="AF70" s="6"/>
      <c r="AG70" s="6"/>
      <c r="AH70" s="6"/>
      <c r="AI70" s="6"/>
      <c r="AJ70" s="6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</row>
    <row r="71" spans="1:57" ht="14.25" customHeight="1">
      <c r="A71" s="6"/>
      <c r="B71" s="6"/>
      <c r="C71" s="6"/>
      <c r="D71" s="6"/>
      <c r="E71" s="6"/>
      <c r="F71" s="6"/>
      <c r="G71" s="6"/>
      <c r="H71" s="80"/>
      <c r="I71" s="2"/>
      <c r="J71" s="2"/>
      <c r="K71" s="2"/>
      <c r="L71" s="2"/>
      <c r="M71" s="2"/>
      <c r="N71" s="2"/>
      <c r="O71" s="80"/>
      <c r="P71" s="2"/>
      <c r="Q71" s="2"/>
      <c r="R71" s="2"/>
      <c r="S71" s="2"/>
      <c r="T71" s="2"/>
      <c r="U71" s="2"/>
      <c r="V71" s="80"/>
      <c r="W71" s="2"/>
      <c r="X71" s="2"/>
      <c r="Y71" s="2"/>
      <c r="Z71" s="2"/>
      <c r="AA71" s="2"/>
      <c r="AB71" s="2"/>
      <c r="AC71" s="2"/>
      <c r="AD71" s="2"/>
      <c r="AE71" s="6"/>
      <c r="AF71" s="6"/>
      <c r="AG71" s="6"/>
      <c r="AH71" s="6"/>
      <c r="AI71" s="6"/>
      <c r="AJ71" s="6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</row>
    <row r="72" spans="1:57" ht="14.25" customHeight="1">
      <c r="A72" s="6"/>
      <c r="B72" s="6"/>
      <c r="C72" s="6"/>
      <c r="D72" s="6"/>
      <c r="E72" s="6"/>
      <c r="F72" s="6"/>
      <c r="G72" s="6"/>
      <c r="H72" s="80"/>
      <c r="I72" s="2"/>
      <c r="J72" s="2"/>
      <c r="K72" s="2"/>
      <c r="L72" s="2"/>
      <c r="M72" s="2"/>
      <c r="N72" s="2"/>
      <c r="O72" s="80"/>
      <c r="P72" s="2"/>
      <c r="Q72" s="2"/>
      <c r="R72" s="2"/>
      <c r="S72" s="2"/>
      <c r="T72" s="2"/>
      <c r="U72" s="2"/>
      <c r="V72" s="80"/>
      <c r="W72" s="2"/>
      <c r="X72" s="2"/>
      <c r="Y72" s="2"/>
      <c r="Z72" s="2"/>
      <c r="AA72" s="2"/>
      <c r="AB72" s="2"/>
      <c r="AC72" s="2"/>
      <c r="AD72" s="2"/>
      <c r="AE72" s="6"/>
      <c r="AF72" s="6"/>
      <c r="AG72" s="6"/>
      <c r="AH72" s="6"/>
      <c r="AI72" s="6"/>
      <c r="AJ72" s="6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</row>
    <row r="73" spans="1:57" ht="14.25" customHeight="1">
      <c r="A73" s="6"/>
      <c r="B73" s="6"/>
      <c r="C73" s="6"/>
      <c r="D73" s="6"/>
      <c r="E73" s="6"/>
      <c r="F73" s="6"/>
      <c r="G73" s="6"/>
      <c r="H73" s="80"/>
      <c r="I73" s="2"/>
      <c r="J73" s="2"/>
      <c r="K73" s="2"/>
      <c r="L73" s="2"/>
      <c r="M73" s="2"/>
      <c r="N73" s="2"/>
      <c r="O73" s="80"/>
      <c r="P73" s="2"/>
      <c r="Q73" s="2"/>
      <c r="R73" s="2"/>
      <c r="S73" s="2"/>
      <c r="T73" s="2"/>
      <c r="U73" s="2"/>
      <c r="V73" s="80"/>
      <c r="W73" s="2"/>
      <c r="X73" s="2"/>
      <c r="Y73" s="2"/>
      <c r="Z73" s="2"/>
      <c r="AA73" s="2"/>
      <c r="AB73" s="2"/>
      <c r="AC73" s="2"/>
      <c r="AD73" s="2"/>
      <c r="AE73" s="6"/>
      <c r="AF73" s="6"/>
      <c r="AG73" s="6"/>
      <c r="AH73" s="6"/>
      <c r="AI73" s="6"/>
      <c r="AJ73" s="6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</row>
    <row r="74" spans="1:57" ht="14.25" customHeight="1">
      <c r="A74" s="6"/>
      <c r="B74" s="6"/>
      <c r="C74" s="6"/>
      <c r="D74" s="6"/>
      <c r="E74" s="6"/>
      <c r="F74" s="6"/>
      <c r="G74" s="6"/>
      <c r="H74" s="80"/>
      <c r="I74" s="2"/>
      <c r="J74" s="2"/>
      <c r="K74" s="2"/>
      <c r="L74" s="2"/>
      <c r="M74" s="2"/>
      <c r="N74" s="2"/>
      <c r="O74" s="80"/>
      <c r="P74" s="2"/>
      <c r="Q74" s="2"/>
      <c r="R74" s="2"/>
      <c r="S74" s="2"/>
      <c r="T74" s="2"/>
      <c r="U74" s="2"/>
      <c r="V74" s="80"/>
      <c r="W74" s="2"/>
      <c r="X74" s="2"/>
      <c r="Y74" s="2"/>
      <c r="Z74" s="2"/>
      <c r="AA74" s="2"/>
      <c r="AB74" s="2"/>
      <c r="AC74" s="2"/>
      <c r="AD74" s="2"/>
      <c r="AE74" s="6"/>
      <c r="AF74" s="6"/>
      <c r="AG74" s="6"/>
      <c r="AH74" s="6"/>
      <c r="AI74" s="6"/>
      <c r="AJ74" s="6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</row>
    <row r="75" spans="1:57" ht="14.25" customHeight="1">
      <c r="A75" s="6"/>
      <c r="B75" s="6"/>
      <c r="C75" s="6"/>
      <c r="D75" s="6"/>
      <c r="E75" s="6"/>
      <c r="F75" s="6"/>
      <c r="G75" s="6"/>
      <c r="H75" s="80"/>
      <c r="I75" s="2"/>
      <c r="J75" s="2"/>
      <c r="K75" s="2"/>
      <c r="L75" s="2"/>
      <c r="M75" s="2"/>
      <c r="N75" s="2"/>
      <c r="O75" s="80"/>
      <c r="P75" s="2"/>
      <c r="Q75" s="2"/>
      <c r="R75" s="2"/>
      <c r="S75" s="2"/>
      <c r="T75" s="2"/>
      <c r="U75" s="2"/>
      <c r="V75" s="80"/>
      <c r="W75" s="2"/>
      <c r="X75" s="2"/>
      <c r="Y75" s="2"/>
      <c r="Z75" s="2"/>
      <c r="AA75" s="2"/>
      <c r="AB75" s="2"/>
      <c r="AC75" s="2"/>
      <c r="AD75" s="2"/>
      <c r="AE75" s="6"/>
      <c r="AF75" s="6"/>
      <c r="AG75" s="6"/>
      <c r="AH75" s="6"/>
      <c r="AI75" s="6"/>
      <c r="AJ75" s="6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</row>
    <row r="76" spans="1:57" ht="14.25" customHeight="1">
      <c r="A76" s="6"/>
      <c r="B76" s="6"/>
      <c r="C76" s="6"/>
      <c r="D76" s="6"/>
      <c r="E76" s="6"/>
      <c r="F76" s="6"/>
      <c r="G76" s="6"/>
      <c r="H76" s="80"/>
      <c r="I76" s="2"/>
      <c r="J76" s="2"/>
      <c r="K76" s="2"/>
      <c r="L76" s="2"/>
      <c r="M76" s="2"/>
      <c r="N76" s="2"/>
      <c r="O76" s="80"/>
      <c r="P76" s="2"/>
      <c r="Q76" s="2"/>
      <c r="R76" s="2"/>
      <c r="S76" s="2"/>
      <c r="T76" s="2"/>
      <c r="U76" s="2"/>
      <c r="V76" s="80"/>
      <c r="W76" s="2"/>
      <c r="X76" s="2"/>
      <c r="Y76" s="2"/>
      <c r="Z76" s="2"/>
      <c r="AA76" s="2"/>
      <c r="AB76" s="2"/>
      <c r="AC76" s="2"/>
      <c r="AD76" s="2"/>
      <c r="AE76" s="6"/>
      <c r="AF76" s="6"/>
      <c r="AG76" s="6"/>
      <c r="AH76" s="6"/>
      <c r="AI76" s="6"/>
      <c r="AJ76" s="6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</row>
    <row r="77" spans="1:57" ht="14.25" customHeight="1">
      <c r="A77" s="6"/>
      <c r="B77" s="6"/>
      <c r="C77" s="6"/>
      <c r="D77" s="6"/>
      <c r="E77" s="6"/>
      <c r="F77" s="6"/>
      <c r="G77" s="6"/>
      <c r="H77" s="80"/>
      <c r="I77" s="2"/>
      <c r="J77" s="2"/>
      <c r="K77" s="2"/>
      <c r="L77" s="2"/>
      <c r="M77" s="2"/>
      <c r="N77" s="2"/>
      <c r="O77" s="80"/>
      <c r="P77" s="2"/>
      <c r="Q77" s="2"/>
      <c r="R77" s="2"/>
      <c r="S77" s="2"/>
      <c r="T77" s="2"/>
      <c r="U77" s="2"/>
      <c r="V77" s="80"/>
      <c r="W77" s="2"/>
      <c r="X77" s="2"/>
      <c r="Y77" s="2"/>
      <c r="Z77" s="2"/>
      <c r="AA77" s="2"/>
      <c r="AB77" s="2"/>
      <c r="AC77" s="2"/>
      <c r="AD77" s="2"/>
      <c r="AE77" s="6"/>
      <c r="AF77" s="6"/>
      <c r="AG77" s="6"/>
      <c r="AH77" s="6"/>
      <c r="AI77" s="6"/>
      <c r="AJ77" s="6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</row>
    <row r="78" spans="1:57" ht="14.25" customHeight="1">
      <c r="A78" s="6" t="str">
        <f>IF(A1=H12,P2,IF(A1=H13,P7,IF(A1=H14,P12,IF(A1=H15,P17,IF(A1=H16,P22,IF(A1=H17,P27,IF(A1=H18,P32,IF(A1=H19,P37,IF(A1=H20,P42,IF(A1=H21,P47,IF(A1=H22,P52)))))))))))</f>
        <v xml:space="preserve">11 ਚਾਂਦੀ ਰਾਮ ਜਈਆ ਪੁੰਨੂੰ ਰਾਮ </v>
      </c>
      <c r="B78" s="6"/>
      <c r="C78" s="6"/>
      <c r="D78" s="6"/>
      <c r="E78" s="6"/>
      <c r="F78" s="6"/>
      <c r="G78" s="6"/>
      <c r="H78" s="80"/>
      <c r="I78" s="2"/>
      <c r="J78" s="2"/>
      <c r="K78" s="2"/>
      <c r="L78" s="2"/>
      <c r="M78" s="2"/>
      <c r="N78" s="2"/>
      <c r="O78" s="80"/>
      <c r="P78" s="2"/>
      <c r="Q78" s="2"/>
      <c r="R78" s="2"/>
      <c r="S78" s="2"/>
      <c r="T78" s="2"/>
      <c r="U78" s="2"/>
      <c r="V78" s="80"/>
      <c r="W78" s="2"/>
      <c r="X78" s="2"/>
      <c r="Y78" s="2"/>
      <c r="Z78" s="2"/>
      <c r="AA78" s="2"/>
      <c r="AB78" s="2"/>
      <c r="AC78" s="2"/>
      <c r="AD78" s="2"/>
      <c r="AE78" s="6"/>
      <c r="AF78" s="6"/>
      <c r="AG78" s="6"/>
      <c r="AH78" s="6"/>
      <c r="AI78" s="6"/>
      <c r="AJ78" s="6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</row>
    <row r="79" spans="1:57" ht="14.25" customHeight="1">
      <c r="A79" s="6" t="b">
        <f>IF(A1=H22,W2,IF(A1=H23,W7,IF(A1=H24,W12,IF(A1=H25,W17,IF(A1=H26,W22,IF(A1=H27,W27,IF(A1=H28,W32,IF(A1=H29,W37,IF(A1=H30,W42,IF(A1=H31,W47))))))))))</f>
        <v>0</v>
      </c>
      <c r="B79" s="6"/>
      <c r="C79" s="6"/>
      <c r="D79" s="6"/>
      <c r="E79" s="6"/>
      <c r="F79" s="6"/>
      <c r="G79" s="6"/>
      <c r="H79" s="80"/>
      <c r="I79" s="2"/>
      <c r="J79" s="2"/>
      <c r="K79" s="2"/>
      <c r="L79" s="2"/>
      <c r="M79" s="2"/>
      <c r="N79" s="2"/>
      <c r="O79" s="80"/>
      <c r="P79" s="2"/>
      <c r="Q79" s="2"/>
      <c r="R79" s="2"/>
      <c r="S79" s="2"/>
      <c r="T79" s="2"/>
      <c r="U79" s="2"/>
      <c r="V79" s="80"/>
      <c r="W79" s="2"/>
      <c r="X79" s="2"/>
      <c r="Y79" s="2"/>
      <c r="Z79" s="2"/>
      <c r="AA79" s="2"/>
      <c r="AB79" s="2"/>
      <c r="AC79" s="2"/>
      <c r="AD79" s="2"/>
      <c r="AE79" s="6"/>
      <c r="AF79" s="6"/>
      <c r="AG79" s="6"/>
      <c r="AH79" s="6"/>
      <c r="AI79" s="6"/>
      <c r="AJ79" s="6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</row>
    <row r="80" spans="1:57" ht="14.25" customHeight="1">
      <c r="A80" s="6"/>
      <c r="B80" s="6"/>
      <c r="C80" s="6"/>
      <c r="D80" s="6"/>
      <c r="E80" s="6"/>
      <c r="F80" s="6"/>
      <c r="G80" s="6"/>
      <c r="H80" s="80"/>
      <c r="I80" s="2"/>
      <c r="J80" s="2"/>
      <c r="K80" s="2"/>
      <c r="L80" s="2"/>
      <c r="M80" s="2"/>
      <c r="N80" s="2"/>
      <c r="O80" s="80"/>
      <c r="P80" s="2"/>
      <c r="Q80" s="2"/>
      <c r="R80" s="2"/>
      <c r="S80" s="2"/>
      <c r="T80" s="2"/>
      <c r="U80" s="2"/>
      <c r="V80" s="80"/>
      <c r="W80" s="2"/>
      <c r="X80" s="2"/>
      <c r="Y80" s="2"/>
      <c r="Z80" s="2"/>
      <c r="AA80" s="2"/>
      <c r="AB80" s="2"/>
      <c r="AC80" s="2"/>
      <c r="AD80" s="2"/>
      <c r="AE80" s="6"/>
      <c r="AF80" s="6"/>
      <c r="AG80" s="6"/>
      <c r="AH80" s="6"/>
      <c r="AI80" s="6"/>
      <c r="AJ80" s="6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</row>
    <row r="81" spans="1:57" ht="14.25" customHeight="1">
      <c r="A81" s="6"/>
      <c r="B81" s="6"/>
      <c r="C81" s="6"/>
      <c r="D81" s="6"/>
      <c r="E81" s="6"/>
      <c r="F81" s="6"/>
      <c r="G81" s="6"/>
      <c r="H81" s="80"/>
      <c r="I81" s="2"/>
      <c r="J81" s="2"/>
      <c r="K81" s="2"/>
      <c r="L81" s="2"/>
      <c r="M81" s="2"/>
      <c r="N81" s="2"/>
      <c r="O81" s="80"/>
      <c r="P81" s="2"/>
      <c r="Q81" s="2"/>
      <c r="R81" s="2"/>
      <c r="S81" s="2"/>
      <c r="T81" s="2"/>
      <c r="U81" s="2"/>
      <c r="V81" s="80"/>
      <c r="W81" s="2"/>
      <c r="X81" s="2"/>
      <c r="Y81" s="2"/>
      <c r="Z81" s="2"/>
      <c r="AA81" s="2"/>
      <c r="AB81" s="2"/>
      <c r="AC81" s="2"/>
      <c r="AD81" s="2"/>
      <c r="AE81" s="6"/>
      <c r="AF81" s="6"/>
      <c r="AG81" s="6"/>
      <c r="AH81" s="6"/>
      <c r="AI81" s="6"/>
      <c r="AJ81" s="6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</row>
    <row r="82" spans="1:57" ht="14.25" customHeight="1">
      <c r="A82" s="6"/>
      <c r="B82" s="6"/>
      <c r="C82" s="6"/>
      <c r="D82" s="6"/>
      <c r="E82" s="6"/>
      <c r="F82" s="6"/>
      <c r="G82" s="6"/>
      <c r="H82" s="80"/>
      <c r="I82" s="2"/>
      <c r="J82" s="2"/>
      <c r="K82" s="2"/>
      <c r="L82" s="2"/>
      <c r="M82" s="2"/>
      <c r="N82" s="2"/>
      <c r="O82" s="80"/>
      <c r="P82" s="2"/>
      <c r="Q82" s="2"/>
      <c r="R82" s="2"/>
      <c r="S82" s="2"/>
      <c r="T82" s="2"/>
      <c r="U82" s="2"/>
      <c r="V82" s="80"/>
      <c r="W82" s="2"/>
      <c r="X82" s="2"/>
      <c r="Y82" s="2"/>
      <c r="Z82" s="2"/>
      <c r="AA82" s="2"/>
      <c r="AB82" s="2"/>
      <c r="AC82" s="2"/>
      <c r="AD82" s="2"/>
      <c r="AE82" s="6"/>
      <c r="AF82" s="6"/>
      <c r="AG82" s="6"/>
      <c r="AH82" s="6"/>
      <c r="AI82" s="6"/>
      <c r="AJ82" s="6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</row>
    <row r="83" spans="1:57" ht="14.25" customHeight="1">
      <c r="A83" s="6"/>
      <c r="B83" s="6"/>
      <c r="C83" s="6"/>
      <c r="D83" s="6"/>
      <c r="E83" s="6"/>
      <c r="F83" s="6"/>
      <c r="G83" s="6"/>
      <c r="H83" s="80"/>
      <c r="I83" s="2"/>
      <c r="J83" s="2"/>
      <c r="K83" s="2"/>
      <c r="L83" s="2"/>
      <c r="M83" s="2"/>
      <c r="N83" s="2"/>
      <c r="O83" s="80"/>
      <c r="P83" s="2"/>
      <c r="Q83" s="2"/>
      <c r="R83" s="2"/>
      <c r="S83" s="2"/>
      <c r="T83" s="2"/>
      <c r="U83" s="2"/>
      <c r="V83" s="80"/>
      <c r="W83" s="2"/>
      <c r="X83" s="2"/>
      <c r="Y83" s="2"/>
      <c r="Z83" s="2"/>
      <c r="AA83" s="2"/>
      <c r="AB83" s="2"/>
      <c r="AC83" s="2"/>
      <c r="AD83" s="2"/>
      <c r="AE83" s="6"/>
      <c r="AF83" s="6"/>
      <c r="AG83" s="6"/>
      <c r="AH83" s="6"/>
      <c r="AI83" s="6"/>
      <c r="AJ83" s="6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</row>
    <row r="84" spans="1:57" ht="14.25" customHeight="1">
      <c r="A84" s="6"/>
      <c r="B84" s="6"/>
      <c r="C84" s="6"/>
      <c r="D84" s="6"/>
      <c r="E84" s="6"/>
      <c r="F84" s="6"/>
      <c r="G84" s="6"/>
      <c r="H84" s="80"/>
      <c r="I84" s="2"/>
      <c r="J84" s="2"/>
      <c r="K84" s="2"/>
      <c r="L84" s="2"/>
      <c r="M84" s="2"/>
      <c r="N84" s="2"/>
      <c r="O84" s="80"/>
      <c r="P84" s="2"/>
      <c r="Q84" s="2"/>
      <c r="R84" s="2"/>
      <c r="S84" s="2"/>
      <c r="T84" s="2"/>
      <c r="U84" s="2"/>
      <c r="V84" s="80"/>
      <c r="W84" s="2"/>
      <c r="X84" s="2"/>
      <c r="Y84" s="2"/>
      <c r="Z84" s="2"/>
      <c r="AA84" s="2"/>
      <c r="AB84" s="2"/>
      <c r="AC84" s="2"/>
      <c r="AD84" s="2"/>
      <c r="AE84" s="6"/>
      <c r="AF84" s="6"/>
      <c r="AG84" s="6"/>
      <c r="AH84" s="6"/>
      <c r="AI84" s="6"/>
      <c r="AJ84" s="6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</row>
    <row r="85" spans="1:57" ht="14.25" customHeight="1">
      <c r="A85" s="6"/>
      <c r="B85" s="6"/>
      <c r="C85" s="6"/>
      <c r="D85" s="6"/>
      <c r="E85" s="6"/>
      <c r="F85" s="6"/>
      <c r="G85" s="6"/>
      <c r="H85" s="80"/>
      <c r="I85" s="2"/>
      <c r="J85" s="2"/>
      <c r="K85" s="2"/>
      <c r="L85" s="2"/>
      <c r="M85" s="2"/>
      <c r="N85" s="2"/>
      <c r="O85" s="80"/>
      <c r="P85" s="2"/>
      <c r="Q85" s="2"/>
      <c r="R85" s="2"/>
      <c r="S85" s="2"/>
      <c r="T85" s="2"/>
      <c r="U85" s="2"/>
      <c r="V85" s="80"/>
      <c r="W85" s="2"/>
      <c r="X85" s="2"/>
      <c r="Y85" s="2"/>
      <c r="Z85" s="2"/>
      <c r="AA85" s="2"/>
      <c r="AB85" s="2"/>
      <c r="AC85" s="2"/>
      <c r="AD85" s="2"/>
      <c r="AE85" s="6"/>
      <c r="AF85" s="6"/>
      <c r="AG85" s="6"/>
      <c r="AH85" s="6"/>
      <c r="AI85" s="6"/>
      <c r="AJ85" s="6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</row>
    <row r="86" spans="1:57" ht="14.25" customHeight="1">
      <c r="A86" s="6"/>
      <c r="B86" s="6"/>
      <c r="C86" s="6"/>
      <c r="D86" s="6"/>
      <c r="E86" s="6"/>
      <c r="F86" s="6"/>
      <c r="G86" s="6"/>
      <c r="H86" s="80"/>
      <c r="I86" s="2"/>
      <c r="J86" s="2"/>
      <c r="K86" s="2"/>
      <c r="L86" s="2"/>
      <c r="M86" s="2"/>
      <c r="N86" s="2"/>
      <c r="O86" s="80"/>
      <c r="P86" s="2"/>
      <c r="Q86" s="2"/>
      <c r="R86" s="2"/>
      <c r="S86" s="2"/>
      <c r="T86" s="2"/>
      <c r="U86" s="2"/>
      <c r="V86" s="80"/>
      <c r="W86" s="2"/>
      <c r="X86" s="2"/>
      <c r="Y86" s="2"/>
      <c r="Z86" s="2"/>
      <c r="AA86" s="2"/>
      <c r="AB86" s="2"/>
      <c r="AC86" s="2"/>
      <c r="AD86" s="2"/>
      <c r="AE86" s="6"/>
      <c r="AF86" s="6"/>
      <c r="AG86" s="6"/>
      <c r="AH86" s="6"/>
      <c r="AI86" s="6"/>
      <c r="AJ86" s="6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</row>
    <row r="87" spans="1:57" ht="14.25" customHeight="1">
      <c r="A87" s="6"/>
      <c r="B87" s="6"/>
      <c r="C87" s="6"/>
      <c r="D87" s="6"/>
      <c r="E87" s="6"/>
      <c r="F87" s="6"/>
      <c r="G87" s="6"/>
      <c r="H87" s="80"/>
      <c r="I87" s="2"/>
      <c r="J87" s="2"/>
      <c r="K87" s="2"/>
      <c r="L87" s="2"/>
      <c r="M87" s="2"/>
      <c r="N87" s="2"/>
      <c r="O87" s="80"/>
      <c r="P87" s="2"/>
      <c r="Q87" s="2"/>
      <c r="R87" s="2"/>
      <c r="S87" s="2"/>
      <c r="T87" s="2"/>
      <c r="U87" s="2"/>
      <c r="V87" s="80"/>
      <c r="W87" s="2"/>
      <c r="X87" s="2"/>
      <c r="Y87" s="2"/>
      <c r="Z87" s="2"/>
      <c r="AA87" s="2"/>
      <c r="AB87" s="2"/>
      <c r="AC87" s="2"/>
      <c r="AD87" s="2"/>
      <c r="AE87" s="6"/>
      <c r="AF87" s="6"/>
      <c r="AG87" s="6"/>
      <c r="AH87" s="6"/>
      <c r="AI87" s="6"/>
      <c r="AJ87" s="6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</row>
    <row r="88" spans="1:57" ht="14.25" customHeight="1">
      <c r="A88" s="6"/>
      <c r="B88" s="6"/>
      <c r="C88" s="6"/>
      <c r="D88" s="6"/>
      <c r="E88" s="6"/>
      <c r="F88" s="6"/>
      <c r="G88" s="6"/>
      <c r="H88" s="80"/>
      <c r="I88" s="2"/>
      <c r="J88" s="2"/>
      <c r="K88" s="2"/>
      <c r="L88" s="2"/>
      <c r="M88" s="2"/>
      <c r="N88" s="2"/>
      <c r="O88" s="80"/>
      <c r="P88" s="2"/>
      <c r="Q88" s="2"/>
      <c r="R88" s="2"/>
      <c r="S88" s="2"/>
      <c r="T88" s="2"/>
      <c r="U88" s="2"/>
      <c r="V88" s="80"/>
      <c r="W88" s="2"/>
      <c r="X88" s="2"/>
      <c r="Y88" s="2"/>
      <c r="Z88" s="2"/>
      <c r="AA88" s="2"/>
      <c r="AB88" s="2"/>
      <c r="AC88" s="2"/>
      <c r="AD88" s="2"/>
      <c r="AE88" s="6"/>
      <c r="AF88" s="6"/>
      <c r="AG88" s="6"/>
      <c r="AH88" s="6"/>
      <c r="AI88" s="6"/>
      <c r="AJ88" s="6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</row>
    <row r="89" spans="1:57" ht="14.25" customHeight="1">
      <c r="A89" s="6"/>
      <c r="B89" s="6"/>
      <c r="C89" s="6"/>
      <c r="D89" s="6"/>
      <c r="E89" s="6"/>
      <c r="F89" s="6"/>
      <c r="G89" s="6"/>
      <c r="H89" s="80"/>
      <c r="I89" s="2"/>
      <c r="J89" s="2"/>
      <c r="K89" s="2"/>
      <c r="L89" s="2"/>
      <c r="M89" s="2"/>
      <c r="N89" s="2"/>
      <c r="O89" s="80"/>
      <c r="P89" s="2"/>
      <c r="Q89" s="2"/>
      <c r="R89" s="2"/>
      <c r="S89" s="2"/>
      <c r="T89" s="2"/>
      <c r="U89" s="2"/>
      <c r="V89" s="80"/>
      <c r="W89" s="2"/>
      <c r="X89" s="2"/>
      <c r="Y89" s="2"/>
      <c r="Z89" s="2"/>
      <c r="AA89" s="2"/>
      <c r="AB89" s="2"/>
      <c r="AC89" s="2"/>
      <c r="AD89" s="2"/>
      <c r="AE89" s="6"/>
      <c r="AF89" s="6"/>
      <c r="AG89" s="6"/>
      <c r="AH89" s="6"/>
      <c r="AI89" s="6"/>
      <c r="AJ89" s="6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</row>
    <row r="90" spans="1:57" ht="14.25" customHeight="1">
      <c r="A90" s="6"/>
      <c r="B90" s="6"/>
      <c r="C90" s="6"/>
      <c r="D90" s="6"/>
      <c r="E90" s="6"/>
      <c r="F90" s="6"/>
      <c r="G90" s="6"/>
      <c r="H90" s="80"/>
      <c r="I90" s="2"/>
      <c r="J90" s="2"/>
      <c r="K90" s="2"/>
      <c r="L90" s="2"/>
      <c r="M90" s="2"/>
      <c r="N90" s="2"/>
      <c r="O90" s="80"/>
      <c r="P90" s="2"/>
      <c r="Q90" s="2"/>
      <c r="R90" s="2"/>
      <c r="S90" s="2"/>
      <c r="T90" s="2"/>
      <c r="U90" s="2"/>
      <c r="V90" s="80"/>
      <c r="W90" s="2"/>
      <c r="X90" s="2"/>
      <c r="Y90" s="2"/>
      <c r="Z90" s="2"/>
      <c r="AA90" s="2"/>
      <c r="AB90" s="2"/>
      <c r="AC90" s="2"/>
      <c r="AD90" s="2"/>
      <c r="AE90" s="6"/>
      <c r="AF90" s="6"/>
      <c r="AG90" s="6"/>
      <c r="AH90" s="6"/>
      <c r="AI90" s="6"/>
      <c r="AJ90" s="6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</row>
    <row r="91" spans="1:57" ht="14.25" customHeight="1">
      <c r="A91" s="6"/>
      <c r="B91" s="6"/>
      <c r="C91" s="6"/>
      <c r="D91" s="6"/>
      <c r="E91" s="6"/>
      <c r="F91" s="6"/>
      <c r="G91" s="6"/>
      <c r="H91" s="80"/>
      <c r="I91" s="2"/>
      <c r="J91" s="2"/>
      <c r="K91" s="2"/>
      <c r="L91" s="2"/>
      <c r="M91" s="2"/>
      <c r="N91" s="2"/>
      <c r="O91" s="80"/>
      <c r="P91" s="2"/>
      <c r="Q91" s="2"/>
      <c r="R91" s="2"/>
      <c r="S91" s="2"/>
      <c r="T91" s="2"/>
      <c r="U91" s="2"/>
      <c r="V91" s="80"/>
      <c r="W91" s="2"/>
      <c r="X91" s="2"/>
      <c r="Y91" s="2"/>
      <c r="Z91" s="2"/>
      <c r="AA91" s="2"/>
      <c r="AB91" s="2"/>
      <c r="AC91" s="2"/>
      <c r="AD91" s="2"/>
      <c r="AE91" s="6"/>
      <c r="AF91" s="6"/>
      <c r="AG91" s="6"/>
      <c r="AH91" s="6"/>
      <c r="AI91" s="6"/>
      <c r="AJ91" s="6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</row>
    <row r="92" spans="1:57" ht="14.25" customHeight="1">
      <c r="A92" s="6"/>
      <c r="B92" s="6"/>
      <c r="C92" s="6"/>
      <c r="D92" s="6"/>
      <c r="E92" s="6"/>
      <c r="F92" s="6"/>
      <c r="G92" s="6"/>
      <c r="H92" s="80"/>
      <c r="I92" s="2"/>
      <c r="J92" s="2"/>
      <c r="K92" s="2"/>
      <c r="L92" s="2"/>
      <c r="M92" s="2"/>
      <c r="N92" s="2"/>
      <c r="O92" s="80"/>
      <c r="P92" s="2"/>
      <c r="Q92" s="2"/>
      <c r="R92" s="2"/>
      <c r="S92" s="2"/>
      <c r="T92" s="2"/>
      <c r="U92" s="2"/>
      <c r="V92" s="80"/>
      <c r="W92" s="2"/>
      <c r="X92" s="2"/>
      <c r="Y92" s="2"/>
      <c r="Z92" s="2"/>
      <c r="AA92" s="2"/>
      <c r="AB92" s="2"/>
      <c r="AC92" s="2"/>
      <c r="AD92" s="2"/>
      <c r="AE92" s="6"/>
      <c r="AF92" s="6"/>
      <c r="AG92" s="6"/>
      <c r="AH92" s="6"/>
      <c r="AI92" s="6"/>
      <c r="AJ92" s="6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</row>
    <row r="93" spans="1:57" ht="14.25" customHeight="1">
      <c r="A93" s="6"/>
      <c r="B93" s="6"/>
      <c r="C93" s="6"/>
      <c r="D93" s="6"/>
      <c r="E93" s="6"/>
      <c r="F93" s="6"/>
      <c r="G93" s="6"/>
      <c r="H93" s="80"/>
      <c r="I93" s="2"/>
      <c r="J93" s="2"/>
      <c r="K93" s="2"/>
      <c r="L93" s="2"/>
      <c r="M93" s="2"/>
      <c r="N93" s="2"/>
      <c r="O93" s="80"/>
      <c r="P93" s="2"/>
      <c r="Q93" s="2"/>
      <c r="R93" s="2"/>
      <c r="S93" s="2"/>
      <c r="T93" s="2"/>
      <c r="U93" s="2"/>
      <c r="V93" s="80"/>
      <c r="W93" s="2"/>
      <c r="X93" s="2"/>
      <c r="Y93" s="2"/>
      <c r="Z93" s="2"/>
      <c r="AA93" s="2"/>
      <c r="AB93" s="2"/>
      <c r="AC93" s="2"/>
      <c r="AD93" s="2"/>
      <c r="AE93" s="6"/>
      <c r="AF93" s="6"/>
      <c r="AG93" s="6"/>
      <c r="AH93" s="6"/>
      <c r="AI93" s="6"/>
      <c r="AJ93" s="6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</row>
    <row r="94" spans="1:57" ht="14.25" customHeight="1">
      <c r="A94" s="6"/>
      <c r="B94" s="6"/>
      <c r="C94" s="6"/>
      <c r="D94" s="6"/>
      <c r="E94" s="6"/>
      <c r="F94" s="6"/>
      <c r="G94" s="6"/>
      <c r="H94" s="80"/>
      <c r="I94" s="2"/>
      <c r="J94" s="2"/>
      <c r="K94" s="2"/>
      <c r="L94" s="2"/>
      <c r="M94" s="2"/>
      <c r="N94" s="2"/>
      <c r="O94" s="80"/>
      <c r="P94" s="2"/>
      <c r="Q94" s="2"/>
      <c r="R94" s="2"/>
      <c r="S94" s="2"/>
      <c r="T94" s="2"/>
      <c r="U94" s="2"/>
      <c r="V94" s="80"/>
      <c r="W94" s="2"/>
      <c r="X94" s="2"/>
      <c r="Y94" s="2"/>
      <c r="Z94" s="2"/>
      <c r="AA94" s="2"/>
      <c r="AB94" s="2"/>
      <c r="AC94" s="2"/>
      <c r="AD94" s="2"/>
      <c r="AE94" s="6"/>
      <c r="AF94" s="6"/>
      <c r="AG94" s="6"/>
      <c r="AH94" s="6"/>
      <c r="AI94" s="6"/>
      <c r="AJ94" s="6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</row>
    <row r="95" spans="1:57" ht="14.25" customHeight="1">
      <c r="A95" s="6"/>
      <c r="B95" s="6"/>
      <c r="C95" s="6"/>
      <c r="D95" s="6"/>
      <c r="E95" s="6"/>
      <c r="F95" s="6"/>
      <c r="G95" s="6"/>
      <c r="H95" s="80"/>
      <c r="I95" s="2"/>
      <c r="J95" s="2"/>
      <c r="K95" s="2"/>
      <c r="L95" s="2"/>
      <c r="M95" s="2"/>
      <c r="N95" s="2"/>
      <c r="O95" s="80"/>
      <c r="P95" s="2"/>
      <c r="Q95" s="2"/>
      <c r="R95" s="2"/>
      <c r="S95" s="2"/>
      <c r="T95" s="2"/>
      <c r="U95" s="2"/>
      <c r="V95" s="80"/>
      <c r="W95" s="2"/>
      <c r="X95" s="2"/>
      <c r="Y95" s="2"/>
      <c r="Z95" s="2"/>
      <c r="AA95" s="2"/>
      <c r="AB95" s="2"/>
      <c r="AC95" s="2"/>
      <c r="AD95" s="2"/>
      <c r="AE95" s="6"/>
      <c r="AF95" s="6"/>
      <c r="AG95" s="6"/>
      <c r="AH95" s="6"/>
      <c r="AI95" s="6"/>
      <c r="AJ95" s="6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</row>
    <row r="96" spans="1:57" ht="14.25" customHeight="1">
      <c r="A96" s="6"/>
      <c r="B96" s="6"/>
      <c r="C96" s="6"/>
      <c r="D96" s="6"/>
      <c r="E96" s="6"/>
      <c r="F96" s="6"/>
      <c r="G96" s="6"/>
      <c r="H96" s="80"/>
      <c r="I96" s="2"/>
      <c r="J96" s="2"/>
      <c r="K96" s="2"/>
      <c r="L96" s="2"/>
      <c r="M96" s="2"/>
      <c r="N96" s="2"/>
      <c r="O96" s="80"/>
      <c r="P96" s="2"/>
      <c r="Q96" s="2"/>
      <c r="R96" s="2"/>
      <c r="S96" s="2"/>
      <c r="T96" s="2"/>
      <c r="U96" s="2"/>
      <c r="V96" s="80"/>
      <c r="W96" s="2"/>
      <c r="X96" s="2"/>
      <c r="Y96" s="2"/>
      <c r="Z96" s="2"/>
      <c r="AA96" s="2"/>
      <c r="AB96" s="2"/>
      <c r="AC96" s="2"/>
      <c r="AD96" s="2"/>
      <c r="AE96" s="6"/>
      <c r="AF96" s="6"/>
      <c r="AG96" s="6"/>
      <c r="AH96" s="6"/>
      <c r="AI96" s="6"/>
      <c r="AJ96" s="6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</row>
    <row r="97" spans="1:57" ht="14.25" customHeight="1">
      <c r="A97" s="6"/>
      <c r="B97" s="6"/>
      <c r="C97" s="6"/>
      <c r="D97" s="6"/>
      <c r="E97" s="6"/>
      <c r="F97" s="6"/>
      <c r="G97" s="6"/>
      <c r="H97" s="80"/>
      <c r="I97" s="2"/>
      <c r="J97" s="2"/>
      <c r="K97" s="2"/>
      <c r="L97" s="2"/>
      <c r="M97" s="2"/>
      <c r="N97" s="2"/>
      <c r="O97" s="80"/>
      <c r="P97" s="2"/>
      <c r="Q97" s="2"/>
      <c r="R97" s="2"/>
      <c r="S97" s="2"/>
      <c r="T97" s="2"/>
      <c r="U97" s="2"/>
      <c r="V97" s="80"/>
      <c r="W97" s="2"/>
      <c r="X97" s="2"/>
      <c r="Y97" s="2"/>
      <c r="Z97" s="2"/>
      <c r="AA97" s="2"/>
      <c r="AB97" s="2"/>
      <c r="AC97" s="2"/>
      <c r="AD97" s="2"/>
      <c r="AE97" s="6"/>
      <c r="AF97" s="6"/>
      <c r="AG97" s="6"/>
      <c r="AH97" s="6"/>
      <c r="AI97" s="6"/>
      <c r="AJ97" s="6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</row>
    <row r="98" spans="1:57" ht="14.25" customHeight="1">
      <c r="A98" s="6"/>
      <c r="B98" s="6"/>
      <c r="C98" s="6"/>
      <c r="D98" s="6"/>
      <c r="E98" s="6"/>
      <c r="F98" s="6"/>
      <c r="G98" s="6"/>
      <c r="H98" s="80"/>
      <c r="I98" s="2"/>
      <c r="J98" s="2"/>
      <c r="K98" s="2"/>
      <c r="L98" s="2"/>
      <c r="M98" s="2"/>
      <c r="N98" s="2"/>
      <c r="O98" s="80"/>
      <c r="P98" s="2"/>
      <c r="Q98" s="2"/>
      <c r="R98" s="2"/>
      <c r="S98" s="2"/>
      <c r="T98" s="2"/>
      <c r="U98" s="2"/>
      <c r="V98" s="80"/>
      <c r="W98" s="2"/>
      <c r="X98" s="2"/>
      <c r="Y98" s="2"/>
      <c r="Z98" s="2"/>
      <c r="AA98" s="2"/>
      <c r="AB98" s="2"/>
      <c r="AC98" s="2"/>
      <c r="AD98" s="2"/>
      <c r="AE98" s="6"/>
      <c r="AF98" s="6"/>
      <c r="AG98" s="6"/>
      <c r="AH98" s="6"/>
      <c r="AI98" s="6"/>
      <c r="AJ98" s="6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</row>
    <row r="99" spans="1:57" ht="14.25" customHeight="1">
      <c r="A99" s="6"/>
      <c r="B99" s="6"/>
      <c r="C99" s="6"/>
      <c r="D99" s="6"/>
      <c r="E99" s="6"/>
      <c r="F99" s="6"/>
      <c r="G99" s="6"/>
      <c r="H99" s="80"/>
      <c r="I99" s="2"/>
      <c r="J99" s="2"/>
      <c r="K99" s="2"/>
      <c r="L99" s="2"/>
      <c r="M99" s="2"/>
      <c r="N99" s="2"/>
      <c r="O99" s="80"/>
      <c r="P99" s="2"/>
      <c r="Q99" s="2"/>
      <c r="R99" s="2"/>
      <c r="S99" s="2"/>
      <c r="T99" s="2"/>
      <c r="U99" s="2"/>
      <c r="V99" s="80"/>
      <c r="W99" s="2"/>
      <c r="X99" s="2"/>
      <c r="Y99" s="2"/>
      <c r="Z99" s="2"/>
      <c r="AA99" s="2"/>
      <c r="AB99" s="2"/>
      <c r="AC99" s="2"/>
      <c r="AD99" s="2"/>
      <c r="AE99" s="6"/>
      <c r="AF99" s="6"/>
      <c r="AG99" s="6"/>
      <c r="AH99" s="6"/>
      <c r="AI99" s="6"/>
      <c r="AJ99" s="6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</row>
    <row r="100" spans="1:57" ht="14.25" customHeight="1">
      <c r="A100" s="6"/>
      <c r="B100" s="6"/>
      <c r="C100" s="6"/>
      <c r="D100" s="6"/>
      <c r="E100" s="6"/>
      <c r="F100" s="6"/>
      <c r="G100" s="6"/>
      <c r="H100" s="80"/>
      <c r="I100" s="2"/>
      <c r="J100" s="2"/>
      <c r="K100" s="2"/>
      <c r="L100" s="2"/>
      <c r="M100" s="2"/>
      <c r="N100" s="2"/>
      <c r="O100" s="80"/>
      <c r="P100" s="2"/>
      <c r="Q100" s="2"/>
      <c r="R100" s="2"/>
      <c r="S100" s="2"/>
      <c r="T100" s="2"/>
      <c r="U100" s="2"/>
      <c r="V100" s="80"/>
      <c r="W100" s="2"/>
      <c r="X100" s="2"/>
      <c r="Y100" s="2"/>
      <c r="Z100" s="2"/>
      <c r="AA100" s="2"/>
      <c r="AB100" s="2"/>
      <c r="AC100" s="2"/>
      <c r="AD100" s="2"/>
      <c r="AE100" s="6"/>
      <c r="AF100" s="6"/>
      <c r="AG100" s="6"/>
      <c r="AH100" s="6"/>
      <c r="AI100" s="6"/>
      <c r="AJ100" s="6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</row>
  </sheetData>
  <dataValidations count="2">
    <dataValidation type="list" allowBlank="1" showErrorMessage="1" sqref="AE1">
      <formula1>$AK$2:$AK$31</formula1>
    </dataValidation>
    <dataValidation type="list" allowBlank="1" showErrorMessage="1" sqref="A1">
      <formula1>$H$2:$H$31</formula1>
    </dataValidation>
  </dataValidations>
  <pageMargins left="0.7" right="0.7" top="0.75" bottom="0.75" header="0" footer="0"/>
  <pageSetup orientation="portrait" useFirstPageNumber="1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.NET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Hard Copy</vt:lpstr>
      <vt:lpstr>MOMI</vt:lpstr>
      <vt:lpstr>JOSAN</vt:lpstr>
      <vt:lpstr>NADHA</vt:lpstr>
      <vt:lpstr>DHOT</vt:lpstr>
      <vt:lpstr>PATHAN</vt:lpstr>
      <vt:lpstr>CHATRATH</vt:lpstr>
      <vt:lpstr>SAMA</vt:lpstr>
      <vt:lpstr>MIROK</vt:lpstr>
      <vt:lpstr>MUTTI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created xsi:type="dcterms:W3CDTF">2023-10-25T11:03:53Z</dcterms:created>
  <dcterms:modified xsi:type="dcterms:W3CDTF">2026-10-11T15:38:23Z</dcterms:modified>
</cp:coreProperties>
</file>